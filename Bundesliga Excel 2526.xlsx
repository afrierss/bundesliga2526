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erss\Desktop\"/>
    </mc:Choice>
  </mc:AlternateContent>
  <xr:revisionPtr revIDLastSave="0" documentId="13_ncr:1_{6E0D329F-2D9F-4D13-A6E6-D0A2382E3B36}" xr6:coauthVersionLast="47" xr6:coauthVersionMax="47" xr10:uidLastSave="{00000000-0000-0000-0000-000000000000}"/>
  <bookViews>
    <workbookView xWindow="-108" yWindow="-108" windowWidth="23256" windowHeight="12456" activeTab="1" xr2:uid="{DC1CDC5F-0BF1-414B-B538-7EFC0335F15C}"/>
  </bookViews>
  <sheets>
    <sheet name="Datenquelle" sheetId="2" r:id="rId1"/>
    <sheet name="AT2526" sheetId="1" r:id="rId2"/>
    <sheet name="Mannschaften" sheetId="3" r:id="rId3"/>
    <sheet name="Spiele" sheetId="4" r:id="rId4"/>
    <sheet name="meistegeschosseneToreproSpiel" sheetId="12" r:id="rId5"/>
    <sheet name="Tore nach Kalendertag" sheetId="9" r:id="rId6"/>
    <sheet name="Pivot Homepoints" sheetId="10" r:id="rId7"/>
    <sheet name="Pivot Awaypoints" sheetId="11" r:id="rId8"/>
  </sheets>
  <definedNames>
    <definedName name="ExterneDaten_1" localSheetId="0" hidden="1">Datenquelle!$A$1:$Y$2693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2" i="3"/>
  <c r="B3" i="12"/>
  <c r="B4" i="12"/>
  <c r="B5" i="12"/>
  <c r="B6" i="12"/>
  <c r="B7" i="12"/>
  <c r="B8" i="12"/>
  <c r="B9" i="12"/>
  <c r="B10" i="12"/>
  <c r="B11" i="12"/>
  <c r="B12" i="12"/>
  <c r="B13" i="12"/>
  <c r="B2" i="12"/>
  <c r="F3" i="3"/>
  <c r="F4" i="3"/>
  <c r="F5" i="3"/>
  <c r="F6" i="3"/>
  <c r="F7" i="3"/>
  <c r="F8" i="3"/>
  <c r="F9" i="3"/>
  <c r="F10" i="3"/>
  <c r="F11" i="3"/>
  <c r="F12" i="3"/>
  <c r="F13" i="3"/>
  <c r="F2" i="3"/>
  <c r="G3" i="4" a="1"/>
  <c r="G4" i="4" a="1"/>
  <c r="G5" i="4" a="1"/>
  <c r="G6" i="4" a="1"/>
  <c r="G7" i="4" a="1"/>
  <c r="G8" i="4" a="1"/>
  <c r="G9" i="4" a="1"/>
  <c r="G10" i="4" a="1"/>
  <c r="G11" i="4" a="1"/>
  <c r="G12" i="4" a="1"/>
  <c r="G13" i="4" a="1"/>
  <c r="G14" i="4" a="1"/>
  <c r="G15" i="4" a="1"/>
  <c r="G16" i="4" a="1"/>
  <c r="G17" i="4" a="1"/>
  <c r="G18" i="4" a="1"/>
  <c r="G19" i="4" a="1"/>
  <c r="G20" i="4" a="1"/>
  <c r="G21" i="4" a="1"/>
  <c r="G22" i="4" a="1"/>
  <c r="G23" i="4" a="1"/>
  <c r="G24" i="4" a="1"/>
  <c r="G25" i="4" a="1"/>
  <c r="G26" i="4" a="1"/>
  <c r="G27" i="4" a="1"/>
  <c r="G28" i="4" a="1"/>
  <c r="G29" i="4" a="1"/>
  <c r="G30" i="4" a="1"/>
  <c r="G31" i="4" a="1"/>
  <c r="G32" i="4" a="1"/>
  <c r="G33" i="4" a="1"/>
  <c r="G34" i="4" a="1"/>
  <c r="G35" i="4" a="1"/>
  <c r="G36" i="4" a="1"/>
  <c r="G37" i="4" a="1"/>
  <c r="G38" i="4" a="1"/>
  <c r="G39" i="4" a="1"/>
  <c r="G40" i="4" a="1"/>
  <c r="G41" i="4" a="1"/>
  <c r="G42" i="4" a="1"/>
  <c r="G43" i="4" a="1"/>
  <c r="G44" i="4" a="1"/>
  <c r="G45" i="4" a="1"/>
  <c r="G46" i="4" a="1"/>
  <c r="G47" i="4" a="1"/>
  <c r="G48" i="4" a="1"/>
  <c r="G49" i="4" a="1"/>
  <c r="G50" i="4" a="1"/>
  <c r="G51" i="4" a="1"/>
  <c r="G52" i="4" a="1"/>
  <c r="G53" i="4" a="1"/>
  <c r="G54" i="4" a="1"/>
  <c r="G55" i="4" a="1"/>
  <c r="G56" i="4" a="1"/>
  <c r="G57" i="4" a="1"/>
  <c r="G58" i="4" a="1"/>
  <c r="G59" i="4" a="1"/>
  <c r="G60" i="4" a="1"/>
  <c r="G61" i="4" a="1"/>
  <c r="G62" i="4" a="1"/>
  <c r="G63" i="4" a="1"/>
  <c r="G64" i="4" a="1"/>
  <c r="G65" i="4" a="1"/>
  <c r="G66" i="4" a="1"/>
  <c r="G67" i="4" a="1"/>
  <c r="G68" i="4" a="1"/>
  <c r="G69" i="4" a="1"/>
  <c r="G70" i="4" a="1"/>
  <c r="G71" i="4" a="1"/>
  <c r="G72" i="4" a="1"/>
  <c r="G73" i="4" a="1"/>
  <c r="G74" i="4" a="1"/>
  <c r="G75" i="4" a="1"/>
  <c r="G76" i="4" a="1"/>
  <c r="G77" i="4" a="1"/>
  <c r="G78" i="4" a="1"/>
  <c r="G79" i="4" a="1"/>
  <c r="G80" i="4" a="1"/>
  <c r="G81" i="4" a="1"/>
  <c r="G82" i="4" a="1"/>
  <c r="G83" i="4" a="1"/>
  <c r="G84" i="4" a="1"/>
  <c r="G85" i="4" a="1"/>
  <c r="G86" i="4" a="1"/>
  <c r="G87" i="4" a="1"/>
  <c r="G88" i="4" a="1"/>
  <c r="G89" i="4" a="1"/>
  <c r="G90" i="4" a="1"/>
  <c r="G91" i="4" a="1"/>
  <c r="G92" i="4" a="1"/>
  <c r="G93" i="4" a="1"/>
  <c r="G94" i="4" a="1"/>
  <c r="G95" i="4" a="1"/>
  <c r="G96" i="4" a="1"/>
  <c r="G97" i="4" a="1"/>
  <c r="G98" i="4" a="1"/>
  <c r="G99" i="4" a="1"/>
  <c r="G100" i="4" a="1"/>
  <c r="G101" i="4" a="1"/>
  <c r="G102" i="4" a="1"/>
  <c r="G103" i="4" a="1"/>
  <c r="G104" i="4" a="1"/>
  <c r="G105" i="4" a="1"/>
  <c r="G106" i="4" a="1"/>
  <c r="G107" i="4" a="1"/>
  <c r="G108" i="4" a="1"/>
  <c r="G109" i="4" a="1"/>
  <c r="G110" i="4" a="1"/>
  <c r="G111" i="4" a="1"/>
  <c r="G112" i="4" a="1"/>
  <c r="G113" i="4" a="1"/>
  <c r="G114" i="4" a="1"/>
  <c r="G115" i="4" a="1"/>
  <c r="G116" i="4" a="1"/>
  <c r="G117" i="4" a="1"/>
  <c r="G118" i="4" a="1"/>
  <c r="G119" i="4" a="1"/>
  <c r="G120" i="4" a="1"/>
  <c r="G121" i="4" a="1"/>
  <c r="G122" i="4" a="1"/>
  <c r="G123" i="4" a="1"/>
  <c r="G124" i="4" a="1"/>
  <c r="G125" i="4" a="1"/>
  <c r="G126" i="4" a="1"/>
  <c r="G127" i="4" a="1"/>
  <c r="G128" i="4" a="1"/>
  <c r="G129" i="4" a="1"/>
  <c r="G130" i="4" a="1"/>
  <c r="G131" i="4" a="1"/>
  <c r="G132" i="4" a="1"/>
  <c r="G133" i="4" a="1"/>
  <c r="G134" i="4" a="1"/>
  <c r="G135" i="4" a="1"/>
  <c r="G136" i="4" a="1"/>
  <c r="G137" i="4" a="1"/>
  <c r="G138" i="4" a="1"/>
  <c r="G139" i="4" a="1"/>
  <c r="G140" i="4" a="1"/>
  <c r="G141" i="4" a="1"/>
  <c r="G142" i="4" a="1"/>
  <c r="G143" i="4" a="1"/>
  <c r="G144" i="4" a="1"/>
  <c r="G145" i="4" a="1"/>
  <c r="G146" i="4" a="1"/>
  <c r="G147" i="4" a="1"/>
  <c r="G148" i="4" a="1"/>
  <c r="G149" i="4" a="1"/>
  <c r="G150" i="4" a="1"/>
  <c r="G151" i="4" a="1"/>
  <c r="G152" i="4" a="1"/>
  <c r="G153" i="4" a="1"/>
  <c r="G154" i="4" a="1"/>
  <c r="G155" i="4" a="1"/>
  <c r="G156" i="4" a="1"/>
  <c r="G157" i="4" a="1"/>
  <c r="G158" i="4" a="1"/>
  <c r="G159" i="4" a="1"/>
  <c r="G160" i="4" a="1"/>
  <c r="G161" i="4" a="1"/>
  <c r="G162" i="4" a="1"/>
  <c r="G163" i="4" a="1"/>
  <c r="G164" i="4" a="1"/>
  <c r="G165" i="4" a="1"/>
  <c r="G166" i="4" a="1"/>
  <c r="G167" i="4" a="1"/>
  <c r="G168" i="4" a="1"/>
  <c r="G169" i="4" a="1"/>
  <c r="G170" i="4" a="1"/>
  <c r="G171" i="4" a="1"/>
  <c r="G172" i="4" a="1"/>
  <c r="G173" i="4" a="1"/>
  <c r="G174" i="4" a="1"/>
  <c r="G175" i="4" a="1"/>
  <c r="G176" i="4" a="1"/>
  <c r="G177" i="4" a="1"/>
  <c r="G178" i="4" a="1"/>
  <c r="G179" i="4" a="1"/>
  <c r="G180" i="4" a="1"/>
  <c r="G181" i="4" a="1"/>
  <c r="G182" i="4" a="1"/>
  <c r="G183" i="4" a="1"/>
  <c r="G184" i="4" a="1"/>
  <c r="G185" i="4" a="1"/>
  <c r="G186" i="4" a="1"/>
  <c r="G187" i="4" a="1"/>
  <c r="G188" i="4" a="1"/>
  <c r="G189" i="4" a="1"/>
  <c r="G190" i="4" a="1"/>
  <c r="G191" i="4" a="1"/>
  <c r="G192" i="4" a="1"/>
  <c r="G193" i="4" a="1"/>
  <c r="G2" i="4" a="1"/>
  <c r="F6" i="4" a="1"/>
  <c r="F7" i="4" a="1"/>
  <c r="F8" i="4" a="1"/>
  <c r="F9" i="4" a="1"/>
  <c r="F10" i="4" a="1"/>
  <c r="F11" i="4" a="1"/>
  <c r="F12" i="4" a="1"/>
  <c r="F13" i="4" a="1"/>
  <c r="F14" i="4" a="1"/>
  <c r="F15" i="4" a="1"/>
  <c r="F16" i="4" a="1"/>
  <c r="F17" i="4" a="1"/>
  <c r="F18" i="4" a="1"/>
  <c r="F19" i="4" a="1"/>
  <c r="F20" i="4" a="1"/>
  <c r="F21" i="4" a="1"/>
  <c r="F22" i="4" a="1"/>
  <c r="F23" i="4" a="1"/>
  <c r="F24" i="4" a="1"/>
  <c r="F25" i="4" a="1"/>
  <c r="F26" i="4" a="1"/>
  <c r="F27" i="4" a="1"/>
  <c r="F28" i="4" a="1"/>
  <c r="F29" i="4" a="1"/>
  <c r="F30" i="4" a="1"/>
  <c r="F31" i="4" a="1"/>
  <c r="F32" i="4" a="1"/>
  <c r="F33" i="4" a="1"/>
  <c r="F34" i="4" a="1"/>
  <c r="F35" i="4" a="1"/>
  <c r="F36" i="4" a="1"/>
  <c r="F37" i="4" a="1"/>
  <c r="F38" i="4" a="1"/>
  <c r="F39" i="4" a="1"/>
  <c r="F40" i="4" a="1"/>
  <c r="F41" i="4" a="1"/>
  <c r="F42" i="4" a="1"/>
  <c r="F43" i="4" a="1"/>
  <c r="F44" i="4" a="1"/>
  <c r="F45" i="4" a="1"/>
  <c r="F46" i="4" a="1"/>
  <c r="F47" i="4" a="1"/>
  <c r="F48" i="4" a="1"/>
  <c r="F49" i="4" a="1"/>
  <c r="F50" i="4" a="1"/>
  <c r="F51" i="4" a="1"/>
  <c r="F52" i="4" a="1"/>
  <c r="F53" i="4" a="1"/>
  <c r="F54" i="4" a="1"/>
  <c r="F55" i="4" a="1"/>
  <c r="F56" i="4" a="1"/>
  <c r="F57" i="4" a="1"/>
  <c r="F58" i="4" a="1"/>
  <c r="F59" i="4" a="1"/>
  <c r="F60" i="4" a="1"/>
  <c r="F61" i="4" a="1"/>
  <c r="F62" i="4" a="1"/>
  <c r="F63" i="4" a="1"/>
  <c r="F64" i="4" a="1"/>
  <c r="F65" i="4" a="1"/>
  <c r="F66" i="4" a="1"/>
  <c r="F67" i="4" a="1"/>
  <c r="F68" i="4" a="1"/>
  <c r="F69" i="4" a="1"/>
  <c r="F70" i="4" a="1"/>
  <c r="F71" i="4" a="1"/>
  <c r="F72" i="4" a="1"/>
  <c r="F73" i="4" a="1"/>
  <c r="F74" i="4" a="1"/>
  <c r="F75" i="4" a="1"/>
  <c r="F76" i="4" a="1"/>
  <c r="F77" i="4" a="1"/>
  <c r="F78" i="4" a="1"/>
  <c r="F79" i="4" a="1"/>
  <c r="F80" i="4" a="1"/>
  <c r="F81" i="4" a="1"/>
  <c r="F82" i="4" a="1"/>
  <c r="F83" i="4" a="1"/>
  <c r="F84" i="4" a="1"/>
  <c r="F85" i="4" a="1"/>
  <c r="F86" i="4" a="1"/>
  <c r="F87" i="4" a="1"/>
  <c r="F88" i="4" a="1"/>
  <c r="F89" i="4" a="1"/>
  <c r="F90" i="4" a="1"/>
  <c r="F91" i="4" a="1"/>
  <c r="F92" i="4" a="1"/>
  <c r="F93" i="4" a="1"/>
  <c r="F94" i="4" a="1"/>
  <c r="F95" i="4" a="1"/>
  <c r="F96" i="4" a="1"/>
  <c r="F97" i="4" a="1"/>
  <c r="F98" i="4" a="1"/>
  <c r="F99" i="4" a="1"/>
  <c r="F100" i="4" a="1"/>
  <c r="F101" i="4" a="1"/>
  <c r="F102" i="4" a="1"/>
  <c r="F103" i="4" a="1"/>
  <c r="F104" i="4" a="1"/>
  <c r="F105" i="4" a="1"/>
  <c r="F106" i="4" a="1"/>
  <c r="F107" i="4" a="1"/>
  <c r="F108" i="4" a="1"/>
  <c r="F109" i="4" a="1"/>
  <c r="F110" i="4" a="1"/>
  <c r="F111" i="4" a="1"/>
  <c r="F112" i="4" a="1"/>
  <c r="F113" i="4" a="1"/>
  <c r="F114" i="4" a="1"/>
  <c r="F115" i="4" a="1"/>
  <c r="F116" i="4" a="1"/>
  <c r="F117" i="4" a="1"/>
  <c r="F118" i="4" a="1"/>
  <c r="F119" i="4" a="1"/>
  <c r="F120" i="4" a="1"/>
  <c r="F121" i="4" a="1"/>
  <c r="F122" i="4" a="1"/>
  <c r="F123" i="4" a="1"/>
  <c r="F124" i="4" a="1"/>
  <c r="F125" i="4" a="1"/>
  <c r="F126" i="4" a="1"/>
  <c r="F127" i="4" a="1"/>
  <c r="F128" i="4" a="1"/>
  <c r="F129" i="4" a="1"/>
  <c r="F130" i="4" a="1"/>
  <c r="F131" i="4" a="1"/>
  <c r="F132" i="4" a="1"/>
  <c r="F133" i="4" a="1"/>
  <c r="F134" i="4" a="1"/>
  <c r="F135" i="4" a="1"/>
  <c r="F136" i="4" a="1"/>
  <c r="F137" i="4" a="1"/>
  <c r="F138" i="4" a="1"/>
  <c r="F139" i="4" a="1"/>
  <c r="F140" i="4" a="1"/>
  <c r="F141" i="4" a="1"/>
  <c r="F142" i="4" a="1"/>
  <c r="F143" i="4" a="1"/>
  <c r="F144" i="4" a="1"/>
  <c r="F145" i="4" a="1"/>
  <c r="F146" i="4" a="1"/>
  <c r="F147" i="4" a="1"/>
  <c r="F148" i="4" a="1"/>
  <c r="F149" i="4" a="1"/>
  <c r="F150" i="4" a="1"/>
  <c r="F151" i="4" a="1"/>
  <c r="F152" i="4" a="1"/>
  <c r="F153" i="4" a="1"/>
  <c r="F154" i="4" a="1"/>
  <c r="F155" i="4" a="1"/>
  <c r="F156" i="4" a="1"/>
  <c r="F157" i="4" a="1"/>
  <c r="F158" i="4" a="1"/>
  <c r="F159" i="4" a="1"/>
  <c r="F160" i="4" a="1"/>
  <c r="F161" i="4" a="1"/>
  <c r="F162" i="4" a="1"/>
  <c r="F163" i="4" a="1"/>
  <c r="F164" i="4" a="1"/>
  <c r="F165" i="4" a="1"/>
  <c r="F166" i="4" a="1"/>
  <c r="F167" i="4" a="1"/>
  <c r="F168" i="4" a="1"/>
  <c r="F169" i="4" a="1"/>
  <c r="F170" i="4" a="1"/>
  <c r="F171" i="4" a="1"/>
  <c r="F172" i="4" a="1"/>
  <c r="F173" i="4" a="1"/>
  <c r="F174" i="4" a="1"/>
  <c r="F175" i="4" a="1"/>
  <c r="F176" i="4" a="1"/>
  <c r="F177" i="4" a="1"/>
  <c r="F178" i="4" a="1"/>
  <c r="F179" i="4" a="1"/>
  <c r="F180" i="4" a="1"/>
  <c r="F181" i="4" a="1"/>
  <c r="F182" i="4" a="1"/>
  <c r="F183" i="4" a="1"/>
  <c r="F184" i="4" a="1"/>
  <c r="F185" i="4" a="1"/>
  <c r="F186" i="4" a="1"/>
  <c r="F187" i="4" a="1"/>
  <c r="F188" i="4" a="1"/>
  <c r="F189" i="4" a="1"/>
  <c r="F190" i="4" a="1"/>
  <c r="F191" i="4" a="1"/>
  <c r="F192" i="4" a="1"/>
  <c r="F193" i="4" a="1"/>
  <c r="F4" i="4" a="1"/>
  <c r="F5" i="4" a="1"/>
  <c r="F3" i="4" a="1"/>
  <c r="F2" i="4" a="1"/>
  <c r="E3" i="4" a="1"/>
  <c r="E4" i="4" a="1"/>
  <c r="E5" i="4" a="1"/>
  <c r="E6" i="4" a="1"/>
  <c r="E7" i="4" a="1"/>
  <c r="E8" i="4" a="1"/>
  <c r="E9" i="4" a="1"/>
  <c r="E10" i="4" a="1"/>
  <c r="E11" i="4" a="1"/>
  <c r="E12" i="4" a="1"/>
  <c r="E13" i="4" a="1"/>
  <c r="E14" i="4" a="1"/>
  <c r="E15" i="4" a="1"/>
  <c r="E16" i="4" a="1"/>
  <c r="E17" i="4" a="1"/>
  <c r="E18" i="4" a="1"/>
  <c r="E19" i="4" a="1"/>
  <c r="E20" i="4" a="1"/>
  <c r="E21" i="4" a="1"/>
  <c r="E22" i="4" a="1"/>
  <c r="E23" i="4" a="1"/>
  <c r="E24" i="4" a="1"/>
  <c r="E25" i="4" a="1"/>
  <c r="E26" i="4" a="1"/>
  <c r="E27" i="4" a="1"/>
  <c r="E28" i="4" a="1"/>
  <c r="E29" i="4" a="1"/>
  <c r="E30" i="4" a="1"/>
  <c r="E31" i="4" a="1"/>
  <c r="E32" i="4" a="1"/>
  <c r="E33" i="4" a="1"/>
  <c r="E34" i="4" a="1"/>
  <c r="E35" i="4" a="1"/>
  <c r="E36" i="4" a="1"/>
  <c r="E37" i="4" a="1"/>
  <c r="E38" i="4" a="1"/>
  <c r="E39" i="4" a="1"/>
  <c r="E40" i="4" a="1"/>
  <c r="E41" i="4" a="1"/>
  <c r="E42" i="4" a="1"/>
  <c r="E43" i="4" a="1"/>
  <c r="E44" i="4" a="1"/>
  <c r="E45" i="4" a="1"/>
  <c r="E46" i="4" a="1"/>
  <c r="E47" i="4" a="1"/>
  <c r="E48" i="4" a="1"/>
  <c r="E49" i="4" a="1"/>
  <c r="E50" i="4" a="1"/>
  <c r="E51" i="4" a="1"/>
  <c r="E52" i="4" a="1"/>
  <c r="E53" i="4" a="1"/>
  <c r="E54" i="4" a="1"/>
  <c r="E55" i="4" a="1"/>
  <c r="E56" i="4" a="1"/>
  <c r="E57" i="4" a="1"/>
  <c r="E58" i="4" a="1"/>
  <c r="E59" i="4" a="1"/>
  <c r="E60" i="4" a="1"/>
  <c r="E61" i="4" a="1"/>
  <c r="E62" i="4" a="1"/>
  <c r="E63" i="4" a="1"/>
  <c r="E64" i="4" a="1"/>
  <c r="E65" i="4" a="1"/>
  <c r="E66" i="4" a="1"/>
  <c r="E67" i="4" a="1"/>
  <c r="E68" i="4" a="1"/>
  <c r="E69" i="4" a="1"/>
  <c r="E70" i="4" a="1"/>
  <c r="E71" i="4" a="1"/>
  <c r="E72" i="4" a="1"/>
  <c r="E73" i="4" a="1"/>
  <c r="E74" i="4" a="1"/>
  <c r="E75" i="4" a="1"/>
  <c r="E76" i="4" a="1"/>
  <c r="E77" i="4" a="1"/>
  <c r="E78" i="4" a="1"/>
  <c r="E79" i="4" a="1"/>
  <c r="E80" i="4" a="1"/>
  <c r="E81" i="4" a="1"/>
  <c r="E82" i="4" a="1"/>
  <c r="E83" i="4" a="1"/>
  <c r="E84" i="4" a="1"/>
  <c r="E85" i="4" a="1"/>
  <c r="E86" i="4" a="1"/>
  <c r="E87" i="4" a="1"/>
  <c r="E88" i="4" a="1"/>
  <c r="E89" i="4" a="1"/>
  <c r="E90" i="4" a="1"/>
  <c r="E91" i="4" a="1"/>
  <c r="E92" i="4" a="1"/>
  <c r="E93" i="4" a="1"/>
  <c r="E94" i="4" a="1"/>
  <c r="E95" i="4" a="1"/>
  <c r="E96" i="4" a="1"/>
  <c r="E97" i="4" a="1"/>
  <c r="E98" i="4" a="1"/>
  <c r="E99" i="4" a="1"/>
  <c r="E100" i="4" a="1"/>
  <c r="E101" i="4" a="1"/>
  <c r="E102" i="4" a="1"/>
  <c r="E103" i="4" a="1"/>
  <c r="E104" i="4" a="1"/>
  <c r="E105" i="4" a="1"/>
  <c r="E106" i="4" a="1"/>
  <c r="E107" i="4" a="1"/>
  <c r="E108" i="4" a="1"/>
  <c r="E109" i="4" a="1"/>
  <c r="E110" i="4" a="1"/>
  <c r="E111" i="4" a="1"/>
  <c r="E112" i="4" a="1"/>
  <c r="E113" i="4" a="1"/>
  <c r="E114" i="4" a="1"/>
  <c r="E115" i="4" a="1"/>
  <c r="E116" i="4" a="1"/>
  <c r="E117" i="4" a="1"/>
  <c r="E118" i="4" a="1"/>
  <c r="E119" i="4" a="1"/>
  <c r="E120" i="4" a="1"/>
  <c r="E121" i="4" a="1"/>
  <c r="E122" i="4" a="1"/>
  <c r="E123" i="4" a="1"/>
  <c r="E124" i="4" a="1"/>
  <c r="E125" i="4" a="1"/>
  <c r="E126" i="4" a="1"/>
  <c r="E127" i="4" a="1"/>
  <c r="E128" i="4" a="1"/>
  <c r="E129" i="4" a="1"/>
  <c r="E130" i="4" a="1"/>
  <c r="E131" i="4" a="1"/>
  <c r="E132" i="4" a="1"/>
  <c r="E133" i="4" a="1"/>
  <c r="E134" i="4" a="1"/>
  <c r="E135" i="4" a="1"/>
  <c r="E136" i="4" a="1"/>
  <c r="E137" i="4" a="1"/>
  <c r="E138" i="4" a="1"/>
  <c r="E139" i="4" a="1"/>
  <c r="E140" i="4" a="1"/>
  <c r="E141" i="4" a="1"/>
  <c r="E142" i="4" a="1"/>
  <c r="E143" i="4" a="1"/>
  <c r="E144" i="4" a="1"/>
  <c r="E145" i="4" a="1"/>
  <c r="E146" i="4" a="1"/>
  <c r="E147" i="4" a="1"/>
  <c r="E148" i="4" a="1"/>
  <c r="E149" i="4" a="1"/>
  <c r="E150" i="4" a="1"/>
  <c r="E151" i="4" a="1"/>
  <c r="E152" i="4" a="1"/>
  <c r="E153" i="4" a="1"/>
  <c r="E154" i="4" a="1"/>
  <c r="E155" i="4" a="1"/>
  <c r="E156" i="4" a="1"/>
  <c r="E157" i="4" a="1"/>
  <c r="E158" i="4" a="1"/>
  <c r="E159" i="4" a="1"/>
  <c r="E160" i="4" a="1"/>
  <c r="E161" i="4" a="1"/>
  <c r="E162" i="4" a="1"/>
  <c r="E163" i="4" a="1"/>
  <c r="E164" i="4" a="1"/>
  <c r="E165" i="4" a="1"/>
  <c r="E166" i="4" a="1"/>
  <c r="E167" i="4" a="1"/>
  <c r="E168" i="4" a="1"/>
  <c r="E169" i="4" a="1"/>
  <c r="E170" i="4" a="1"/>
  <c r="E171" i="4" a="1"/>
  <c r="E172" i="4" a="1"/>
  <c r="E173" i="4" a="1"/>
  <c r="E174" i="4" a="1"/>
  <c r="E175" i="4" a="1"/>
  <c r="E176" i="4" a="1"/>
  <c r="E177" i="4" a="1"/>
  <c r="E178" i="4" a="1"/>
  <c r="E179" i="4" a="1"/>
  <c r="E180" i="4" a="1"/>
  <c r="E181" i="4" a="1"/>
  <c r="E182" i="4" a="1"/>
  <c r="E183" i="4" a="1"/>
  <c r="E184" i="4" a="1"/>
  <c r="E185" i="4" a="1"/>
  <c r="E186" i="4" a="1"/>
  <c r="E187" i="4" a="1"/>
  <c r="E188" i="4" a="1"/>
  <c r="E189" i="4" a="1"/>
  <c r="E190" i="4" a="1"/>
  <c r="E191" i="4" a="1"/>
  <c r="E192" i="4" a="1"/>
  <c r="E193" i="4" a="1"/>
  <c r="E2" i="4" a="1"/>
  <c r="E3" i="3"/>
  <c r="E4" i="3"/>
  <c r="E5" i="3"/>
  <c r="E6" i="3"/>
  <c r="E7" i="3"/>
  <c r="E8" i="3"/>
  <c r="E9" i="3"/>
  <c r="E10" i="3"/>
  <c r="E11" i="3"/>
  <c r="E12" i="3"/>
  <c r="E13" i="3"/>
  <c r="E2" i="3"/>
  <c r="D3" i="3"/>
  <c r="D4" i="3"/>
  <c r="D5" i="3"/>
  <c r="D6" i="3"/>
  <c r="D7" i="3"/>
  <c r="D8" i="3"/>
  <c r="D9" i="3"/>
  <c r="D10" i="3"/>
  <c r="D11" i="3"/>
  <c r="D12" i="3"/>
  <c r="D13" i="3"/>
  <c r="D2" i="3"/>
  <c r="C3" i="3"/>
  <c r="C4" i="3"/>
  <c r="C5" i="3"/>
  <c r="C6" i="3"/>
  <c r="C7" i="3"/>
  <c r="C8" i="3"/>
  <c r="C9" i="3"/>
  <c r="C10" i="3"/>
  <c r="C11" i="3"/>
  <c r="C12" i="3"/>
  <c r="C13" i="3"/>
  <c r="C2" i="3"/>
  <c r="B3" i="3"/>
  <c r="B4" i="3"/>
  <c r="B5" i="3"/>
  <c r="B6" i="3"/>
  <c r="B7" i="3"/>
  <c r="B8" i="3"/>
  <c r="B9" i="3"/>
  <c r="B10" i="3"/>
  <c r="B11" i="3"/>
  <c r="B12" i="3"/>
  <c r="B1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568E6-2BEA-421C-8EC4-33E85EB312F6}" keepAlive="1" name="Abfrage - AUT xls" description="Verbindung mit der Abfrage 'AUT xls' in der Arbeitsmappe." type="5" refreshedVersion="8" background="1" saveData="1">
    <dbPr connection="Provider=Microsoft.Mashup.OleDb.1;Data Source=$Workbook$;Location=&quot;AUT xls&quot;;Extended Properties=&quot;&quot;" command="SELECT * FROM [AUT xl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<sst xmlns="http://schemas.openxmlformats.org/spreadsheetml/2006/main" count="35146" uniqueCount="298">
  <si>
    <t>Country</t>
  </si>
  <si>
    <t>League</t>
  </si>
  <si>
    <t>Season</t>
  </si>
  <si>
    <t>Date</t>
  </si>
  <si>
    <t>Time</t>
  </si>
  <si>
    <t>Home</t>
  </si>
  <si>
    <t>Away</t>
  </si>
  <si>
    <t>HG</t>
  </si>
  <si>
    <t>AG</t>
  </si>
  <si>
    <t>Res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</si>
  <si>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</si>
  <si>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</si>
  <si>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</si>
  <si>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</si>
  <si>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</si>
  <si>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</si>
  <si>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</si>
  <si>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</si>
  <si>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</si>
  <si>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</si>
  <si>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</si>
  <si>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</si>
  <si>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B365CH</t>
  </si>
  <si>
    <t>B365CD</t>
  </si>
  <si>
    <t>B365CA</t>
  </si>
  <si>
    <t>Austria</t>
  </si>
  <si>
    <t>Bundesliga</t>
  </si>
  <si>
    <t>2012/2013</t>
  </si>
  <si>
    <t>Sturm Graz</t>
  </si>
  <si>
    <t>Salzburg</t>
  </si>
  <si>
    <t>A</t>
  </si>
  <si>
    <t/>
  </si>
  <si>
    <t>Mattersburg</t>
  </si>
  <si>
    <t>Neustadt</t>
  </si>
  <si>
    <t>H</t>
  </si>
  <si>
    <t>SK Rapid</t>
  </si>
  <si>
    <t>Wacker Innsbruck</t>
  </si>
  <si>
    <t>Admira</t>
  </si>
  <si>
    <t>Ried</t>
  </si>
  <si>
    <t>Wolfsberger AC</t>
  </si>
  <si>
    <t>Austria Vienna</t>
  </si>
  <si>
    <t>D</t>
  </si>
  <si>
    <t>2013/2014</t>
  </si>
  <si>
    <t>Grodig</t>
  </si>
  <si>
    <t>2014/2015</t>
  </si>
  <si>
    <t>Altach</t>
  </si>
  <si>
    <t>2015/2016</t>
  </si>
  <si>
    <t>2016/2017</t>
  </si>
  <si>
    <t>St. Polten</t>
  </si>
  <si>
    <t>2017/2018</t>
  </si>
  <si>
    <t>LASK</t>
  </si>
  <si>
    <t>2018/2019</t>
  </si>
  <si>
    <t>Hartberg</t>
  </si>
  <si>
    <t>2019/2020</t>
  </si>
  <si>
    <t>Tirol</t>
  </si>
  <si>
    <t>2020/2021</t>
  </si>
  <si>
    <t>A. Klagenfurt</t>
  </si>
  <si>
    <t>2021/2022</t>
  </si>
  <si>
    <t>2022/2023</t>
  </si>
  <si>
    <t>A. Lustenau</t>
  </si>
  <si>
    <t>2023/2024</t>
  </si>
  <si>
    <t>BW Linz</t>
  </si>
  <si>
    <t>2024/2025</t>
  </si>
  <si>
    <t>Grazer AK</t>
  </si>
  <si>
    <t>10</t>
  </si>
  <si>
    <t>6</t>
  </si>
  <si>
    <t>1.34</t>
  </si>
  <si>
    <t>1.97</t>
  </si>
  <si>
    <t>3.6</t>
  </si>
  <si>
    <t>4.4</t>
  </si>
  <si>
    <t>3.5</t>
  </si>
  <si>
    <t>3.75</t>
  </si>
  <si>
    <t>2.18</t>
  </si>
  <si>
    <t>1.91</t>
  </si>
  <si>
    <t>3.95</t>
  </si>
  <si>
    <t>4.2</t>
  </si>
  <si>
    <t>2.6</t>
  </si>
  <si>
    <t>3.65</t>
  </si>
  <si>
    <t>2.84</t>
  </si>
  <si>
    <t>3</t>
  </si>
  <si>
    <t>3.55</t>
  </si>
  <si>
    <t>2.54</t>
  </si>
  <si>
    <t>1.7</t>
  </si>
  <si>
    <t>4.1</t>
  </si>
  <si>
    <t>5.6</t>
  </si>
  <si>
    <t>2.38</t>
  </si>
  <si>
    <t>3.25</t>
  </si>
  <si>
    <t>1.33</t>
  </si>
  <si>
    <t>10.5</t>
  </si>
  <si>
    <t>4.9</t>
  </si>
  <si>
    <t>1.76</t>
  </si>
  <si>
    <t>2.2</t>
  </si>
  <si>
    <t>3.8</t>
  </si>
  <si>
    <t>3.35</t>
  </si>
  <si>
    <t>1.61</t>
  </si>
  <si>
    <t>4.6</t>
  </si>
  <si>
    <t>8.6</t>
  </si>
  <si>
    <t>5.2</t>
  </si>
  <si>
    <t>1.42</t>
  </si>
  <si>
    <t>2.1</t>
  </si>
  <si>
    <t>4.3</t>
  </si>
  <si>
    <t>2.02</t>
  </si>
  <si>
    <t>2.44</t>
  </si>
  <si>
    <t>3.2</t>
  </si>
  <si>
    <t>2.82</t>
  </si>
  <si>
    <t>2.58</t>
  </si>
  <si>
    <t>1.4</t>
  </si>
  <si>
    <t>5.5</t>
  </si>
  <si>
    <t>9.2</t>
  </si>
  <si>
    <t>2.4</t>
  </si>
  <si>
    <t>3.15</t>
  </si>
  <si>
    <t>1.56</t>
  </si>
  <si>
    <t>7</t>
  </si>
  <si>
    <t>2.34</t>
  </si>
  <si>
    <t>3.7</t>
  </si>
  <si>
    <t>4.7</t>
  </si>
  <si>
    <t>3.9</t>
  </si>
  <si>
    <t>1.86</t>
  </si>
  <si>
    <t>2.66</t>
  </si>
  <si>
    <t>1.99</t>
  </si>
  <si>
    <t>1.36</t>
  </si>
  <si>
    <t>5.7</t>
  </si>
  <si>
    <t>2.3</t>
  </si>
  <si>
    <t>2.04</t>
  </si>
  <si>
    <t>2.24</t>
  </si>
  <si>
    <t>3.85</t>
  </si>
  <si>
    <t>3.1</t>
  </si>
  <si>
    <t>2.46</t>
  </si>
  <si>
    <t>2.5</t>
  </si>
  <si>
    <t>4</t>
  </si>
  <si>
    <t>1.75</t>
  </si>
  <si>
    <t>6.4</t>
  </si>
  <si>
    <t>1.77</t>
  </si>
  <si>
    <t>2.92</t>
  </si>
  <si>
    <t>2.48</t>
  </si>
  <si>
    <t>2</t>
  </si>
  <si>
    <t>2.16</t>
  </si>
  <si>
    <t>1.47</t>
  </si>
  <si>
    <t>6.8</t>
  </si>
  <si>
    <t>1.92</t>
  </si>
  <si>
    <t>1.72</t>
  </si>
  <si>
    <t>5.3</t>
  </si>
  <si>
    <t>2.32</t>
  </si>
  <si>
    <t>3.3</t>
  </si>
  <si>
    <t>3.4</t>
  </si>
  <si>
    <t>1.8</t>
  </si>
  <si>
    <t>1.67</t>
  </si>
  <si>
    <t>1.29</t>
  </si>
  <si>
    <t>12.5</t>
  </si>
  <si>
    <t>1.46</t>
  </si>
  <si>
    <t>5</t>
  </si>
  <si>
    <t>8.2</t>
  </si>
  <si>
    <t>2.14</t>
  </si>
  <si>
    <t>1.57</t>
  </si>
  <si>
    <t>4.8</t>
  </si>
  <si>
    <t>1.63</t>
  </si>
  <si>
    <t>4.5</t>
  </si>
  <si>
    <t>1.54</t>
  </si>
  <si>
    <t>2.68</t>
  </si>
  <si>
    <t>1.89</t>
  </si>
  <si>
    <t>1.25</t>
  </si>
  <si>
    <t>7.8</t>
  </si>
  <si>
    <t>13.5</t>
  </si>
  <si>
    <t>3.05</t>
  </si>
  <si>
    <t>2.52</t>
  </si>
  <si>
    <t>1.94</t>
  </si>
  <si>
    <t>2.06</t>
  </si>
  <si>
    <t>3.45</t>
  </si>
  <si>
    <t>1.45</t>
  </si>
  <si>
    <t>5.1</t>
  </si>
  <si>
    <t>8</t>
  </si>
  <si>
    <t>1.81</t>
  </si>
  <si>
    <t>1.39</t>
  </si>
  <si>
    <t>7.4</t>
  </si>
  <si>
    <t>1.49</t>
  </si>
  <si>
    <t>1.96</t>
  </si>
  <si>
    <t>6.2</t>
  </si>
  <si>
    <t>1.65</t>
  </si>
  <si>
    <t>5.9</t>
  </si>
  <si>
    <t>1.48</t>
  </si>
  <si>
    <t>2.8</t>
  </si>
  <si>
    <t>2.56</t>
  </si>
  <si>
    <t>1.53</t>
  </si>
  <si>
    <t>7.6</t>
  </si>
  <si>
    <t>1.16</t>
  </si>
  <si>
    <t>21</t>
  </si>
  <si>
    <t>2.26</t>
  </si>
  <si>
    <t>1.82</t>
  </si>
  <si>
    <t>9.6</t>
  </si>
  <si>
    <t>2.08</t>
  </si>
  <si>
    <t>2.64</t>
  </si>
  <si>
    <t>2.78</t>
  </si>
  <si>
    <t>1.93</t>
  </si>
  <si>
    <t>8.8</t>
  </si>
  <si>
    <t>1.98</t>
  </si>
  <si>
    <t>1.6</t>
  </si>
  <si>
    <t>1.52</t>
  </si>
  <si>
    <t>1.68</t>
  </si>
  <si>
    <t>1.9</t>
  </si>
  <si>
    <t>2.7</t>
  </si>
  <si>
    <t>1.32</t>
  </si>
  <si>
    <t>5.8</t>
  </si>
  <si>
    <t>11.5</t>
  </si>
  <si>
    <t>1.83</t>
  </si>
  <si>
    <t>2.42</t>
  </si>
  <si>
    <t>2.86</t>
  </si>
  <si>
    <t>1.59</t>
  </si>
  <si>
    <t>2.88</t>
  </si>
  <si>
    <t>2.62</t>
  </si>
  <si>
    <t>1.78</t>
  </si>
  <si>
    <t>2.9</t>
  </si>
  <si>
    <t>2.74</t>
  </si>
  <si>
    <t>2.12</t>
  </si>
  <si>
    <t>1.64</t>
  </si>
  <si>
    <t>5.4</t>
  </si>
  <si>
    <t>1.87</t>
  </si>
  <si>
    <t>1.66</t>
  </si>
  <si>
    <t>1.71</t>
  </si>
  <si>
    <t>1.31</t>
  </si>
  <si>
    <t>13</t>
  </si>
  <si>
    <t>1.51</t>
  </si>
  <si>
    <t>2025/2026</t>
  </si>
  <si>
    <t>2.22</t>
  </si>
  <si>
    <t>1.95</t>
  </si>
  <si>
    <t>2.72</t>
  </si>
  <si>
    <t>2.63</t>
  </si>
  <si>
    <t>6.5</t>
  </si>
  <si>
    <t>4.75</t>
  </si>
  <si>
    <t>1.85</t>
  </si>
  <si>
    <t>2.55</t>
  </si>
  <si>
    <t>4.33</t>
  </si>
  <si>
    <t>2.75</t>
  </si>
  <si>
    <t>5.25</t>
  </si>
  <si>
    <t>12</t>
  </si>
  <si>
    <t>1.3</t>
  </si>
  <si>
    <t>9.5</t>
  </si>
  <si>
    <t>1.62</t>
  </si>
  <si>
    <t>1.79</t>
  </si>
  <si>
    <t>2.36</t>
  </si>
  <si>
    <t>2.15</t>
  </si>
  <si>
    <t>1.88</t>
  </si>
  <si>
    <t>2.35</t>
  </si>
  <si>
    <t>2.01</t>
  </si>
  <si>
    <t>2.96</t>
  </si>
  <si>
    <t>2.05</t>
  </si>
  <si>
    <t>1.73</t>
  </si>
  <si>
    <t>2.85</t>
  </si>
  <si>
    <t>2.65</t>
  </si>
  <si>
    <t>2.57</t>
  </si>
  <si>
    <t>1.74</t>
  </si>
  <si>
    <t>2.76</t>
  </si>
  <si>
    <t>2.25</t>
  </si>
  <si>
    <t>2.95</t>
  </si>
  <si>
    <t>1.41</t>
  </si>
  <si>
    <t>2.94</t>
  </si>
  <si>
    <t>1.69</t>
  </si>
  <si>
    <t>2.28</t>
  </si>
  <si>
    <t>2.45</t>
  </si>
  <si>
    <t>1.5</t>
  </si>
  <si>
    <t>5.75</t>
  </si>
  <si>
    <t>1.26</t>
  </si>
  <si>
    <t>7.2</t>
  </si>
  <si>
    <t>1.24</t>
  </si>
  <si>
    <t>6.25</t>
  </si>
  <si>
    <t>9</t>
  </si>
  <si>
    <t>2026/2027</t>
  </si>
  <si>
    <t>1.37</t>
  </si>
  <si>
    <t>7.5</t>
  </si>
  <si>
    <t>1.44</t>
  </si>
  <si>
    <t>1.35</t>
  </si>
  <si>
    <t>1.43</t>
  </si>
  <si>
    <t>8.4</t>
  </si>
  <si>
    <t>1.58</t>
  </si>
  <si>
    <t>1.28</t>
  </si>
  <si>
    <t>6.6</t>
  </si>
  <si>
    <t>1.22</t>
  </si>
  <si>
    <t>11</t>
  </si>
  <si>
    <t>2.98</t>
  </si>
  <si>
    <t>Mannschaften</t>
  </si>
  <si>
    <t>Winner</t>
  </si>
  <si>
    <t>Abgleich</t>
  </si>
  <si>
    <t>Heimtore</t>
  </si>
  <si>
    <t>Auswärtstore</t>
  </si>
  <si>
    <t>Gesamttore</t>
  </si>
  <si>
    <t>Zeilenbeschriftungen</t>
  </si>
  <si>
    <t>(Leer)</t>
  </si>
  <si>
    <t>Gesamtergebnis</t>
  </si>
  <si>
    <t>Summe von HG</t>
  </si>
  <si>
    <t>Summe von AG</t>
  </si>
  <si>
    <t>Summe von Summe Tore</t>
  </si>
  <si>
    <t>Punkte H</t>
  </si>
  <si>
    <t>Punkte A</t>
  </si>
  <si>
    <t>Anzahl der Siege</t>
  </si>
  <si>
    <t>meiste geschossene Tore pro Spiel</t>
  </si>
  <si>
    <t>meistegeschossene Tore pro Spiel</t>
  </si>
  <si>
    <t>Homepoints von</t>
  </si>
  <si>
    <t>Gegner</t>
  </si>
  <si>
    <t>Awaypoints 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</si>
</sst>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0" xfId="0" applyFont="1" applyAlignment="1">
      <alignment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ika Frierss" refreshedDate="46322.443137268521" createdVersion="8" refreshedVersion="8" minRefreshableVersion="3" recordCount="193" xr:uid="{A05827FD-4973-4037-977B-ACCC01B6B67A}">
  <cacheSource type="worksheet">
    <worksheetSource ref="C1:J1048576" sheet="AT2526"/>
  </cacheSource>
  <cacheFields count="15">
    <cacheField name="Season" numFmtId="0">
      <sharedItems containsBlank="1"/>
    </cacheField>
    <cacheField name="Date" numFmtId="0">
      <sharedItems containsNonDate="0" containsDate="1" containsString="0" containsBlank="1" minDate="2025-08-01T00:00:00" maxDate="2026-05-18T00:00:00" count="73">
        <d v="2025-08-01T00:00:00"/>
        <d v="2025-08-02T00:00:00"/>
        <d v="2025-08-03T00:00:00"/>
        <d v="2025-08-09T00:00:00"/>
        <d v="2025-08-10T00:00:00"/>
        <d v="2025-08-16T00:00:00"/>
        <d v="2025-08-17T00:00:00"/>
        <d v="2025-08-23T00:00:00"/>
        <d v="2025-08-24T00:00:00"/>
        <d v="2025-08-30T00:00:00"/>
        <d v="2025-08-31T00:00:00"/>
        <d v="2025-09-13T00:00:00"/>
        <d v="2025-09-14T00:00:00"/>
        <d v="2025-09-20T00:00:00"/>
        <d v="2025-09-21T00:00:00"/>
        <d v="2025-09-27T00:00:00"/>
        <d v="2025-09-28T00:00:00"/>
        <d v="2025-10-04T00:00:00"/>
        <d v="2025-10-05T00:00:00"/>
        <d v="2025-10-18T00:00:00"/>
        <d v="2025-10-19T00:00:00"/>
        <d v="2025-10-25T00:00:00"/>
        <d v="2025-10-26T00:00:00"/>
        <d v="2025-11-01T00:00:00"/>
        <d v="2025-11-02T00:00:00"/>
        <d v="2025-11-08T00:00:00"/>
        <d v="2025-11-09T00:00:00"/>
        <d v="2025-11-22T00:00:00"/>
        <d v="2025-11-23T00:00:00"/>
        <d v="2025-11-29T00:00:00"/>
        <d v="2025-11-30T00:00:00"/>
        <d v="2025-12-03T00:00:00"/>
        <d v="2025-12-06T00:00:00"/>
        <d v="2025-12-07T00:00:00"/>
        <d v="2025-12-13T00:00:00"/>
        <d v="2025-12-14T00:00:00"/>
        <d v="2026-02-06T00:00:00"/>
        <d v="2026-02-07T00:00:00"/>
        <d v="2026-02-08T00:00:00"/>
        <d v="2026-02-14T00:00:00"/>
        <d v="2026-02-15T00:00:00"/>
        <d v="2026-02-21T00:00:00"/>
        <d v="2026-02-22T00:00:00"/>
        <d v="2026-03-01T00:00:00"/>
        <d v="2026-03-08T00:00:00"/>
        <d v="2026-03-13T00:00:00"/>
        <d v="2026-03-14T00:00:00"/>
        <d v="2026-03-15T00:00:00"/>
        <d v="2026-03-20T00:00:00"/>
        <d v="2026-03-21T00:00:00"/>
        <d v="2026-03-22T00:00:00"/>
        <d v="2026-04-03T00:00:00"/>
        <d v="2026-04-04T00:00:00"/>
        <d v="2026-04-05T00:00:00"/>
        <d v="2026-04-10T00:00:00"/>
        <d v="2026-04-11T00:00:00"/>
        <d v="2026-04-12T00:00:00"/>
        <d v="2026-04-17T00:00:00"/>
        <d v="2026-04-18T00:00:00"/>
        <d v="2026-04-19T00:00:00"/>
        <d v="2026-04-21T00:00:00"/>
        <d v="2026-04-22T00:00:00"/>
        <d v="2026-04-24T00:00:00"/>
        <d v="2026-04-25T00:00:00"/>
        <d v="2026-04-26T00:00:00"/>
        <d v="2026-05-02T00:00:00"/>
        <d v="2026-05-03T00:00:00"/>
        <d v="2026-05-04T00:00:00"/>
        <d v="2026-05-09T00:00:00"/>
        <d v="2026-05-10T00:00:00"/>
        <d v="2026-05-16T00:00:00"/>
        <d v="2026-05-17T00:00:00"/>
        <m/>
      </sharedItems>
      <fieldGroup par="10"/>
    </cacheField>
    <cacheField name="Time" numFmtId="0">
      <sharedItems containsNonDate="0" containsDate="1" containsString="0" containsBlank="1" minDate="1899-12-30T13:30:00" maxDate="1899-12-30T19:30:00"/>
    </cacheField>
    <cacheField name="Home" numFmtId="0">
      <sharedItems containsBlank="1" count="13">
        <s v="LASK"/>
        <s v="Tirol"/>
        <s v="Wolfsberger AC"/>
        <s v="Ried"/>
        <s v="Grazer AK"/>
        <s v="SK Rapid"/>
        <s v="Altach"/>
        <s v="BW Linz"/>
        <s v="Salzburg"/>
        <s v="Austria Vienna"/>
        <s v="Sturm Graz"/>
        <s v="Hartberg"/>
        <m/>
      </sharedItems>
    </cacheField>
    <cacheField name="Away" numFmtId="0">
      <sharedItems containsBlank="1" count="13">
        <s v="Sturm Graz"/>
        <s v="Hartberg"/>
        <s v="Altach"/>
        <s v="Salzburg"/>
        <s v="Austria Vienna"/>
        <s v="BW Linz"/>
        <s v="Ried"/>
        <s v="Grazer AK"/>
        <s v="Wolfsberger AC"/>
        <s v="SK Rapid"/>
        <s v="LASK"/>
        <s v="Tirol"/>
        <m/>
      </sharedItems>
    </cacheField>
    <cacheField name="HG" numFmtId="0">
      <sharedItems containsString="0" containsBlank="1" containsNumber="1" containsInteger="1" minValue="0" maxValue="5"/>
    </cacheField>
    <cacheField name="AG" numFmtId="0">
      <sharedItems containsString="0" containsBlank="1" containsNumber="1" containsInteger="1" minValue="0" maxValue="5"/>
    </cacheField>
    <cacheField name="Res" numFmtId="0">
      <sharedItems containsBlank="1"/>
    </cacheField>
    <cacheField name="Monate (Date)" numFmtId="0" databaseField="0">
      <fieldGroup base="1">
        <rangePr groupBy="months" startDate="2025-08-01T00:00:00" endDate="2026-05-18T00:00:00"/>
        <groupItems count="14">
          <s v="&lt;01.08.2025"/>
          <s v="Jän"/>
          <s v="Feb"/>
          <s v="Mär"/>
          <s v="Apr"/>
          <s v="Mai"/>
          <s v="Jun"/>
          <s v="Jul"/>
          <s v="Aug"/>
          <s v="Sep"/>
          <s v="Okt"/>
          <s v="Nov"/>
          <s v="Dez"/>
          <s v="&gt;18.05.2026"/>
        </groupItems>
      </fieldGroup>
    </cacheField>
    <cacheField name="Quartale (Date)" numFmtId="0" databaseField="0">
      <fieldGroup base="1">
        <rangePr groupBy="quarters" startDate="2025-08-01T00:00:00" endDate="2026-05-18T00:00:00"/>
        <groupItems count="6">
          <s v="&lt;01.08.2025"/>
          <s v="Qrtl1"/>
          <s v="Qrtl2"/>
          <s v="Qrtl3"/>
          <s v="Qrtl4"/>
          <s v="&gt;18.05.2026"/>
        </groupItems>
      </fieldGroup>
    </cacheField>
    <cacheField name="Jahre (Date)" numFmtId="0" databaseField="0">
      <fieldGroup base="1">
        <rangePr groupBy="years" startDate="2025-08-01T00:00:00" endDate="2026-05-18T00:00:00"/>
        <groupItems count="4">
          <s v="&lt;01.08.2025"/>
          <s v="2025"/>
          <s v="2026"/>
          <s v="&gt;18.05.2026"/>
        </groupItems>
      </fieldGroup>
    </cacheField>
    <cacheField name="Tore insgesamt" numFmtId="0" formula="HG+AG" databaseField="0"/>
    <cacheField name="Feld1" numFmtId="0" formula=" 0" databaseField="0"/>
    <cacheField name="Gesamttore" numFmtId="0" formula="HG+AG" databaseField="0"/>
    <cacheField name="Summe Tore" numFmtId="0" formula="HG+AG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ika Frierss" refreshedDate="46322.463327199075" createdVersion="8" refreshedVersion="8" minRefreshableVersion="3" recordCount="192" xr:uid="{3022CF67-9DAE-4352-AB09-97B7AC7EE64D}">
  <cacheSource type="worksheet">
    <worksheetSource ref="A1:G193" sheet="Spiele"/>
  </cacheSource>
  <cacheFields count="7">
    <cacheField name="Home" numFmtId="0">
      <sharedItems count="12">
        <s v="LASK"/>
        <s v="Tirol"/>
        <s v="Wolfsberger AC"/>
        <s v="Ried"/>
        <s v="Grazer AK"/>
        <s v="SK Rapid"/>
        <s v="Altach"/>
        <s v="BW Linz"/>
        <s v="Salzburg"/>
        <s v="Austria Vienna"/>
        <s v="Sturm Graz"/>
        <s v="Hartberg"/>
      </sharedItems>
    </cacheField>
    <cacheField name="Away" numFmtId="0">
      <sharedItems count="12">
        <s v="Sturm Graz"/>
        <s v="Hartberg"/>
        <s v="Altach"/>
        <s v="Salzburg"/>
        <s v="Austria Vienna"/>
        <s v="BW Linz"/>
        <s v="Ried"/>
        <s v="Grazer AK"/>
        <s v="Wolfsberger AC"/>
        <s v="SK Rapid"/>
        <s v="LASK"/>
        <s v="Tirol"/>
      </sharedItems>
    </cacheField>
    <cacheField name="HG" numFmtId="0">
      <sharedItems containsSemiMixedTypes="0" containsString="0" containsNumber="1" containsInteger="1" minValue="0" maxValue="5"/>
    </cacheField>
    <cacheField name="AG" numFmtId="0">
      <sharedItems containsSemiMixedTypes="0" containsString="0" containsNumber="1" containsInteger="1" minValue="0" maxValue="5"/>
    </cacheField>
    <cacheField name="Winner" numFmtId="0">
      <sharedItems containsMixedTypes="1" containsNumber="1" containsInteger="1" minValue="0" maxValue="0"/>
    </cacheField>
    <cacheField name="Punkte H" numFmtId="0">
      <sharedItems containsSemiMixedTypes="0" containsString="0" containsNumber="1" containsInteger="1" minValue="0" maxValue="3"/>
    </cacheField>
    <cacheField name="Punkte A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s v="2025/2026"/>
    <x v="0"/>
    <d v="1899-12-30T19:30:00"/>
    <x v="0"/>
    <x v="0"/>
    <n v="0"/>
    <n v="2"/>
    <s v="A"/>
  </r>
  <r>
    <s v="2025/2026"/>
    <x v="1"/>
    <d v="1899-12-30T16:00:00"/>
    <x v="1"/>
    <x v="1"/>
    <n v="4"/>
    <n v="2"/>
    <s v="H"/>
  </r>
  <r>
    <s v="2025/2026"/>
    <x v="1"/>
    <d v="1899-12-30T16:00:00"/>
    <x v="2"/>
    <x v="2"/>
    <n v="0"/>
    <n v="2"/>
    <s v="A"/>
  </r>
  <r>
    <s v="2025/2026"/>
    <x v="1"/>
    <d v="1899-12-30T18:30:00"/>
    <x v="3"/>
    <x v="3"/>
    <n v="2"/>
    <n v="2"/>
    <s v="D"/>
  </r>
  <r>
    <s v="2025/2026"/>
    <x v="2"/>
    <d v="1899-12-30T16:00:00"/>
    <x v="4"/>
    <x v="4"/>
    <n v="2"/>
    <n v="2"/>
    <s v="D"/>
  </r>
  <r>
    <s v="2025/2026"/>
    <x v="2"/>
    <d v="1899-12-30T16:00:00"/>
    <x v="5"/>
    <x v="5"/>
    <n v="1"/>
    <n v="0"/>
    <s v="H"/>
  </r>
  <r>
    <s v="2025/2026"/>
    <x v="3"/>
    <d v="1899-12-30T16:00:00"/>
    <x v="6"/>
    <x v="6"/>
    <n v="1"/>
    <n v="0"/>
    <s v="H"/>
  </r>
  <r>
    <s v="2025/2026"/>
    <x v="3"/>
    <d v="1899-12-30T16:00:00"/>
    <x v="7"/>
    <x v="1"/>
    <n v="0"/>
    <n v="1"/>
    <s v="A"/>
  </r>
  <r>
    <s v="2025/2026"/>
    <x v="3"/>
    <d v="1899-12-30T18:30:00"/>
    <x v="8"/>
    <x v="7"/>
    <n v="5"/>
    <n v="0"/>
    <s v="H"/>
  </r>
  <r>
    <s v="2025/2026"/>
    <x v="4"/>
    <d v="1899-12-30T16:00:00"/>
    <x v="9"/>
    <x v="8"/>
    <n v="0"/>
    <n v="2"/>
    <s v="A"/>
  </r>
  <r>
    <s v="2025/2026"/>
    <x v="4"/>
    <d v="1899-12-30T16:00:00"/>
    <x v="10"/>
    <x v="9"/>
    <n v="1"/>
    <n v="2"/>
    <s v="A"/>
  </r>
  <r>
    <s v="2025/2026"/>
    <x v="4"/>
    <d v="1899-12-30T16:00:00"/>
    <x v="1"/>
    <x v="10"/>
    <n v="3"/>
    <n v="1"/>
    <s v="H"/>
  </r>
  <r>
    <s v="2025/2026"/>
    <x v="5"/>
    <d v="1899-12-30T16:00:00"/>
    <x v="4"/>
    <x v="11"/>
    <n v="1"/>
    <n v="1"/>
    <s v="D"/>
  </r>
  <r>
    <s v="2025/2026"/>
    <x v="5"/>
    <d v="1899-12-30T16:00:00"/>
    <x v="11"/>
    <x v="3"/>
    <n v="1"/>
    <n v="2"/>
    <s v="A"/>
  </r>
  <r>
    <s v="2025/2026"/>
    <x v="5"/>
    <d v="1899-12-30T18:30:00"/>
    <x v="3"/>
    <x v="0"/>
    <n v="1"/>
    <n v="3"/>
    <s v="A"/>
  </r>
  <r>
    <s v="2025/2026"/>
    <x v="6"/>
    <d v="1899-12-30T16:00:00"/>
    <x v="0"/>
    <x v="4"/>
    <n v="2"/>
    <n v="1"/>
    <s v="H"/>
  </r>
  <r>
    <s v="2025/2026"/>
    <x v="6"/>
    <d v="1899-12-30T16:00:00"/>
    <x v="5"/>
    <x v="2"/>
    <n v="0"/>
    <n v="0"/>
    <s v="D"/>
  </r>
  <r>
    <s v="2025/2026"/>
    <x v="6"/>
    <d v="1899-12-30T16:00:00"/>
    <x v="2"/>
    <x v="5"/>
    <n v="3"/>
    <n v="0"/>
    <s v="H"/>
  </r>
  <r>
    <s v="2025/2026"/>
    <x v="7"/>
    <d v="1899-12-30T16:00:00"/>
    <x v="7"/>
    <x v="6"/>
    <n v="0"/>
    <n v="2"/>
    <s v="A"/>
  </r>
  <r>
    <s v="2025/2026"/>
    <x v="7"/>
    <d v="1899-12-30T16:00:00"/>
    <x v="8"/>
    <x v="10"/>
    <n v="3"/>
    <n v="0"/>
    <s v="H"/>
  </r>
  <r>
    <s v="2025/2026"/>
    <x v="8"/>
    <d v="1899-12-30T16:00:00"/>
    <x v="6"/>
    <x v="7"/>
    <n v="1"/>
    <n v="1"/>
    <s v="D"/>
  </r>
  <r>
    <s v="2025/2026"/>
    <x v="8"/>
    <d v="1899-12-30T16:00:00"/>
    <x v="9"/>
    <x v="1"/>
    <n v="1"/>
    <n v="3"/>
    <s v="A"/>
  </r>
  <r>
    <s v="2025/2026"/>
    <x v="8"/>
    <d v="1899-12-30T16:00:00"/>
    <x v="2"/>
    <x v="9"/>
    <n v="1"/>
    <n v="2"/>
    <s v="A"/>
  </r>
  <r>
    <s v="2025/2026"/>
    <x v="9"/>
    <d v="1899-12-30T16:00:00"/>
    <x v="0"/>
    <x v="6"/>
    <n v="1"/>
    <n v="3"/>
    <s v="A"/>
  </r>
  <r>
    <s v="2025/2026"/>
    <x v="9"/>
    <d v="1899-12-30T16:00:00"/>
    <x v="8"/>
    <x v="5"/>
    <n v="2"/>
    <n v="2"/>
    <s v="D"/>
  </r>
  <r>
    <s v="2025/2026"/>
    <x v="9"/>
    <d v="1899-12-30T18:30:00"/>
    <x v="4"/>
    <x v="0"/>
    <n v="0"/>
    <n v="3"/>
    <s v="A"/>
  </r>
  <r>
    <s v="2025/2026"/>
    <x v="10"/>
    <d v="1899-12-30T16:00:00"/>
    <x v="9"/>
    <x v="2"/>
    <n v="1"/>
    <n v="0"/>
    <s v="H"/>
  </r>
  <r>
    <s v="2025/2026"/>
    <x v="10"/>
    <d v="1899-12-30T16:00:00"/>
    <x v="11"/>
    <x v="9"/>
    <n v="0"/>
    <n v="1"/>
    <s v="A"/>
  </r>
  <r>
    <s v="2025/2026"/>
    <x v="10"/>
    <d v="1899-12-30T16:00:00"/>
    <x v="1"/>
    <x v="8"/>
    <n v="1"/>
    <n v="1"/>
    <s v="D"/>
  </r>
  <r>
    <s v="2025/2026"/>
    <x v="11"/>
    <d v="1899-12-30T16:00:00"/>
    <x v="6"/>
    <x v="10"/>
    <n v="1"/>
    <n v="0"/>
    <s v="H"/>
  </r>
  <r>
    <s v="2025/2026"/>
    <x v="11"/>
    <d v="1899-12-30T16:00:00"/>
    <x v="7"/>
    <x v="7"/>
    <n v="3"/>
    <n v="0"/>
    <s v="H"/>
  </r>
  <r>
    <s v="2025/2026"/>
    <x v="11"/>
    <d v="1899-12-30T16:00:00"/>
    <x v="2"/>
    <x v="3"/>
    <n v="3"/>
    <n v="1"/>
    <s v="H"/>
  </r>
  <r>
    <s v="2025/2026"/>
    <x v="12"/>
    <d v="1899-12-30T13:30:00"/>
    <x v="3"/>
    <x v="1"/>
    <n v="0"/>
    <n v="2"/>
    <s v="A"/>
  </r>
  <r>
    <s v="2025/2026"/>
    <x v="12"/>
    <d v="1899-12-30T13:30:00"/>
    <x v="5"/>
    <x v="11"/>
    <n v="4"/>
    <n v="1"/>
    <s v="H"/>
  </r>
  <r>
    <s v="2025/2026"/>
    <x v="12"/>
    <d v="1899-12-30T16:00:00"/>
    <x v="10"/>
    <x v="4"/>
    <n v="0"/>
    <n v="1"/>
    <s v="A"/>
  </r>
  <r>
    <s v="2025/2026"/>
    <x v="13"/>
    <d v="1899-12-30T16:00:00"/>
    <x v="9"/>
    <x v="6"/>
    <n v="3"/>
    <n v="2"/>
    <s v="H"/>
  </r>
  <r>
    <s v="2025/2026"/>
    <x v="13"/>
    <d v="1899-12-30T16:00:00"/>
    <x v="11"/>
    <x v="8"/>
    <n v="2"/>
    <n v="2"/>
    <s v="D"/>
  </r>
  <r>
    <s v="2025/2026"/>
    <x v="13"/>
    <d v="1899-12-30T16:00:00"/>
    <x v="8"/>
    <x v="0"/>
    <n v="0"/>
    <n v="2"/>
    <s v="A"/>
  </r>
  <r>
    <s v="2025/2026"/>
    <x v="14"/>
    <d v="1899-12-30T16:00:00"/>
    <x v="6"/>
    <x v="11"/>
    <n v="1"/>
    <n v="1"/>
    <s v="D"/>
  </r>
  <r>
    <s v="2025/2026"/>
    <x v="14"/>
    <d v="1899-12-30T13:30:00"/>
    <x v="0"/>
    <x v="5"/>
    <n v="2"/>
    <n v="0"/>
    <s v="H"/>
  </r>
  <r>
    <s v="2025/2026"/>
    <x v="14"/>
    <d v="1899-12-30T16:00:00"/>
    <x v="4"/>
    <x v="9"/>
    <n v="1"/>
    <n v="1"/>
    <s v="D"/>
  </r>
  <r>
    <s v="2025/2026"/>
    <x v="15"/>
    <d v="1899-12-30T16:00:00"/>
    <x v="7"/>
    <x v="2"/>
    <n v="1"/>
    <n v="0"/>
    <s v="H"/>
  </r>
  <r>
    <s v="2025/2026"/>
    <x v="15"/>
    <d v="1899-12-30T16:00:00"/>
    <x v="3"/>
    <x v="7"/>
    <n v="0"/>
    <n v="0"/>
    <s v="D"/>
  </r>
  <r>
    <s v="2025/2026"/>
    <x v="15"/>
    <d v="1899-12-30T16:00:00"/>
    <x v="2"/>
    <x v="10"/>
    <n v="1"/>
    <n v="0"/>
    <s v="H"/>
  </r>
  <r>
    <s v="2025/2026"/>
    <x v="16"/>
    <d v="1899-12-30T13:30:00"/>
    <x v="10"/>
    <x v="1"/>
    <n v="1"/>
    <n v="0"/>
    <s v="H"/>
  </r>
  <r>
    <s v="2025/2026"/>
    <x v="16"/>
    <d v="1899-12-30T13:30:00"/>
    <x v="1"/>
    <x v="3"/>
    <n v="1"/>
    <n v="2"/>
    <s v="A"/>
  </r>
  <r>
    <s v="2025/2026"/>
    <x v="16"/>
    <d v="1899-12-30T16:00:00"/>
    <x v="5"/>
    <x v="4"/>
    <n v="1"/>
    <n v="3"/>
    <s v="A"/>
  </r>
  <r>
    <s v="2025/2026"/>
    <x v="17"/>
    <d v="1899-12-30T16:00:00"/>
    <x v="9"/>
    <x v="5"/>
    <n v="0"/>
    <n v="1"/>
    <s v="A"/>
  </r>
  <r>
    <s v="2025/2026"/>
    <x v="17"/>
    <d v="1899-12-30T16:00:00"/>
    <x v="4"/>
    <x v="8"/>
    <n v="1"/>
    <n v="3"/>
    <s v="A"/>
  </r>
  <r>
    <s v="2025/2026"/>
    <x v="17"/>
    <d v="1899-12-30T16:00:00"/>
    <x v="3"/>
    <x v="11"/>
    <n v="2"/>
    <n v="0"/>
    <s v="H"/>
  </r>
  <r>
    <s v="2025/2026"/>
    <x v="18"/>
    <d v="1899-12-30T13:30:00"/>
    <x v="6"/>
    <x v="0"/>
    <n v="0"/>
    <n v="2"/>
    <s v="A"/>
  </r>
  <r>
    <s v="2025/2026"/>
    <x v="18"/>
    <d v="1899-12-30T13:30:00"/>
    <x v="0"/>
    <x v="1"/>
    <n v="3"/>
    <n v="3"/>
    <s v="D"/>
  </r>
  <r>
    <s v="2025/2026"/>
    <x v="18"/>
    <d v="1899-12-30T16:00:00"/>
    <x v="8"/>
    <x v="9"/>
    <n v="2"/>
    <n v="1"/>
    <s v="H"/>
  </r>
  <r>
    <s v="2025/2026"/>
    <x v="19"/>
    <d v="1899-12-30T16:00:00"/>
    <x v="4"/>
    <x v="1"/>
    <n v="0"/>
    <n v="0"/>
    <s v="D"/>
  </r>
  <r>
    <s v="2025/2026"/>
    <x v="19"/>
    <d v="1899-12-30T16:00:00"/>
    <x v="1"/>
    <x v="4"/>
    <n v="2"/>
    <n v="3"/>
    <s v="A"/>
  </r>
  <r>
    <s v="2025/2026"/>
    <x v="19"/>
    <d v="1899-12-30T16:00:00"/>
    <x v="2"/>
    <x v="6"/>
    <n v="1"/>
    <n v="2"/>
    <s v="A"/>
  </r>
  <r>
    <s v="2025/2026"/>
    <x v="20"/>
    <d v="1899-12-30T13:30:00"/>
    <x v="7"/>
    <x v="0"/>
    <n v="3"/>
    <n v="4"/>
    <s v="A"/>
  </r>
  <r>
    <s v="2025/2026"/>
    <x v="20"/>
    <d v="1899-12-30T13:30:00"/>
    <x v="8"/>
    <x v="2"/>
    <n v="2"/>
    <n v="2"/>
    <s v="D"/>
  </r>
  <r>
    <s v="2025/2026"/>
    <x v="20"/>
    <d v="1899-12-30T16:00:00"/>
    <x v="5"/>
    <x v="10"/>
    <n v="0"/>
    <n v="2"/>
    <s v="A"/>
  </r>
  <r>
    <s v="2025/2026"/>
    <x v="21"/>
    <d v="1899-12-30T16:00:00"/>
    <x v="6"/>
    <x v="1"/>
    <n v="2"/>
    <n v="2"/>
    <s v="D"/>
  </r>
  <r>
    <s v="2025/2026"/>
    <x v="21"/>
    <d v="1899-12-30T16:00:00"/>
    <x v="0"/>
    <x v="7"/>
    <n v="1"/>
    <n v="0"/>
    <s v="H"/>
  </r>
  <r>
    <s v="2025/2026"/>
    <x v="21"/>
    <d v="1899-12-30T16:00:00"/>
    <x v="1"/>
    <x v="5"/>
    <n v="2"/>
    <n v="0"/>
    <s v="H"/>
  </r>
  <r>
    <s v="2025/2026"/>
    <x v="22"/>
    <d v="1899-12-30T13:30:00"/>
    <x v="3"/>
    <x v="9"/>
    <n v="0"/>
    <n v="2"/>
    <s v="A"/>
  </r>
  <r>
    <s v="2025/2026"/>
    <x v="22"/>
    <d v="1899-12-30T13:30:00"/>
    <x v="10"/>
    <x v="8"/>
    <n v="1"/>
    <n v="3"/>
    <s v="A"/>
  </r>
  <r>
    <s v="2025/2026"/>
    <x v="22"/>
    <d v="1899-12-30T16:00:00"/>
    <x v="9"/>
    <x v="3"/>
    <n v="0"/>
    <n v="3"/>
    <s v="A"/>
  </r>
  <r>
    <s v="2025/2026"/>
    <x v="23"/>
    <d v="1899-12-30T16:00:00"/>
    <x v="7"/>
    <x v="10"/>
    <n v="0"/>
    <n v="1"/>
    <s v="A"/>
  </r>
  <r>
    <s v="2025/2026"/>
    <x v="23"/>
    <d v="1899-12-30T16:00:00"/>
    <x v="4"/>
    <x v="2"/>
    <n v="3"/>
    <n v="1"/>
    <s v="H"/>
  </r>
  <r>
    <s v="2025/2026"/>
    <x v="23"/>
    <d v="1899-12-30T16:00:00"/>
    <x v="11"/>
    <x v="4"/>
    <n v="2"/>
    <n v="1"/>
    <s v="H"/>
  </r>
  <r>
    <s v="2025/2026"/>
    <x v="24"/>
    <d v="1899-12-30T13:30:00"/>
    <x v="8"/>
    <x v="6"/>
    <n v="4"/>
    <n v="1"/>
    <s v="H"/>
  </r>
  <r>
    <s v="2025/2026"/>
    <x v="24"/>
    <d v="1899-12-30T13:30:00"/>
    <x v="2"/>
    <x v="11"/>
    <n v="0"/>
    <n v="0"/>
    <s v="D"/>
  </r>
  <r>
    <s v="2025/2026"/>
    <x v="24"/>
    <d v="1899-12-30T16:00:00"/>
    <x v="5"/>
    <x v="0"/>
    <n v="2"/>
    <n v="1"/>
    <s v="H"/>
  </r>
  <r>
    <s v="2025/2026"/>
    <x v="25"/>
    <d v="1899-12-30T16:00:00"/>
    <x v="9"/>
    <x v="7"/>
    <n v="2"/>
    <n v="1"/>
    <s v="H"/>
  </r>
  <r>
    <s v="2025/2026"/>
    <x v="25"/>
    <d v="1899-12-30T16:00:00"/>
    <x v="3"/>
    <x v="5"/>
    <n v="2"/>
    <n v="1"/>
    <s v="H"/>
  </r>
  <r>
    <s v="2025/2026"/>
    <x v="25"/>
    <d v="1899-12-30T16:00:00"/>
    <x v="2"/>
    <x v="1"/>
    <n v="1"/>
    <n v="2"/>
    <s v="A"/>
  </r>
  <r>
    <s v="2025/2026"/>
    <x v="26"/>
    <d v="1899-12-30T13:30:00"/>
    <x v="0"/>
    <x v="2"/>
    <n v="1"/>
    <n v="0"/>
    <s v="H"/>
  </r>
  <r>
    <s v="2025/2026"/>
    <x v="26"/>
    <d v="1899-12-30T13:30:00"/>
    <x v="1"/>
    <x v="9"/>
    <n v="1"/>
    <n v="1"/>
    <s v="D"/>
  </r>
  <r>
    <s v="2025/2026"/>
    <x v="26"/>
    <d v="1899-12-30T16:00:00"/>
    <x v="10"/>
    <x v="3"/>
    <n v="1"/>
    <n v="1"/>
    <s v="D"/>
  </r>
  <r>
    <s v="2025/2026"/>
    <x v="27"/>
    <d v="1899-12-30T16:00:00"/>
    <x v="6"/>
    <x v="8"/>
    <n v="3"/>
    <n v="1"/>
    <s v="H"/>
  </r>
  <r>
    <s v="2025/2026"/>
    <x v="27"/>
    <d v="1899-12-30T16:00:00"/>
    <x v="7"/>
    <x v="4"/>
    <n v="2"/>
    <n v="3"/>
    <s v="A"/>
  </r>
  <r>
    <s v="2025/2026"/>
    <x v="27"/>
    <d v="1899-12-30T16:00:00"/>
    <x v="11"/>
    <x v="6"/>
    <n v="2"/>
    <n v="0"/>
    <s v="H"/>
  </r>
  <r>
    <s v="2025/2026"/>
    <x v="28"/>
    <d v="1899-12-30T13:30:00"/>
    <x v="8"/>
    <x v="11"/>
    <n v="2"/>
    <n v="3"/>
    <s v="A"/>
  </r>
  <r>
    <s v="2025/2026"/>
    <x v="28"/>
    <d v="1899-12-30T13:30:00"/>
    <x v="10"/>
    <x v="10"/>
    <n v="1"/>
    <n v="3"/>
    <s v="A"/>
  </r>
  <r>
    <s v="2025/2026"/>
    <x v="28"/>
    <d v="1899-12-30T16:00:00"/>
    <x v="5"/>
    <x v="7"/>
    <n v="1"/>
    <n v="2"/>
    <s v="A"/>
  </r>
  <r>
    <s v="2025/2026"/>
    <x v="29"/>
    <d v="1899-12-30T16:00:00"/>
    <x v="9"/>
    <x v="11"/>
    <n v="0"/>
    <n v="0"/>
    <s v="D"/>
  </r>
  <r>
    <s v="2025/2026"/>
    <x v="29"/>
    <d v="1899-12-30T16:00:00"/>
    <x v="4"/>
    <x v="5"/>
    <n v="3"/>
    <n v="1"/>
    <s v="H"/>
  </r>
  <r>
    <s v="2025/2026"/>
    <x v="29"/>
    <d v="1899-12-30T16:00:00"/>
    <x v="3"/>
    <x v="8"/>
    <n v="1"/>
    <n v="0"/>
    <s v="H"/>
  </r>
  <r>
    <s v="2025/2026"/>
    <x v="30"/>
    <d v="1899-12-30T13:30:00"/>
    <x v="6"/>
    <x v="3"/>
    <n v="1"/>
    <n v="1"/>
    <s v="D"/>
  </r>
  <r>
    <s v="2025/2026"/>
    <x v="30"/>
    <d v="1899-12-30T13:30:00"/>
    <x v="11"/>
    <x v="0"/>
    <n v="0"/>
    <n v="1"/>
    <s v="A"/>
  </r>
  <r>
    <s v="2025/2026"/>
    <x v="30"/>
    <d v="1899-12-30T16:00:00"/>
    <x v="0"/>
    <x v="9"/>
    <n v="3"/>
    <n v="0"/>
    <s v="H"/>
  </r>
  <r>
    <s v="2025/2026"/>
    <x v="31"/>
    <d v="1899-12-30T19:30:00"/>
    <x v="10"/>
    <x v="11"/>
    <n v="1"/>
    <n v="3"/>
    <s v="A"/>
  </r>
  <r>
    <s v="2025/2026"/>
    <x v="32"/>
    <d v="1899-12-30T16:00:00"/>
    <x v="7"/>
    <x v="3"/>
    <n v="0"/>
    <n v="2"/>
    <s v="A"/>
  </r>
  <r>
    <s v="2025/2026"/>
    <x v="32"/>
    <d v="1899-12-30T16:00:00"/>
    <x v="11"/>
    <x v="10"/>
    <n v="2"/>
    <n v="2"/>
    <s v="D"/>
  </r>
  <r>
    <s v="2025/2026"/>
    <x v="32"/>
    <d v="1899-12-30T16:00:00"/>
    <x v="5"/>
    <x v="6"/>
    <n v="1"/>
    <n v="2"/>
    <s v="A"/>
  </r>
  <r>
    <s v="2025/2026"/>
    <x v="33"/>
    <d v="1899-12-30T13:30:00"/>
    <x v="1"/>
    <x v="2"/>
    <n v="0"/>
    <n v="3"/>
    <s v="A"/>
  </r>
  <r>
    <s v="2025/2026"/>
    <x v="33"/>
    <d v="1899-12-30T13:30:00"/>
    <x v="2"/>
    <x v="4"/>
    <n v="2"/>
    <n v="1"/>
    <s v="H"/>
  </r>
  <r>
    <s v="2025/2026"/>
    <x v="33"/>
    <d v="1899-12-30T16:00:00"/>
    <x v="10"/>
    <x v="7"/>
    <n v="2"/>
    <n v="1"/>
    <s v="H"/>
  </r>
  <r>
    <s v="2025/2026"/>
    <x v="34"/>
    <d v="1899-12-30T16:00:00"/>
    <x v="4"/>
    <x v="10"/>
    <n v="1"/>
    <n v="2"/>
    <s v="A"/>
  </r>
  <r>
    <s v="2025/2026"/>
    <x v="34"/>
    <d v="1899-12-30T16:00:00"/>
    <x v="11"/>
    <x v="11"/>
    <n v="2"/>
    <n v="1"/>
    <s v="H"/>
  </r>
  <r>
    <s v="2025/2026"/>
    <x v="34"/>
    <d v="1899-12-30T16:00:00"/>
    <x v="3"/>
    <x v="2"/>
    <n v="3"/>
    <n v="0"/>
    <s v="H"/>
  </r>
  <r>
    <s v="2025/2026"/>
    <x v="35"/>
    <d v="1899-12-30T13:30:00"/>
    <x v="7"/>
    <x v="9"/>
    <n v="1"/>
    <n v="1"/>
    <s v="D"/>
  </r>
  <r>
    <s v="2025/2026"/>
    <x v="35"/>
    <d v="1899-12-30T13:30:00"/>
    <x v="8"/>
    <x v="8"/>
    <n v="2"/>
    <n v="1"/>
    <s v="H"/>
  </r>
  <r>
    <s v="2025/2026"/>
    <x v="35"/>
    <d v="1899-12-30T16:00:00"/>
    <x v="9"/>
    <x v="0"/>
    <n v="3"/>
    <n v="1"/>
    <s v="H"/>
  </r>
  <r>
    <s v="2025/2026"/>
    <x v="36"/>
    <d v="1899-12-30T19:30:00"/>
    <x v="8"/>
    <x v="4"/>
    <n v="0"/>
    <n v="2"/>
    <s v="A"/>
  </r>
  <r>
    <s v="2025/2026"/>
    <x v="37"/>
    <d v="1899-12-30T16:00:00"/>
    <x v="0"/>
    <x v="11"/>
    <n v="1"/>
    <n v="0"/>
    <s v="H"/>
  </r>
  <r>
    <s v="2025/2026"/>
    <x v="37"/>
    <d v="1899-12-30T16:00:00"/>
    <x v="5"/>
    <x v="1"/>
    <n v="1"/>
    <n v="1"/>
    <s v="D"/>
  </r>
  <r>
    <s v="2025/2026"/>
    <x v="38"/>
    <d v="1899-12-30T13:30:00"/>
    <x v="6"/>
    <x v="5"/>
    <n v="1"/>
    <n v="0"/>
    <s v="H"/>
  </r>
  <r>
    <s v="2025/2026"/>
    <x v="38"/>
    <d v="1899-12-30T13:30:00"/>
    <x v="2"/>
    <x v="7"/>
    <n v="2"/>
    <n v="2"/>
    <s v="D"/>
  </r>
  <r>
    <s v="2025/2026"/>
    <x v="38"/>
    <d v="1899-12-30T16:00:00"/>
    <x v="10"/>
    <x v="6"/>
    <n v="1"/>
    <n v="0"/>
    <s v="H"/>
  </r>
  <r>
    <s v="2025/2026"/>
    <x v="39"/>
    <d v="1899-12-30T16:00:00"/>
    <x v="11"/>
    <x v="2"/>
    <n v="0"/>
    <n v="0"/>
    <s v="D"/>
  </r>
  <r>
    <s v="2025/2026"/>
    <x v="39"/>
    <d v="1899-12-30T16:00:00"/>
    <x v="3"/>
    <x v="10"/>
    <n v="1"/>
    <n v="1"/>
    <s v="D"/>
  </r>
  <r>
    <s v="2025/2026"/>
    <x v="39"/>
    <d v="1899-12-30T16:00:00"/>
    <x v="1"/>
    <x v="0"/>
    <n v="1"/>
    <n v="0"/>
    <s v="H"/>
  </r>
  <r>
    <s v="2025/2026"/>
    <x v="40"/>
    <d v="1899-12-30T13:30:00"/>
    <x v="7"/>
    <x v="8"/>
    <n v="2"/>
    <n v="1"/>
    <s v="H"/>
  </r>
  <r>
    <s v="2025/2026"/>
    <x v="40"/>
    <d v="1899-12-30T13:30:00"/>
    <x v="4"/>
    <x v="3"/>
    <n v="1"/>
    <n v="1"/>
    <s v="D"/>
  </r>
  <r>
    <s v="2025/2026"/>
    <x v="40"/>
    <d v="1899-12-30T16:00:00"/>
    <x v="9"/>
    <x v="9"/>
    <n v="2"/>
    <n v="0"/>
    <s v="H"/>
  </r>
  <r>
    <s v="2025/2026"/>
    <x v="41"/>
    <d v="1899-12-30T16:00:00"/>
    <x v="6"/>
    <x v="4"/>
    <n v="2"/>
    <n v="1"/>
    <s v="H"/>
  </r>
  <r>
    <s v="2025/2026"/>
    <x v="41"/>
    <d v="1899-12-30T16:00:00"/>
    <x v="11"/>
    <x v="7"/>
    <n v="1"/>
    <n v="0"/>
    <s v="H"/>
  </r>
  <r>
    <s v="2025/2026"/>
    <x v="41"/>
    <d v="1899-12-30T16:00:00"/>
    <x v="5"/>
    <x v="8"/>
    <n v="2"/>
    <n v="0"/>
    <s v="H"/>
  </r>
  <r>
    <s v="2025/2026"/>
    <x v="42"/>
    <d v="1899-12-30T13:30:00"/>
    <x v="10"/>
    <x v="5"/>
    <n v="1"/>
    <n v="0"/>
    <s v="H"/>
  </r>
  <r>
    <s v="2025/2026"/>
    <x v="42"/>
    <d v="1899-12-30T13:30:00"/>
    <x v="1"/>
    <x v="6"/>
    <n v="1"/>
    <n v="1"/>
    <s v="D"/>
  </r>
  <r>
    <s v="2025/2026"/>
    <x v="42"/>
    <d v="1899-12-30T16:00:00"/>
    <x v="0"/>
    <x v="3"/>
    <n v="1"/>
    <n v="5"/>
    <s v="A"/>
  </r>
  <r>
    <s v="2025/2026"/>
    <x v="43"/>
    <d v="1899-12-30T16:00:00"/>
    <x v="6"/>
    <x v="9"/>
    <n v="1"/>
    <n v="1"/>
    <s v="D"/>
  </r>
  <r>
    <s v="2025/2026"/>
    <x v="43"/>
    <d v="1899-12-30T16:00:00"/>
    <x v="9"/>
    <x v="10"/>
    <n v="2"/>
    <n v="2"/>
    <s v="D"/>
  </r>
  <r>
    <s v="2025/2026"/>
    <x v="43"/>
    <d v="1899-12-30T16:00:00"/>
    <x v="7"/>
    <x v="11"/>
    <n v="2"/>
    <n v="3"/>
    <s v="A"/>
  </r>
  <r>
    <s v="2025/2026"/>
    <x v="43"/>
    <d v="1899-12-30T16:00:00"/>
    <x v="4"/>
    <x v="6"/>
    <n v="2"/>
    <n v="1"/>
    <s v="H"/>
  </r>
  <r>
    <s v="2025/2026"/>
    <x v="43"/>
    <d v="1899-12-30T16:00:00"/>
    <x v="8"/>
    <x v="1"/>
    <n v="0"/>
    <n v="0"/>
    <s v="D"/>
  </r>
  <r>
    <s v="2025/2026"/>
    <x v="43"/>
    <d v="1899-12-30T16:00:00"/>
    <x v="2"/>
    <x v="0"/>
    <n v="2"/>
    <n v="2"/>
    <s v="D"/>
  </r>
  <r>
    <s v="2025/2026"/>
    <x v="44"/>
    <d v="1899-12-30T16:00:00"/>
    <x v="11"/>
    <x v="5"/>
    <n v="1"/>
    <n v="1"/>
    <s v="D"/>
  </r>
  <r>
    <s v="2025/2026"/>
    <x v="44"/>
    <d v="1899-12-30T16:00:00"/>
    <x v="0"/>
    <x v="8"/>
    <n v="3"/>
    <n v="1"/>
    <s v="H"/>
  </r>
  <r>
    <s v="2025/2026"/>
    <x v="44"/>
    <d v="1899-12-30T16:00:00"/>
    <x v="3"/>
    <x v="4"/>
    <n v="0"/>
    <n v="2"/>
    <s v="A"/>
  </r>
  <r>
    <s v="2025/2026"/>
    <x v="44"/>
    <d v="1899-12-30T16:00:00"/>
    <x v="5"/>
    <x v="3"/>
    <n v="1"/>
    <n v="0"/>
    <s v="H"/>
  </r>
  <r>
    <s v="2025/2026"/>
    <x v="44"/>
    <d v="1899-12-30T16:00:00"/>
    <x v="10"/>
    <x v="2"/>
    <n v="2"/>
    <n v="0"/>
    <s v="H"/>
  </r>
  <r>
    <s v="2025/2026"/>
    <x v="44"/>
    <d v="1899-12-30T16:00:00"/>
    <x v="1"/>
    <x v="7"/>
    <n v="2"/>
    <n v="0"/>
    <s v="H"/>
  </r>
  <r>
    <s v="2025/2026"/>
    <x v="45"/>
    <d v="1899-12-30T18:30:00"/>
    <x v="0"/>
    <x v="1"/>
    <n v="0"/>
    <n v="0"/>
    <s v="D"/>
  </r>
  <r>
    <s v="2025/2026"/>
    <x v="46"/>
    <d v="1899-12-30T16:00:00"/>
    <x v="6"/>
    <x v="5"/>
    <n v="3"/>
    <n v="1"/>
    <s v="H"/>
  </r>
  <r>
    <s v="2025/2026"/>
    <x v="46"/>
    <d v="1899-12-30T16:00:00"/>
    <x v="4"/>
    <x v="8"/>
    <n v="2"/>
    <n v="0"/>
    <s v="H"/>
  </r>
  <r>
    <s v="2025/2026"/>
    <x v="46"/>
    <d v="1899-12-30T16:00:00"/>
    <x v="3"/>
    <x v="11"/>
    <n v="2"/>
    <n v="1"/>
    <s v="H"/>
  </r>
  <r>
    <s v="2025/2026"/>
    <x v="47"/>
    <d v="1899-12-30T13:30:00"/>
    <x v="8"/>
    <x v="9"/>
    <n v="0"/>
    <n v="1"/>
    <s v="A"/>
  </r>
  <r>
    <s v="2025/2026"/>
    <x v="47"/>
    <d v="1899-12-30T16:00:00"/>
    <x v="9"/>
    <x v="0"/>
    <n v="2"/>
    <n v="5"/>
    <s v="A"/>
  </r>
  <r>
    <s v="2025/2026"/>
    <x v="48"/>
    <d v="1899-12-30T18:30:00"/>
    <x v="10"/>
    <x v="3"/>
    <n v="1"/>
    <n v="1"/>
    <s v="D"/>
  </r>
  <r>
    <s v="2025/2026"/>
    <x v="49"/>
    <d v="1899-12-30T16:00:00"/>
    <x v="7"/>
    <x v="6"/>
    <n v="3"/>
    <n v="2"/>
    <s v="H"/>
  </r>
  <r>
    <s v="2025/2026"/>
    <x v="49"/>
    <d v="1899-12-30T16:00:00"/>
    <x v="1"/>
    <x v="7"/>
    <n v="1"/>
    <n v="5"/>
    <s v="A"/>
  </r>
  <r>
    <s v="2025/2026"/>
    <x v="49"/>
    <d v="1899-12-30T16:00:00"/>
    <x v="2"/>
    <x v="2"/>
    <n v="1"/>
    <n v="1"/>
    <s v="D"/>
  </r>
  <r>
    <s v="2025/2026"/>
    <x v="50"/>
    <d v="1899-12-30T13:30:00"/>
    <x v="11"/>
    <x v="4"/>
    <n v="0"/>
    <n v="1"/>
    <s v="A"/>
  </r>
  <r>
    <s v="2025/2026"/>
    <x v="50"/>
    <d v="1899-12-30T16:00:00"/>
    <x v="5"/>
    <x v="10"/>
    <n v="4"/>
    <n v="2"/>
    <s v="H"/>
  </r>
  <r>
    <s v="2025/2026"/>
    <x v="51"/>
    <d v="1899-12-30T18:30:00"/>
    <x v="3"/>
    <x v="2"/>
    <n v="3"/>
    <n v="2"/>
    <s v="H"/>
  </r>
  <r>
    <s v="2025/2026"/>
    <x v="52"/>
    <d v="1899-12-30T16:00:00"/>
    <x v="4"/>
    <x v="5"/>
    <n v="2"/>
    <n v="1"/>
    <s v="H"/>
  </r>
  <r>
    <s v="2025/2026"/>
    <x v="52"/>
    <d v="1899-12-30T16:00:00"/>
    <x v="1"/>
    <x v="8"/>
    <n v="3"/>
    <n v="1"/>
    <s v="H"/>
  </r>
  <r>
    <s v="2025/2026"/>
    <x v="53"/>
    <d v="1899-12-30T13:30:00"/>
    <x v="11"/>
    <x v="3"/>
    <n v="1"/>
    <n v="2"/>
    <s v="A"/>
  </r>
  <r>
    <s v="2025/2026"/>
    <x v="53"/>
    <d v="1899-12-30T13:30:00"/>
    <x v="0"/>
    <x v="4"/>
    <n v="4"/>
    <n v="1"/>
    <s v="H"/>
  </r>
  <r>
    <s v="2025/2026"/>
    <x v="53"/>
    <d v="1899-12-30T16:00:00"/>
    <x v="5"/>
    <x v="0"/>
    <n v="0"/>
    <n v="2"/>
    <s v="A"/>
  </r>
  <r>
    <s v="2025/2026"/>
    <x v="54"/>
    <d v="1899-12-30T18:30:00"/>
    <x v="8"/>
    <x v="10"/>
    <n v="2"/>
    <n v="3"/>
    <s v="A"/>
  </r>
  <r>
    <s v="2025/2026"/>
    <x v="55"/>
    <d v="1899-12-30T16:00:00"/>
    <x v="6"/>
    <x v="7"/>
    <n v="1"/>
    <n v="0"/>
    <s v="H"/>
  </r>
  <r>
    <s v="2025/2026"/>
    <x v="55"/>
    <d v="1899-12-30T16:00:00"/>
    <x v="2"/>
    <x v="6"/>
    <n v="0"/>
    <n v="0"/>
    <s v="D"/>
  </r>
  <r>
    <s v="2025/2026"/>
    <x v="55"/>
    <d v="1899-12-30T18:30:00"/>
    <x v="7"/>
    <x v="11"/>
    <n v="5"/>
    <n v="0"/>
    <s v="H"/>
  </r>
  <r>
    <s v="2025/2026"/>
    <x v="56"/>
    <d v="1899-12-30T13:30:00"/>
    <x v="10"/>
    <x v="1"/>
    <n v="0"/>
    <n v="0"/>
    <s v="D"/>
  </r>
  <r>
    <s v="2025/2026"/>
    <x v="56"/>
    <d v="1899-12-30T16:00:00"/>
    <x v="9"/>
    <x v="9"/>
    <n v="1"/>
    <n v="1"/>
    <s v="D"/>
  </r>
  <r>
    <s v="2025/2026"/>
    <x v="57"/>
    <d v="1899-12-30T18:30:00"/>
    <x v="4"/>
    <x v="6"/>
    <n v="1"/>
    <n v="1"/>
    <s v="D"/>
  </r>
  <r>
    <s v="2025/2026"/>
    <x v="58"/>
    <d v="1899-12-30T16:00:00"/>
    <x v="1"/>
    <x v="2"/>
    <n v="2"/>
    <n v="2"/>
    <s v="D"/>
  </r>
  <r>
    <s v="2025/2026"/>
    <x v="58"/>
    <d v="1899-12-30T16:00:00"/>
    <x v="2"/>
    <x v="5"/>
    <n v="0"/>
    <n v="0"/>
    <s v="D"/>
  </r>
  <r>
    <s v="2025/2026"/>
    <x v="59"/>
    <d v="1899-12-30T13:30:00"/>
    <x v="9"/>
    <x v="3"/>
    <n v="1"/>
    <n v="3"/>
    <s v="A"/>
  </r>
  <r>
    <s v="2025/2026"/>
    <x v="59"/>
    <d v="1899-12-30T13:30:00"/>
    <x v="11"/>
    <x v="9"/>
    <n v="2"/>
    <n v="2"/>
    <s v="D"/>
  </r>
  <r>
    <s v="2025/2026"/>
    <x v="59"/>
    <d v="1899-12-30T16:00:00"/>
    <x v="0"/>
    <x v="0"/>
    <n v="1"/>
    <n v="1"/>
    <s v="D"/>
  </r>
  <r>
    <s v="2025/2026"/>
    <x v="60"/>
    <d v="1899-12-30T17:30:00"/>
    <x v="6"/>
    <x v="11"/>
    <n v="0"/>
    <n v="0"/>
    <s v="D"/>
  </r>
  <r>
    <s v="2025/2026"/>
    <x v="60"/>
    <d v="1899-12-30T17:30:00"/>
    <x v="7"/>
    <x v="8"/>
    <n v="3"/>
    <n v="0"/>
    <s v="H"/>
  </r>
  <r>
    <s v="2025/2026"/>
    <x v="60"/>
    <d v="1899-12-30T19:30:00"/>
    <x v="3"/>
    <x v="7"/>
    <n v="2"/>
    <n v="1"/>
    <s v="H"/>
  </r>
  <r>
    <s v="2025/2026"/>
    <x v="61"/>
    <d v="1899-12-30T17:30:00"/>
    <x v="8"/>
    <x v="4"/>
    <n v="3"/>
    <n v="1"/>
    <s v="H"/>
  </r>
  <r>
    <s v="2025/2026"/>
    <x v="61"/>
    <d v="1899-12-30T17:30:00"/>
    <x v="5"/>
    <x v="1"/>
    <n v="0"/>
    <n v="2"/>
    <s v="A"/>
  </r>
  <r>
    <s v="2025/2026"/>
    <x v="61"/>
    <d v="1899-12-30T19:30:00"/>
    <x v="10"/>
    <x v="10"/>
    <n v="1"/>
    <n v="1"/>
    <s v="D"/>
  </r>
  <r>
    <s v="2025/2026"/>
    <x v="62"/>
    <d v="1899-12-30T18:30:00"/>
    <x v="7"/>
    <x v="2"/>
    <n v="3"/>
    <n v="0"/>
    <s v="H"/>
  </r>
  <r>
    <s v="2025/2026"/>
    <x v="63"/>
    <d v="1899-12-30T16:00:00"/>
    <x v="1"/>
    <x v="6"/>
    <n v="1"/>
    <n v="0"/>
    <s v="H"/>
  </r>
  <r>
    <s v="2025/2026"/>
    <x v="63"/>
    <d v="1899-12-30T16:00:00"/>
    <x v="2"/>
    <x v="7"/>
    <n v="1"/>
    <n v="0"/>
    <s v="H"/>
  </r>
  <r>
    <s v="2025/2026"/>
    <x v="64"/>
    <d v="1899-12-30T13:30:00"/>
    <x v="11"/>
    <x v="10"/>
    <n v="1"/>
    <n v="5"/>
    <s v="A"/>
  </r>
  <r>
    <s v="2025/2026"/>
    <x v="64"/>
    <d v="1899-12-30T13:30:00"/>
    <x v="5"/>
    <x v="3"/>
    <n v="1"/>
    <n v="0"/>
    <s v="H"/>
  </r>
  <r>
    <s v="2025/2026"/>
    <x v="64"/>
    <d v="1899-12-30T16:00:00"/>
    <x v="10"/>
    <x v="4"/>
    <n v="1"/>
    <n v="1"/>
    <s v="D"/>
  </r>
  <r>
    <s v="2025/2026"/>
    <x v="65"/>
    <d v="1899-12-30T16:00:00"/>
    <x v="4"/>
    <x v="11"/>
    <n v="4"/>
    <n v="0"/>
    <s v="H"/>
  </r>
  <r>
    <s v="2025/2026"/>
    <x v="65"/>
    <d v="1899-12-30T16:00:00"/>
    <x v="3"/>
    <x v="5"/>
    <n v="2"/>
    <n v="0"/>
    <s v="H"/>
  </r>
  <r>
    <s v="2025/2026"/>
    <x v="66"/>
    <d v="1899-12-30T13:30:00"/>
    <x v="9"/>
    <x v="1"/>
    <n v="1"/>
    <n v="0"/>
    <s v="H"/>
  </r>
  <r>
    <s v="2025/2026"/>
    <x v="66"/>
    <d v="1899-12-30T16:00:00"/>
    <x v="8"/>
    <x v="0"/>
    <n v="1"/>
    <n v="1"/>
    <s v="D"/>
  </r>
  <r>
    <s v="2025/2026"/>
    <x v="67"/>
    <d v="1899-12-30T17:30:00"/>
    <x v="6"/>
    <x v="8"/>
    <n v="1"/>
    <n v="4"/>
    <s v="A"/>
  </r>
  <r>
    <s v="2025/2026"/>
    <x v="67"/>
    <d v="1899-12-30T19:30:00"/>
    <x v="0"/>
    <x v="9"/>
    <n v="3"/>
    <n v="1"/>
    <s v="H"/>
  </r>
  <r>
    <s v="2025/2026"/>
    <x v="68"/>
    <d v="1899-12-30T16:00:00"/>
    <x v="4"/>
    <x v="2"/>
    <n v="2"/>
    <n v="2"/>
    <s v="D"/>
  </r>
  <r>
    <s v="2025/2026"/>
    <x v="68"/>
    <d v="1899-12-30T16:00:00"/>
    <x v="3"/>
    <x v="8"/>
    <n v="0"/>
    <n v="1"/>
    <s v="A"/>
  </r>
  <r>
    <s v="2025/2026"/>
    <x v="68"/>
    <d v="1899-12-30T16:00:00"/>
    <x v="1"/>
    <x v="5"/>
    <n v="1"/>
    <n v="1"/>
    <s v="D"/>
  </r>
  <r>
    <s v="2025/2026"/>
    <x v="69"/>
    <d v="1899-12-30T16:00:00"/>
    <x v="11"/>
    <x v="0"/>
    <n v="2"/>
    <n v="4"/>
    <s v="A"/>
  </r>
  <r>
    <s v="2025/2026"/>
    <x v="69"/>
    <d v="1899-12-30T16:00:00"/>
    <x v="0"/>
    <x v="3"/>
    <n v="2"/>
    <n v="1"/>
    <s v="H"/>
  </r>
  <r>
    <s v="2025/2026"/>
    <x v="69"/>
    <d v="1899-12-30T16:00:00"/>
    <x v="5"/>
    <x v="4"/>
    <n v="0"/>
    <n v="2"/>
    <s v="A"/>
  </r>
  <r>
    <s v="2025/2026"/>
    <x v="70"/>
    <d v="1899-12-30T16:00:00"/>
    <x v="6"/>
    <x v="6"/>
    <n v="2"/>
    <n v="0"/>
    <s v="H"/>
  </r>
  <r>
    <s v="2025/2026"/>
    <x v="70"/>
    <d v="1899-12-30T16:00:00"/>
    <x v="7"/>
    <x v="7"/>
    <n v="0"/>
    <n v="3"/>
    <s v="A"/>
  </r>
  <r>
    <s v="2025/2026"/>
    <x v="70"/>
    <d v="1899-12-30T16:00:00"/>
    <x v="2"/>
    <x v="11"/>
    <n v="2"/>
    <n v="0"/>
    <s v="H"/>
  </r>
  <r>
    <s v="2025/2026"/>
    <x v="71"/>
    <d v="1899-12-30T13:30:00"/>
    <x v="9"/>
    <x v="10"/>
    <n v="0"/>
    <n v="3"/>
    <s v="A"/>
  </r>
  <r>
    <s v="2025/2026"/>
    <x v="71"/>
    <d v="1899-12-30T13:30:00"/>
    <x v="8"/>
    <x v="1"/>
    <n v="1"/>
    <n v="3"/>
    <s v="A"/>
  </r>
  <r>
    <s v="2025/2026"/>
    <x v="71"/>
    <d v="1899-12-30T13:30:00"/>
    <x v="10"/>
    <x v="9"/>
    <n v="2"/>
    <n v="0"/>
    <s v="H"/>
  </r>
  <r>
    <m/>
    <x v="72"/>
    <m/>
    <x v="12"/>
    <x v="12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n v="0"/>
    <n v="2"/>
    <s v="Sturm Graz"/>
    <n v="0"/>
    <n v="3"/>
  </r>
  <r>
    <x v="1"/>
    <x v="1"/>
    <n v="4"/>
    <n v="2"/>
    <s v="Tirol"/>
    <n v="3"/>
    <n v="0"/>
  </r>
  <r>
    <x v="2"/>
    <x v="2"/>
    <n v="0"/>
    <n v="2"/>
    <s v="Altach"/>
    <n v="0"/>
    <n v="3"/>
  </r>
  <r>
    <x v="3"/>
    <x v="3"/>
    <n v="2"/>
    <n v="2"/>
    <n v="0"/>
    <n v="1"/>
    <n v="1"/>
  </r>
  <r>
    <x v="4"/>
    <x v="4"/>
    <n v="2"/>
    <n v="2"/>
    <n v="0"/>
    <n v="1"/>
    <n v="1"/>
  </r>
  <r>
    <x v="5"/>
    <x v="5"/>
    <n v="1"/>
    <n v="0"/>
    <s v="SK Rapid"/>
    <n v="3"/>
    <n v="0"/>
  </r>
  <r>
    <x v="6"/>
    <x v="6"/>
    <n v="1"/>
    <n v="0"/>
    <s v="Altach"/>
    <n v="3"/>
    <n v="0"/>
  </r>
  <r>
    <x v="7"/>
    <x v="1"/>
    <n v="0"/>
    <n v="1"/>
    <s v="Hartberg"/>
    <n v="0"/>
    <n v="3"/>
  </r>
  <r>
    <x v="8"/>
    <x v="7"/>
    <n v="5"/>
    <n v="0"/>
    <s v="Salzburg"/>
    <n v="3"/>
    <n v="0"/>
  </r>
  <r>
    <x v="9"/>
    <x v="8"/>
    <n v="0"/>
    <n v="2"/>
    <s v="Wolfsberger AC"/>
    <n v="0"/>
    <n v="3"/>
  </r>
  <r>
    <x v="10"/>
    <x v="9"/>
    <n v="1"/>
    <n v="2"/>
    <s v="SK Rapid"/>
    <n v="0"/>
    <n v="3"/>
  </r>
  <r>
    <x v="1"/>
    <x v="10"/>
    <n v="3"/>
    <n v="1"/>
    <s v="Tirol"/>
    <n v="3"/>
    <n v="0"/>
  </r>
  <r>
    <x v="4"/>
    <x v="11"/>
    <n v="1"/>
    <n v="1"/>
    <n v="0"/>
    <n v="1"/>
    <n v="1"/>
  </r>
  <r>
    <x v="11"/>
    <x v="3"/>
    <n v="1"/>
    <n v="2"/>
    <s v="Salzburg"/>
    <n v="0"/>
    <n v="3"/>
  </r>
  <r>
    <x v="3"/>
    <x v="0"/>
    <n v="1"/>
    <n v="3"/>
    <s v="Sturm Graz"/>
    <n v="0"/>
    <n v="3"/>
  </r>
  <r>
    <x v="0"/>
    <x v="4"/>
    <n v="2"/>
    <n v="1"/>
    <s v="LASK"/>
    <n v="3"/>
    <n v="0"/>
  </r>
  <r>
    <x v="5"/>
    <x v="2"/>
    <n v="0"/>
    <n v="0"/>
    <n v="0"/>
    <n v="1"/>
    <n v="1"/>
  </r>
  <r>
    <x v="2"/>
    <x v="5"/>
    <n v="3"/>
    <n v="0"/>
    <s v="Wolfsberger AC"/>
    <n v="3"/>
    <n v="0"/>
  </r>
  <r>
    <x v="7"/>
    <x v="6"/>
    <n v="0"/>
    <n v="2"/>
    <s v="Ried"/>
    <n v="0"/>
    <n v="3"/>
  </r>
  <r>
    <x v="8"/>
    <x v="10"/>
    <n v="3"/>
    <n v="0"/>
    <s v="Salzburg"/>
    <n v="3"/>
    <n v="0"/>
  </r>
  <r>
    <x v="6"/>
    <x v="7"/>
    <n v="1"/>
    <n v="1"/>
    <n v="0"/>
    <n v="1"/>
    <n v="1"/>
  </r>
  <r>
    <x v="9"/>
    <x v="1"/>
    <n v="1"/>
    <n v="3"/>
    <s v="Hartberg"/>
    <n v="0"/>
    <n v="3"/>
  </r>
  <r>
    <x v="2"/>
    <x v="9"/>
    <n v="1"/>
    <n v="2"/>
    <s v="SK Rapid"/>
    <n v="0"/>
    <n v="3"/>
  </r>
  <r>
    <x v="0"/>
    <x v="6"/>
    <n v="1"/>
    <n v="3"/>
    <s v="Ried"/>
    <n v="0"/>
    <n v="3"/>
  </r>
  <r>
    <x v="8"/>
    <x v="5"/>
    <n v="2"/>
    <n v="2"/>
    <n v="0"/>
    <n v="1"/>
    <n v="1"/>
  </r>
  <r>
    <x v="4"/>
    <x v="0"/>
    <n v="0"/>
    <n v="3"/>
    <s v="Sturm Graz"/>
    <n v="0"/>
    <n v="3"/>
  </r>
  <r>
    <x v="9"/>
    <x v="2"/>
    <n v="1"/>
    <n v="0"/>
    <s v="Austria Vienna"/>
    <n v="3"/>
    <n v="0"/>
  </r>
  <r>
    <x v="11"/>
    <x v="9"/>
    <n v="0"/>
    <n v="1"/>
    <s v="SK Rapid"/>
    <n v="0"/>
    <n v="3"/>
  </r>
  <r>
    <x v="1"/>
    <x v="8"/>
    <n v="1"/>
    <n v="1"/>
    <n v="0"/>
    <n v="1"/>
    <n v="1"/>
  </r>
  <r>
    <x v="6"/>
    <x v="10"/>
    <n v="1"/>
    <n v="0"/>
    <s v="Altach"/>
    <n v="3"/>
    <n v="0"/>
  </r>
  <r>
    <x v="7"/>
    <x v="7"/>
    <n v="3"/>
    <n v="0"/>
    <s v="BW Linz"/>
    <n v="3"/>
    <n v="0"/>
  </r>
  <r>
    <x v="2"/>
    <x v="3"/>
    <n v="3"/>
    <n v="1"/>
    <s v="Wolfsberger AC"/>
    <n v="3"/>
    <n v="0"/>
  </r>
  <r>
    <x v="3"/>
    <x v="1"/>
    <n v="0"/>
    <n v="2"/>
    <s v="Hartberg"/>
    <n v="0"/>
    <n v="3"/>
  </r>
  <r>
    <x v="5"/>
    <x v="11"/>
    <n v="4"/>
    <n v="1"/>
    <s v="SK Rapid"/>
    <n v="3"/>
    <n v="0"/>
  </r>
  <r>
    <x v="10"/>
    <x v="4"/>
    <n v="0"/>
    <n v="1"/>
    <s v="Austria Vienna"/>
    <n v="0"/>
    <n v="3"/>
  </r>
  <r>
    <x v="9"/>
    <x v="6"/>
    <n v="3"/>
    <n v="2"/>
    <s v="Austria Vienna"/>
    <n v="3"/>
    <n v="0"/>
  </r>
  <r>
    <x v="11"/>
    <x v="8"/>
    <n v="2"/>
    <n v="2"/>
    <n v="0"/>
    <n v="1"/>
    <n v="1"/>
  </r>
  <r>
    <x v="8"/>
    <x v="0"/>
    <n v="0"/>
    <n v="2"/>
    <s v="Sturm Graz"/>
    <n v="0"/>
    <n v="3"/>
  </r>
  <r>
    <x v="6"/>
    <x v="11"/>
    <n v="1"/>
    <n v="1"/>
    <n v="0"/>
    <n v="1"/>
    <n v="1"/>
  </r>
  <r>
    <x v="0"/>
    <x v="5"/>
    <n v="2"/>
    <n v="0"/>
    <s v="LASK"/>
    <n v="3"/>
    <n v="0"/>
  </r>
  <r>
    <x v="4"/>
    <x v="9"/>
    <n v="1"/>
    <n v="1"/>
    <n v="0"/>
    <n v="1"/>
    <n v="1"/>
  </r>
  <r>
    <x v="7"/>
    <x v="2"/>
    <n v="1"/>
    <n v="0"/>
    <s v="BW Linz"/>
    <n v="3"/>
    <n v="0"/>
  </r>
  <r>
    <x v="3"/>
    <x v="7"/>
    <n v="0"/>
    <n v="0"/>
    <n v="0"/>
    <n v="1"/>
    <n v="1"/>
  </r>
  <r>
    <x v="2"/>
    <x v="10"/>
    <n v="1"/>
    <n v="0"/>
    <s v="Wolfsberger AC"/>
    <n v="3"/>
    <n v="0"/>
  </r>
  <r>
    <x v="10"/>
    <x v="1"/>
    <n v="1"/>
    <n v="0"/>
    <s v="Sturm Graz"/>
    <n v="3"/>
    <n v="0"/>
  </r>
  <r>
    <x v="1"/>
    <x v="3"/>
    <n v="1"/>
    <n v="2"/>
    <s v="Salzburg"/>
    <n v="0"/>
    <n v="3"/>
  </r>
  <r>
    <x v="5"/>
    <x v="4"/>
    <n v="1"/>
    <n v="3"/>
    <s v="Austria Vienna"/>
    <n v="0"/>
    <n v="3"/>
  </r>
  <r>
    <x v="9"/>
    <x v="5"/>
    <n v="0"/>
    <n v="1"/>
    <s v="BW Linz"/>
    <n v="0"/>
    <n v="3"/>
  </r>
  <r>
    <x v="4"/>
    <x v="8"/>
    <n v="1"/>
    <n v="3"/>
    <s v="Wolfsberger AC"/>
    <n v="0"/>
    <n v="3"/>
  </r>
  <r>
    <x v="3"/>
    <x v="11"/>
    <n v="2"/>
    <n v="0"/>
    <s v="Ried"/>
    <n v="3"/>
    <n v="0"/>
  </r>
  <r>
    <x v="6"/>
    <x v="0"/>
    <n v="0"/>
    <n v="2"/>
    <s v="Sturm Graz"/>
    <n v="0"/>
    <n v="3"/>
  </r>
  <r>
    <x v="0"/>
    <x v="1"/>
    <n v="3"/>
    <n v="3"/>
    <n v="0"/>
    <n v="1"/>
    <n v="1"/>
  </r>
  <r>
    <x v="8"/>
    <x v="9"/>
    <n v="2"/>
    <n v="1"/>
    <s v="Salzburg"/>
    <n v="3"/>
    <n v="0"/>
  </r>
  <r>
    <x v="4"/>
    <x v="1"/>
    <n v="0"/>
    <n v="0"/>
    <n v="0"/>
    <n v="1"/>
    <n v="1"/>
  </r>
  <r>
    <x v="1"/>
    <x v="4"/>
    <n v="2"/>
    <n v="3"/>
    <s v="Austria Vienna"/>
    <n v="0"/>
    <n v="3"/>
  </r>
  <r>
    <x v="2"/>
    <x v="6"/>
    <n v="1"/>
    <n v="2"/>
    <s v="Ried"/>
    <n v="0"/>
    <n v="3"/>
  </r>
  <r>
    <x v="7"/>
    <x v="0"/>
    <n v="3"/>
    <n v="4"/>
    <s v="Sturm Graz"/>
    <n v="0"/>
    <n v="3"/>
  </r>
  <r>
    <x v="8"/>
    <x v="2"/>
    <n v="2"/>
    <n v="2"/>
    <n v="0"/>
    <n v="1"/>
    <n v="1"/>
  </r>
  <r>
    <x v="5"/>
    <x v="10"/>
    <n v="0"/>
    <n v="2"/>
    <s v="LASK"/>
    <n v="0"/>
    <n v="3"/>
  </r>
  <r>
    <x v="6"/>
    <x v="1"/>
    <n v="2"/>
    <n v="2"/>
    <n v="0"/>
    <n v="1"/>
    <n v="1"/>
  </r>
  <r>
    <x v="0"/>
    <x v="7"/>
    <n v="1"/>
    <n v="0"/>
    <s v="LASK"/>
    <n v="3"/>
    <n v="0"/>
  </r>
  <r>
    <x v="1"/>
    <x v="5"/>
    <n v="2"/>
    <n v="0"/>
    <s v="Tirol"/>
    <n v="3"/>
    <n v="0"/>
  </r>
  <r>
    <x v="3"/>
    <x v="9"/>
    <n v="0"/>
    <n v="2"/>
    <s v="SK Rapid"/>
    <n v="0"/>
    <n v="3"/>
  </r>
  <r>
    <x v="10"/>
    <x v="8"/>
    <n v="1"/>
    <n v="3"/>
    <s v="Wolfsberger AC"/>
    <n v="0"/>
    <n v="3"/>
  </r>
  <r>
    <x v="9"/>
    <x v="3"/>
    <n v="0"/>
    <n v="3"/>
    <s v="Salzburg"/>
    <n v="0"/>
    <n v="3"/>
  </r>
  <r>
    <x v="7"/>
    <x v="10"/>
    <n v="0"/>
    <n v="1"/>
    <s v="LASK"/>
    <n v="0"/>
    <n v="3"/>
  </r>
  <r>
    <x v="4"/>
    <x v="2"/>
    <n v="3"/>
    <n v="1"/>
    <s v="Grazer AK"/>
    <n v="3"/>
    <n v="0"/>
  </r>
  <r>
    <x v="11"/>
    <x v="4"/>
    <n v="2"/>
    <n v="1"/>
    <s v="Hartberg"/>
    <n v="3"/>
    <n v="0"/>
  </r>
  <r>
    <x v="8"/>
    <x v="6"/>
    <n v="4"/>
    <n v="1"/>
    <s v="Salzburg"/>
    <n v="3"/>
    <n v="0"/>
  </r>
  <r>
    <x v="2"/>
    <x v="11"/>
    <n v="0"/>
    <n v="0"/>
    <n v="0"/>
    <n v="1"/>
    <n v="1"/>
  </r>
  <r>
    <x v="5"/>
    <x v="0"/>
    <n v="2"/>
    <n v="1"/>
    <s v="SK Rapid"/>
    <n v="3"/>
    <n v="0"/>
  </r>
  <r>
    <x v="9"/>
    <x v="7"/>
    <n v="2"/>
    <n v="1"/>
    <s v="Austria Vienna"/>
    <n v="3"/>
    <n v="0"/>
  </r>
  <r>
    <x v="3"/>
    <x v="5"/>
    <n v="2"/>
    <n v="1"/>
    <s v="Ried"/>
    <n v="3"/>
    <n v="0"/>
  </r>
  <r>
    <x v="2"/>
    <x v="1"/>
    <n v="1"/>
    <n v="2"/>
    <s v="Hartberg"/>
    <n v="0"/>
    <n v="3"/>
  </r>
  <r>
    <x v="0"/>
    <x v="2"/>
    <n v="1"/>
    <n v="0"/>
    <s v="LASK"/>
    <n v="3"/>
    <n v="0"/>
  </r>
  <r>
    <x v="1"/>
    <x v="9"/>
    <n v="1"/>
    <n v="1"/>
    <n v="0"/>
    <n v="1"/>
    <n v="1"/>
  </r>
  <r>
    <x v="10"/>
    <x v="3"/>
    <n v="1"/>
    <n v="1"/>
    <n v="0"/>
    <n v="1"/>
    <n v="1"/>
  </r>
  <r>
    <x v="6"/>
    <x v="8"/>
    <n v="3"/>
    <n v="1"/>
    <s v="Altach"/>
    <n v="3"/>
    <n v="0"/>
  </r>
  <r>
    <x v="7"/>
    <x v="4"/>
    <n v="2"/>
    <n v="3"/>
    <s v="Austria Vienna"/>
    <n v="0"/>
    <n v="3"/>
  </r>
  <r>
    <x v="11"/>
    <x v="6"/>
    <n v="2"/>
    <n v="0"/>
    <s v="Hartberg"/>
    <n v="3"/>
    <n v="0"/>
  </r>
  <r>
    <x v="8"/>
    <x v="11"/>
    <n v="2"/>
    <n v="3"/>
    <s v="Tirol"/>
    <n v="0"/>
    <n v="3"/>
  </r>
  <r>
    <x v="10"/>
    <x v="10"/>
    <n v="1"/>
    <n v="3"/>
    <s v="LASK"/>
    <n v="0"/>
    <n v="3"/>
  </r>
  <r>
    <x v="5"/>
    <x v="7"/>
    <n v="1"/>
    <n v="2"/>
    <s v="Grazer AK"/>
    <n v="0"/>
    <n v="3"/>
  </r>
  <r>
    <x v="9"/>
    <x v="11"/>
    <n v="0"/>
    <n v="0"/>
    <n v="0"/>
    <n v="1"/>
    <n v="1"/>
  </r>
  <r>
    <x v="4"/>
    <x v="5"/>
    <n v="3"/>
    <n v="1"/>
    <s v="Grazer AK"/>
    <n v="3"/>
    <n v="0"/>
  </r>
  <r>
    <x v="3"/>
    <x v="8"/>
    <n v="1"/>
    <n v="0"/>
    <s v="Ried"/>
    <n v="3"/>
    <n v="0"/>
  </r>
  <r>
    <x v="6"/>
    <x v="3"/>
    <n v="1"/>
    <n v="1"/>
    <n v="0"/>
    <n v="1"/>
    <n v="1"/>
  </r>
  <r>
    <x v="11"/>
    <x v="0"/>
    <n v="0"/>
    <n v="1"/>
    <s v="Sturm Graz"/>
    <n v="0"/>
    <n v="3"/>
  </r>
  <r>
    <x v="0"/>
    <x v="9"/>
    <n v="3"/>
    <n v="0"/>
    <s v="LASK"/>
    <n v="3"/>
    <n v="0"/>
  </r>
  <r>
    <x v="10"/>
    <x v="11"/>
    <n v="1"/>
    <n v="3"/>
    <s v="Tirol"/>
    <n v="0"/>
    <n v="3"/>
  </r>
  <r>
    <x v="7"/>
    <x v="3"/>
    <n v="0"/>
    <n v="2"/>
    <s v="Salzburg"/>
    <n v="0"/>
    <n v="3"/>
  </r>
  <r>
    <x v="11"/>
    <x v="10"/>
    <n v="2"/>
    <n v="2"/>
    <n v="0"/>
    <n v="1"/>
    <n v="1"/>
  </r>
  <r>
    <x v="5"/>
    <x v="6"/>
    <n v="1"/>
    <n v="2"/>
    <s v="Ried"/>
    <n v="0"/>
    <n v="3"/>
  </r>
  <r>
    <x v="1"/>
    <x v="2"/>
    <n v="0"/>
    <n v="3"/>
    <s v="Altach"/>
    <n v="0"/>
    <n v="3"/>
  </r>
  <r>
    <x v="2"/>
    <x v="4"/>
    <n v="2"/>
    <n v="1"/>
    <s v="Wolfsberger AC"/>
    <n v="3"/>
    <n v="0"/>
  </r>
  <r>
    <x v="10"/>
    <x v="7"/>
    <n v="2"/>
    <n v="1"/>
    <s v="Sturm Graz"/>
    <n v="3"/>
    <n v="0"/>
  </r>
  <r>
    <x v="4"/>
    <x v="10"/>
    <n v="1"/>
    <n v="2"/>
    <s v="LASK"/>
    <n v="0"/>
    <n v="3"/>
  </r>
  <r>
    <x v="11"/>
    <x v="11"/>
    <n v="2"/>
    <n v="1"/>
    <s v="Hartberg"/>
    <n v="3"/>
    <n v="0"/>
  </r>
  <r>
    <x v="3"/>
    <x v="2"/>
    <n v="3"/>
    <n v="0"/>
    <s v="Ried"/>
    <n v="3"/>
    <n v="0"/>
  </r>
  <r>
    <x v="7"/>
    <x v="9"/>
    <n v="1"/>
    <n v="1"/>
    <n v="0"/>
    <n v="1"/>
    <n v="1"/>
  </r>
  <r>
    <x v="8"/>
    <x v="8"/>
    <n v="2"/>
    <n v="1"/>
    <s v="Salzburg"/>
    <n v="3"/>
    <n v="0"/>
  </r>
  <r>
    <x v="9"/>
    <x v="0"/>
    <n v="3"/>
    <n v="1"/>
    <s v="Austria Vienna"/>
    <n v="3"/>
    <n v="0"/>
  </r>
  <r>
    <x v="8"/>
    <x v="4"/>
    <n v="0"/>
    <n v="2"/>
    <s v="Austria Vienna"/>
    <n v="0"/>
    <n v="3"/>
  </r>
  <r>
    <x v="0"/>
    <x v="11"/>
    <n v="1"/>
    <n v="0"/>
    <s v="LASK"/>
    <n v="3"/>
    <n v="0"/>
  </r>
  <r>
    <x v="5"/>
    <x v="1"/>
    <n v="1"/>
    <n v="1"/>
    <n v="0"/>
    <n v="1"/>
    <n v="1"/>
  </r>
  <r>
    <x v="6"/>
    <x v="5"/>
    <n v="1"/>
    <n v="0"/>
    <s v="Altach"/>
    <n v="3"/>
    <n v="0"/>
  </r>
  <r>
    <x v="2"/>
    <x v="7"/>
    <n v="2"/>
    <n v="2"/>
    <n v="0"/>
    <n v="1"/>
    <n v="1"/>
  </r>
  <r>
    <x v="10"/>
    <x v="6"/>
    <n v="1"/>
    <n v="0"/>
    <s v="Sturm Graz"/>
    <n v="3"/>
    <n v="0"/>
  </r>
  <r>
    <x v="11"/>
    <x v="2"/>
    <n v="0"/>
    <n v="0"/>
    <n v="0"/>
    <n v="1"/>
    <n v="1"/>
  </r>
  <r>
    <x v="3"/>
    <x v="10"/>
    <n v="1"/>
    <n v="1"/>
    <n v="0"/>
    <n v="1"/>
    <n v="1"/>
  </r>
  <r>
    <x v="1"/>
    <x v="0"/>
    <n v="1"/>
    <n v="0"/>
    <s v="Tirol"/>
    <n v="3"/>
    <n v="0"/>
  </r>
  <r>
    <x v="7"/>
    <x v="8"/>
    <n v="2"/>
    <n v="1"/>
    <s v="BW Linz"/>
    <n v="3"/>
    <n v="0"/>
  </r>
  <r>
    <x v="4"/>
    <x v="3"/>
    <n v="1"/>
    <n v="1"/>
    <n v="0"/>
    <n v="1"/>
    <n v="1"/>
  </r>
  <r>
    <x v="9"/>
    <x v="9"/>
    <n v="2"/>
    <n v="0"/>
    <s v="Austria Vienna"/>
    <n v="3"/>
    <n v="0"/>
  </r>
  <r>
    <x v="6"/>
    <x v="4"/>
    <n v="2"/>
    <n v="1"/>
    <s v="Altach"/>
    <n v="3"/>
    <n v="0"/>
  </r>
  <r>
    <x v="11"/>
    <x v="7"/>
    <n v="1"/>
    <n v="0"/>
    <s v="Hartberg"/>
    <n v="3"/>
    <n v="0"/>
  </r>
  <r>
    <x v="5"/>
    <x v="8"/>
    <n v="2"/>
    <n v="0"/>
    <s v="SK Rapid"/>
    <n v="3"/>
    <n v="0"/>
  </r>
  <r>
    <x v="10"/>
    <x v="5"/>
    <n v="1"/>
    <n v="0"/>
    <s v="Sturm Graz"/>
    <n v="3"/>
    <n v="0"/>
  </r>
  <r>
    <x v="1"/>
    <x v="6"/>
    <n v="1"/>
    <n v="1"/>
    <n v="0"/>
    <n v="1"/>
    <n v="1"/>
  </r>
  <r>
    <x v="0"/>
    <x v="3"/>
    <n v="1"/>
    <n v="5"/>
    <s v="Salzburg"/>
    <n v="0"/>
    <n v="3"/>
  </r>
  <r>
    <x v="6"/>
    <x v="9"/>
    <n v="1"/>
    <n v="1"/>
    <n v="0"/>
    <n v="1"/>
    <n v="1"/>
  </r>
  <r>
    <x v="9"/>
    <x v="10"/>
    <n v="2"/>
    <n v="2"/>
    <n v="0"/>
    <n v="1"/>
    <n v="1"/>
  </r>
  <r>
    <x v="7"/>
    <x v="11"/>
    <n v="2"/>
    <n v="3"/>
    <s v="Tirol"/>
    <n v="0"/>
    <n v="3"/>
  </r>
  <r>
    <x v="4"/>
    <x v="6"/>
    <n v="2"/>
    <n v="1"/>
    <s v="Grazer AK"/>
    <n v="3"/>
    <n v="0"/>
  </r>
  <r>
    <x v="8"/>
    <x v="1"/>
    <n v="0"/>
    <n v="0"/>
    <n v="0"/>
    <n v="1"/>
    <n v="1"/>
  </r>
  <r>
    <x v="2"/>
    <x v="0"/>
    <n v="2"/>
    <n v="2"/>
    <n v="0"/>
    <n v="1"/>
    <n v="1"/>
  </r>
  <r>
    <x v="11"/>
    <x v="5"/>
    <n v="1"/>
    <n v="1"/>
    <n v="0"/>
    <n v="1"/>
    <n v="1"/>
  </r>
  <r>
    <x v="0"/>
    <x v="8"/>
    <n v="3"/>
    <n v="1"/>
    <s v="LASK"/>
    <n v="3"/>
    <n v="0"/>
  </r>
  <r>
    <x v="3"/>
    <x v="4"/>
    <n v="0"/>
    <n v="2"/>
    <s v="Austria Vienna"/>
    <n v="0"/>
    <n v="3"/>
  </r>
  <r>
    <x v="5"/>
    <x v="3"/>
    <n v="1"/>
    <n v="0"/>
    <s v="SK Rapid"/>
    <n v="3"/>
    <n v="0"/>
  </r>
  <r>
    <x v="10"/>
    <x v="2"/>
    <n v="2"/>
    <n v="0"/>
    <s v="Sturm Graz"/>
    <n v="3"/>
    <n v="0"/>
  </r>
  <r>
    <x v="1"/>
    <x v="7"/>
    <n v="2"/>
    <n v="0"/>
    <s v="Tirol"/>
    <n v="3"/>
    <n v="0"/>
  </r>
  <r>
    <x v="0"/>
    <x v="1"/>
    <n v="0"/>
    <n v="0"/>
    <n v="0"/>
    <n v="1"/>
    <n v="1"/>
  </r>
  <r>
    <x v="6"/>
    <x v="5"/>
    <n v="3"/>
    <n v="1"/>
    <s v="Altach"/>
    <n v="3"/>
    <n v="0"/>
  </r>
  <r>
    <x v="4"/>
    <x v="8"/>
    <n v="2"/>
    <n v="0"/>
    <s v="Grazer AK"/>
    <n v="3"/>
    <n v="0"/>
  </r>
  <r>
    <x v="3"/>
    <x v="11"/>
    <n v="2"/>
    <n v="1"/>
    <s v="Ried"/>
    <n v="3"/>
    <n v="0"/>
  </r>
  <r>
    <x v="8"/>
    <x v="9"/>
    <n v="0"/>
    <n v="1"/>
    <s v="SK Rapid"/>
    <n v="0"/>
    <n v="3"/>
  </r>
  <r>
    <x v="9"/>
    <x v="0"/>
    <n v="2"/>
    <n v="5"/>
    <s v="Sturm Graz"/>
    <n v="0"/>
    <n v="3"/>
  </r>
  <r>
    <x v="10"/>
    <x v="3"/>
    <n v="1"/>
    <n v="1"/>
    <n v="0"/>
    <n v="1"/>
    <n v="1"/>
  </r>
  <r>
    <x v="7"/>
    <x v="6"/>
    <n v="3"/>
    <n v="2"/>
    <s v="BW Linz"/>
    <n v="3"/>
    <n v="0"/>
  </r>
  <r>
    <x v="1"/>
    <x v="7"/>
    <n v="1"/>
    <n v="5"/>
    <s v="Grazer AK"/>
    <n v="0"/>
    <n v="3"/>
  </r>
  <r>
    <x v="2"/>
    <x v="2"/>
    <n v="1"/>
    <n v="1"/>
    <n v="0"/>
    <n v="1"/>
    <n v="1"/>
  </r>
  <r>
    <x v="11"/>
    <x v="4"/>
    <n v="0"/>
    <n v="1"/>
    <s v="Austria Vienna"/>
    <n v="0"/>
    <n v="3"/>
  </r>
  <r>
    <x v="5"/>
    <x v="10"/>
    <n v="4"/>
    <n v="2"/>
    <s v="SK Rapid"/>
    <n v="3"/>
    <n v="0"/>
  </r>
  <r>
    <x v="3"/>
    <x v="2"/>
    <n v="3"/>
    <n v="2"/>
    <s v="Ried"/>
    <n v="3"/>
    <n v="0"/>
  </r>
  <r>
    <x v="4"/>
    <x v="5"/>
    <n v="2"/>
    <n v="1"/>
    <s v="Grazer AK"/>
    <n v="3"/>
    <n v="0"/>
  </r>
  <r>
    <x v="1"/>
    <x v="8"/>
    <n v="3"/>
    <n v="1"/>
    <s v="Tirol"/>
    <n v="3"/>
    <n v="0"/>
  </r>
  <r>
    <x v="11"/>
    <x v="3"/>
    <n v="1"/>
    <n v="2"/>
    <s v="Salzburg"/>
    <n v="0"/>
    <n v="3"/>
  </r>
  <r>
    <x v="0"/>
    <x v="4"/>
    <n v="4"/>
    <n v="1"/>
    <s v="LASK"/>
    <n v="3"/>
    <n v="0"/>
  </r>
  <r>
    <x v="5"/>
    <x v="0"/>
    <n v="0"/>
    <n v="2"/>
    <s v="Sturm Graz"/>
    <n v="0"/>
    <n v="3"/>
  </r>
  <r>
    <x v="8"/>
    <x v="10"/>
    <n v="2"/>
    <n v="3"/>
    <s v="LASK"/>
    <n v="0"/>
    <n v="3"/>
  </r>
  <r>
    <x v="6"/>
    <x v="7"/>
    <n v="1"/>
    <n v="0"/>
    <s v="Altach"/>
    <n v="3"/>
    <n v="0"/>
  </r>
  <r>
    <x v="2"/>
    <x v="6"/>
    <n v="0"/>
    <n v="0"/>
    <n v="0"/>
    <n v="1"/>
    <n v="1"/>
  </r>
  <r>
    <x v="7"/>
    <x v="11"/>
    <n v="5"/>
    <n v="0"/>
    <s v="BW Linz"/>
    <n v="3"/>
    <n v="0"/>
  </r>
  <r>
    <x v="10"/>
    <x v="1"/>
    <n v="0"/>
    <n v="0"/>
    <n v="0"/>
    <n v="1"/>
    <n v="1"/>
  </r>
  <r>
    <x v="9"/>
    <x v="9"/>
    <n v="1"/>
    <n v="1"/>
    <n v="0"/>
    <n v="1"/>
    <n v="1"/>
  </r>
  <r>
    <x v="4"/>
    <x v="6"/>
    <n v="1"/>
    <n v="1"/>
    <n v="0"/>
    <n v="1"/>
    <n v="1"/>
  </r>
  <r>
    <x v="1"/>
    <x v="2"/>
    <n v="2"/>
    <n v="2"/>
    <n v="0"/>
    <n v="1"/>
    <n v="1"/>
  </r>
  <r>
    <x v="2"/>
    <x v="5"/>
    <n v="0"/>
    <n v="0"/>
    <n v="0"/>
    <n v="1"/>
    <n v="1"/>
  </r>
  <r>
    <x v="9"/>
    <x v="3"/>
    <n v="1"/>
    <n v="3"/>
    <s v="Salzburg"/>
    <n v="0"/>
    <n v="3"/>
  </r>
  <r>
    <x v="11"/>
    <x v="9"/>
    <n v="2"/>
    <n v="2"/>
    <n v="0"/>
    <n v="1"/>
    <n v="1"/>
  </r>
  <r>
    <x v="0"/>
    <x v="0"/>
    <n v="1"/>
    <n v="1"/>
    <n v="0"/>
    <n v="1"/>
    <n v="1"/>
  </r>
  <r>
    <x v="6"/>
    <x v="11"/>
    <n v="0"/>
    <n v="0"/>
    <n v="0"/>
    <n v="1"/>
    <n v="1"/>
  </r>
  <r>
    <x v="7"/>
    <x v="8"/>
    <n v="3"/>
    <n v="0"/>
    <s v="BW Linz"/>
    <n v="3"/>
    <n v="0"/>
  </r>
  <r>
    <x v="3"/>
    <x v="7"/>
    <n v="2"/>
    <n v="1"/>
    <s v="Ried"/>
    <n v="3"/>
    <n v="0"/>
  </r>
  <r>
    <x v="8"/>
    <x v="4"/>
    <n v="3"/>
    <n v="1"/>
    <s v="Salzburg"/>
    <n v="3"/>
    <n v="0"/>
  </r>
  <r>
    <x v="5"/>
    <x v="1"/>
    <n v="0"/>
    <n v="2"/>
    <s v="Hartberg"/>
    <n v="0"/>
    <n v="3"/>
  </r>
  <r>
    <x v="10"/>
    <x v="10"/>
    <n v="1"/>
    <n v="1"/>
    <n v="0"/>
    <n v="1"/>
    <n v="1"/>
  </r>
  <r>
    <x v="7"/>
    <x v="2"/>
    <n v="3"/>
    <n v="0"/>
    <s v="BW Linz"/>
    <n v="3"/>
    <n v="0"/>
  </r>
  <r>
    <x v="1"/>
    <x v="6"/>
    <n v="1"/>
    <n v="0"/>
    <s v="Tirol"/>
    <n v="3"/>
    <n v="0"/>
  </r>
  <r>
    <x v="2"/>
    <x v="7"/>
    <n v="1"/>
    <n v="0"/>
    <s v="Wolfsberger AC"/>
    <n v="3"/>
    <n v="0"/>
  </r>
  <r>
    <x v="11"/>
    <x v="10"/>
    <n v="1"/>
    <n v="5"/>
    <s v="LASK"/>
    <n v="0"/>
    <n v="3"/>
  </r>
  <r>
    <x v="5"/>
    <x v="3"/>
    <n v="1"/>
    <n v="0"/>
    <s v="SK Rapid"/>
    <n v="3"/>
    <n v="0"/>
  </r>
  <r>
    <x v="10"/>
    <x v="4"/>
    <n v="1"/>
    <n v="1"/>
    <n v="0"/>
    <n v="1"/>
    <n v="1"/>
  </r>
  <r>
    <x v="4"/>
    <x v="11"/>
    <n v="4"/>
    <n v="0"/>
    <s v="Grazer AK"/>
    <n v="3"/>
    <n v="0"/>
  </r>
  <r>
    <x v="3"/>
    <x v="5"/>
    <n v="2"/>
    <n v="0"/>
    <s v="Ried"/>
    <n v="3"/>
    <n v="0"/>
  </r>
  <r>
    <x v="9"/>
    <x v="1"/>
    <n v="1"/>
    <n v="0"/>
    <s v="Austria Vienna"/>
    <n v="3"/>
    <n v="0"/>
  </r>
  <r>
    <x v="8"/>
    <x v="0"/>
    <n v="1"/>
    <n v="1"/>
    <n v="0"/>
    <n v="1"/>
    <n v="1"/>
  </r>
  <r>
    <x v="6"/>
    <x v="8"/>
    <n v="1"/>
    <n v="4"/>
    <s v="Wolfsberger AC"/>
    <n v="0"/>
    <n v="3"/>
  </r>
  <r>
    <x v="0"/>
    <x v="9"/>
    <n v="3"/>
    <n v="1"/>
    <s v="LASK"/>
    <n v="3"/>
    <n v="0"/>
  </r>
  <r>
    <x v="4"/>
    <x v="2"/>
    <n v="2"/>
    <n v="2"/>
    <n v="0"/>
    <n v="1"/>
    <n v="1"/>
  </r>
  <r>
    <x v="3"/>
    <x v="8"/>
    <n v="0"/>
    <n v="1"/>
    <s v="Wolfsberger AC"/>
    <n v="0"/>
    <n v="3"/>
  </r>
  <r>
    <x v="1"/>
    <x v="5"/>
    <n v="1"/>
    <n v="1"/>
    <n v="0"/>
    <n v="1"/>
    <n v="1"/>
  </r>
  <r>
    <x v="11"/>
    <x v="0"/>
    <n v="2"/>
    <n v="4"/>
    <s v="Sturm Graz"/>
    <n v="0"/>
    <n v="3"/>
  </r>
  <r>
    <x v="0"/>
    <x v="3"/>
    <n v="2"/>
    <n v="1"/>
    <s v="LASK"/>
    <n v="3"/>
    <n v="0"/>
  </r>
  <r>
    <x v="5"/>
    <x v="4"/>
    <n v="0"/>
    <n v="2"/>
    <s v="Austria Vienna"/>
    <n v="0"/>
    <n v="3"/>
  </r>
  <r>
    <x v="6"/>
    <x v="6"/>
    <n v="2"/>
    <n v="0"/>
    <s v="Altach"/>
    <n v="3"/>
    <n v="0"/>
  </r>
  <r>
    <x v="7"/>
    <x v="7"/>
    <n v="0"/>
    <n v="3"/>
    <s v="Grazer AK"/>
    <n v="0"/>
    <n v="3"/>
  </r>
  <r>
    <x v="2"/>
    <x v="11"/>
    <n v="2"/>
    <n v="0"/>
    <s v="Wolfsberger AC"/>
    <n v="3"/>
    <n v="0"/>
  </r>
  <r>
    <x v="9"/>
    <x v="10"/>
    <n v="0"/>
    <n v="3"/>
    <s v="LASK"/>
    <n v="0"/>
    <n v="3"/>
  </r>
  <r>
    <x v="8"/>
    <x v="1"/>
    <n v="1"/>
    <n v="3"/>
    <s v="Hartberg"/>
    <n v="0"/>
    <n v="3"/>
  </r>
  <r>
    <x v="10"/>
    <x v="9"/>
    <n v="2"/>
    <n v="0"/>
    <s v="Sturm Graz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0F787-63D0-453D-992C-1F7B140ECF3A}" name="PivotTable1" cacheId="0" applyNumberFormats="0" applyBorderFormats="0" applyFontFormats="0" applyPatternFormats="0" applyAlignmentFormats="0" applyWidthHeightFormats="1" dataCaption="Werte" updatedVersion="8" minRefreshableVersion="3" itemPrintTitles="1" createdVersion="8" indent="0" outline="1" outlineData="1" multipleFieldFilters="0">
  <location ref="A3:D77" firstHeaderRow="0" firstDataRow="1" firstDataCol="1"/>
  <pivotFields count="15">
    <pivotField showAll="0"/>
    <pivotField axis="axisRow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showAll="0"/>
    <pivotField showAll="0">
      <items count="14">
        <item x="6"/>
        <item x="9"/>
        <item x="7"/>
        <item x="4"/>
        <item x="11"/>
        <item x="0"/>
        <item x="3"/>
        <item x="8"/>
        <item x="5"/>
        <item x="10"/>
        <item x="1"/>
        <item x="2"/>
        <item x="12"/>
        <item t="default"/>
      </items>
    </pivotField>
    <pivotField showAll="0">
      <items count="14">
        <item x="2"/>
        <item x="4"/>
        <item x="5"/>
        <item x="7"/>
        <item x="1"/>
        <item x="10"/>
        <item x="6"/>
        <item x="3"/>
        <item x="9"/>
        <item x="0"/>
        <item x="11"/>
        <item x="8"/>
        <item x="12"/>
        <item t="default"/>
      </items>
    </pivotField>
    <pivotField dataField="1"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me von HG" fld="5" baseField="0" baseItem="0"/>
    <dataField name="Summe von AG" fld="6" baseField="0" baseItem="0"/>
    <dataField name="Summe von Summe Tor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DBBB3-6EC7-42F6-9D90-531E3423F403}" name="PivotTable2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Mannschaften" colHeaderCaption="Gegner">
  <location ref="A3:N17" firstHeaderRow="1" firstDataRow="2" firstDataCol="1"/>
  <pivotFields count="7">
    <pivotField axis="axisRow" showAll="0">
      <items count="13">
        <item x="6"/>
        <item x="9"/>
        <item x="7"/>
        <item x="4"/>
        <item x="0"/>
        <item x="3"/>
        <item x="8"/>
        <item x="11"/>
        <item x="5"/>
        <item x="10"/>
        <item x="1"/>
        <item x="2"/>
        <item t="default"/>
      </items>
    </pivotField>
    <pivotField axis="axisCol" showAll="0">
      <items count="13">
        <item x="2"/>
        <item x="4"/>
        <item x="5"/>
        <item x="7"/>
        <item x="1"/>
        <item x="10"/>
        <item x="6"/>
        <item x="3"/>
        <item x="9"/>
        <item x="0"/>
        <item x="11"/>
        <item x="8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Homepoints vo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09352-AB47-4B31-8EF1-0C62BB7F409F}" name="PivotTable3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Mannschaften" colHeaderCaption="Gegner">
  <location ref="A3:N17" firstHeaderRow="1" firstDataRow="2" firstDataCol="1"/>
  <pivotFields count="7">
    <pivotField axis="axisCol" showAll="0">
      <items count="13">
        <item x="6"/>
        <item x="9"/>
        <item x="7"/>
        <item x="4"/>
        <item x="11"/>
        <item x="0"/>
        <item x="3"/>
        <item x="8"/>
        <item x="5"/>
        <item x="10"/>
        <item x="1"/>
        <item x="2"/>
        <item t="default"/>
      </items>
    </pivotField>
    <pivotField axis="axisRow" showAll="0">
      <items count="13">
        <item x="2"/>
        <item x="4"/>
        <item x="5"/>
        <item x="7"/>
        <item x="1"/>
        <item x="10"/>
        <item x="6"/>
        <item x="3"/>
        <item x="9"/>
        <item x="0"/>
        <item x="11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waypoints vo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FAAFD9F-7AF0-476C-B857-553348780630}" autoFormatId="16" applyNumberFormats="0" applyBorderFormats="0" applyFontFormats="0" applyPatternFormats="0" applyAlignmentFormats="0" applyWidthHeightFormats="0">
  <queryTableRefresh nextId="26">
    <queryTableFields count="25">
      <queryTableField id="1" name="Country" tableColumnId="1"/>
      <queryTableField id="2" name="League" tableColumnId="2"/>
      <queryTableField id="3" name="Season" tableColumnId="3"/>
      <queryTableField id="4" name="Date" tableColumnId="4"/>
      <queryTableField id="5" name="Time" tableColumnId="5"/>
      <queryTableField id="6" name="Home" tableColumnId="6"/>
      <queryTableField id="7" name="Away" tableColumnId="7"/>
      <queryTableField id="8" name="HG" tableColumnId="8"/>
      <queryTableField id="9" name="AG" tableColumnId="9"/>
      <queryTableField id="10" name="Res" tableColumnId="10"/>
      <queryTableField id="11" name="PSCH" tableColumnId="11"/>
      <queryTableField id="12" name="PSCD" tableColumnId="12"/>
      <queryTableField id="13" name="PSCA" tableColumnId="13"/>
      <queryTableField id="14" name="MaxCH" tableColumnId="14"/>
      <queryTableField id="15" name="MaxCD" tableColumnId="15"/>
      <queryTableField id="16" name="MaxCA" tableColumnId="16"/>
      <queryTableField id="17" name="AvgCH" tableColumnId="17"/>
      <queryTableField id="18" name="AvgCD" tableColumnId="18"/>
      <queryTableField id="19" name="AvgCA" tableColumnId="19"/>
      <queryTableField id="20" name="BFECH" tableColumnId="20"/>
      <queryTableField id="21" name="BFECD" tableColumnId="21"/>
      <queryTableField id="22" name="BFECA" tableColumnId="22"/>
      <queryTableField id="23" name="B365CH" tableColumnId="23"/>
      <queryTableField id="24" name="B365CD" tableColumnId="24"/>
      <queryTableField id="25" name="B365C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B824A-AEE8-4F20-99CE-E71F41D889BB}" name="AUT_xls" displayName="AUT_xls" ref="A1:Y2693" tableType="queryTable" totalsRowShown="0">
  <autoFilter ref="A1:Y2693" xr:uid="{BB0B824A-AEE8-4F20-99CE-E71F41D889BB}">
    <filterColumn colId="2">
      <filters>
        <filter val="2025/2026"/>
      </filters>
    </filterColumn>
  </autoFilter>
  <tableColumns count="25">
    <tableColumn id="1" xr3:uid="{4F5B6225-E3FB-4E11-A124-8FC21BEB263D}" uniqueName="1" name="Country" queryTableFieldId="1" dataDxfId="13"/>
    <tableColumn id="2" xr3:uid="{D6A0FAB0-E602-4CAA-96BE-5AFDED81C1F1}" uniqueName="2" name="League" queryTableFieldId="2" dataDxfId="12"/>
    <tableColumn id="3" xr3:uid="{433ABFE5-49EC-401D-8F83-44A1CE9AE17A}" uniqueName="3" name="Season" queryTableFieldId="3" dataDxfId="11"/>
    <tableColumn id="4" xr3:uid="{9B0C3B97-9636-404C-93F7-54960D6C713C}" uniqueName="4" name="Date" queryTableFieldId="4" dataDxfId="10"/>
    <tableColumn id="5" xr3:uid="{A7D5D5DF-157D-4374-B56A-E43EAEB7DC8C}" uniqueName="5" name="Time" queryTableFieldId="5" dataDxfId="9"/>
    <tableColumn id="6" xr3:uid="{72E2DFF2-6FCC-41D4-A530-672C187E909A}" uniqueName="6" name="Home" queryTableFieldId="6" dataDxfId="8"/>
    <tableColumn id="7" xr3:uid="{574963F3-ACB5-42BB-AC7F-4CE594107366}" uniqueName="7" name="Away" queryTableFieldId="7" dataDxfId="7"/>
    <tableColumn id="8" xr3:uid="{80413677-0412-4F6E-826C-129182C48917}" uniqueName="8" name="HG" queryTableFieldId="8"/>
    <tableColumn id="9" xr3:uid="{1B82D773-F34D-4E4F-B5F1-D4FF4380D0D8}" uniqueName="9" name="AG" queryTableFieldId="9"/>
    <tableColumn id="10" xr3:uid="{16F5B656-F646-457D-8A83-F5824F2699D4}" uniqueName="10" name="Res" queryTableFieldId="10" dataDxfId="6"/>
    <tableColumn id="11" xr3:uid="{79E7FFAD-8A38-48CE-979D-D83879798548}" uniqueName="11" name="PSCH" queryTableFieldId="11"/>
    <tableColumn id="12" xr3:uid="{44AC3E99-A4AD-45E4-B832-420B2DB6C257}" uniqueName="12" name="PSCD" queryTableFieldId="12"/>
    <tableColumn id="13" xr3:uid="{AB0DE6FD-1962-4916-A964-3CC0D4FCC02C}" uniqueName="13" name="PSCA" queryTableFieldId="13"/>
    <tableColumn id="14" xr3:uid="{F617FB57-8760-4975-9403-63E337C8EF23}" uniqueName="14" name="MaxCH" queryTableFieldId="14"/>
    <tableColumn id="15" xr3:uid="{66C3465D-F90D-4F4E-B525-430FB9B03ABB}" uniqueName="15" name="MaxCD" queryTableFieldId="15"/>
    <tableColumn id="16" xr3:uid="{C32FF1C6-79ED-45B7-A352-5878912A65FA}" uniqueName="16" name="MaxCA" queryTableFieldId="16"/>
    <tableColumn id="17" xr3:uid="{D8F1B8E8-A89A-4618-8969-18765CB81C0C}" uniqueName="17" name="AvgCH" queryTableFieldId="17"/>
    <tableColumn id="18" xr3:uid="{75B63EF3-A872-4F0D-8B83-DF1A9460FB16}" uniqueName="18" name="AvgCD" queryTableFieldId="18"/>
    <tableColumn id="19" xr3:uid="{52FC9D7A-B78B-46B1-8165-FB1F9854D3D1}" uniqueName="19" name="AvgCA" queryTableFieldId="19"/>
    <tableColumn id="20" xr3:uid="{D19B0910-D4AF-4679-8981-05D8682671E8}" uniqueName="20" name="BFECH" queryTableFieldId="20" dataDxfId="5"/>
    <tableColumn id="21" xr3:uid="{D2031557-EC10-4089-92D9-5F3CBFE76664}" uniqueName="21" name="BFECD" queryTableFieldId="21" dataDxfId="4"/>
    <tableColumn id="22" xr3:uid="{768E53DC-D9A9-476D-B5DA-1A7B4CA17374}" uniqueName="22" name="BFECA" queryTableFieldId="22" dataDxfId="3"/>
    <tableColumn id="23" xr3:uid="{45442C39-6610-49BB-9B0B-C79EB70E8C5A}" uniqueName="23" name="B365CH" queryTableFieldId="23" dataDxfId="2"/>
    <tableColumn id="24" xr3:uid="{5C13E419-8650-4EC2-8660-724DB93C7086}" uniqueName="24" name="B365CD" queryTableFieldId="24" dataDxfId="1"/>
    <tableColumn id="25" xr3:uid="{C7A4C2D3-A137-4187-BBF5-CDFE6F828162}" uniqueName="25" name="B365C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2797-DA37-4B7B-BE78-C2225A979626}">
  <dimension ref="A1:Y2693"/>
  <sheetViews>
    <sheetView workbookViewId="0">
      <selection activeCell="H2639" sqref="H2448:I2639"/>
    </sheetView>
  </sheetViews>
  <sheetFormatPr baseColWidth="10" defaultRowHeight="14.4"/>
  <cols>
    <col min="1" max="1" width="9.6640625" bestFit="1" customWidth="1"/>
    <col min="2" max="2" width="9.77734375" bestFit="1" customWidth="1"/>
    <col min="3" max="3" width="9.6640625" bestFit="1" customWidth="1"/>
    <col min="4" max="4" width="10.109375" bestFit="1" customWidth="1"/>
    <col min="5" max="5" width="8.109375" bestFit="1" customWidth="1"/>
    <col min="6" max="7" width="15.44140625" bestFit="1" customWidth="1"/>
    <col min="8" max="8" width="5.88671875" bestFit="1" customWidth="1"/>
    <col min="9" max="9" width="5.6640625" bestFit="1" customWidth="1"/>
    <col min="10" max="10" width="6.21875" bestFit="1" customWidth="1"/>
    <col min="11" max="11" width="8" bestFit="1" customWidth="1"/>
    <col min="12" max="12" width="7.88671875" bestFit="1" customWidth="1"/>
    <col min="13" max="13" width="7.77734375" bestFit="1" customWidth="1"/>
    <col min="14" max="14" width="9.109375" bestFit="1" customWidth="1"/>
    <col min="15" max="15" width="9" bestFit="1" customWidth="1"/>
    <col min="16" max="16" width="8.88671875" bestFit="1" customWidth="1"/>
    <col min="17" max="17" width="8.6640625" bestFit="1" customWidth="1"/>
    <col min="18" max="18" width="8.5546875" bestFit="1" customWidth="1"/>
    <col min="19" max="19" width="8.44140625" bestFit="1" customWidth="1"/>
    <col min="20" max="20" width="8.88671875" bestFit="1" customWidth="1"/>
    <col min="21" max="21" width="8.77734375" bestFit="1" customWidth="1"/>
    <col min="22" max="22" width="8.6640625" bestFit="1" customWidth="1"/>
    <col min="23" max="23" width="9.88671875" bestFit="1" customWidth="1"/>
    <col min="24" max="24" width="9.77734375" bestFit="1" customWidth="1"/>
    <col min="25" max="25" width="9.6640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>
      <c r="A2" t="s">
        <v>25</v>
      </c>
      <c r="B2" t="s">
        <v>26</v>
      </c>
      <c r="C2" t="s">
        <v>27</v>
      </c>
      <c r="D2" s="1">
        <v>41111</v>
      </c>
      <c r="E2" s="2">
        <v>0.625</v>
      </c>
      <c r="F2" t="s">
        <v>28</v>
      </c>
      <c r="G2" t="s">
        <v>29</v>
      </c>
      <c r="H2">
        <v>0</v>
      </c>
      <c r="I2">
        <v>2</v>
      </c>
      <c r="J2" t="s">
        <v>30</v>
      </c>
      <c r="K2">
        <v>326</v>
      </c>
      <c r="L2">
        <v>334</v>
      </c>
      <c r="M2">
        <v>24</v>
      </c>
      <c r="N2">
        <v>326</v>
      </c>
      <c r="O2">
        <v>34</v>
      </c>
      <c r="P2">
        <v>25</v>
      </c>
      <c r="Q2">
        <v>296</v>
      </c>
      <c r="R2">
        <v>32</v>
      </c>
      <c r="S2">
        <v>233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</row>
    <row r="3" spans="1:25" hidden="1">
      <c r="A3" t="s">
        <v>25</v>
      </c>
      <c r="B3" t="s">
        <v>26</v>
      </c>
      <c r="C3" t="s">
        <v>27</v>
      </c>
      <c r="D3" s="1">
        <v>41111</v>
      </c>
      <c r="E3" s="2">
        <v>0.72916666666666663</v>
      </c>
      <c r="F3" t="s">
        <v>32</v>
      </c>
      <c r="G3" t="s">
        <v>33</v>
      </c>
      <c r="H3">
        <v>2</v>
      </c>
      <c r="I3">
        <v>0</v>
      </c>
      <c r="J3" t="s">
        <v>34</v>
      </c>
      <c r="K3">
        <v>179</v>
      </c>
      <c r="L3">
        <v>381</v>
      </c>
      <c r="M3">
        <v>5</v>
      </c>
      <c r="N3">
        <v>19</v>
      </c>
      <c r="O3">
        <v>381</v>
      </c>
      <c r="P3">
        <v>5</v>
      </c>
      <c r="Q3">
        <v>177</v>
      </c>
      <c r="R3">
        <v>351</v>
      </c>
      <c r="S3">
        <v>433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</row>
    <row r="4" spans="1:25" hidden="1">
      <c r="A4" t="s">
        <v>25</v>
      </c>
      <c r="B4" t="s">
        <v>26</v>
      </c>
      <c r="C4" t="s">
        <v>27</v>
      </c>
      <c r="D4" s="1">
        <v>41111</v>
      </c>
      <c r="E4" s="2">
        <v>0.72916666666666663</v>
      </c>
      <c r="F4" t="s">
        <v>35</v>
      </c>
      <c r="G4" t="s">
        <v>36</v>
      </c>
      <c r="H4">
        <v>4</v>
      </c>
      <c r="I4">
        <v>0</v>
      </c>
      <c r="J4" t="s">
        <v>34</v>
      </c>
      <c r="K4">
        <v>15</v>
      </c>
      <c r="L4">
        <v>446</v>
      </c>
      <c r="M4">
        <v>772</v>
      </c>
      <c r="N4">
        <v>15</v>
      </c>
      <c r="O4">
        <v>446</v>
      </c>
      <c r="P4">
        <v>809</v>
      </c>
      <c r="Q4">
        <v>145</v>
      </c>
      <c r="R4">
        <v>409</v>
      </c>
      <c r="S4">
        <v>709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</row>
    <row r="5" spans="1:25" hidden="1">
      <c r="A5" t="s">
        <v>25</v>
      </c>
      <c r="B5" t="s">
        <v>26</v>
      </c>
      <c r="C5" t="s">
        <v>27</v>
      </c>
      <c r="D5" s="1">
        <v>41112</v>
      </c>
      <c r="E5" s="2">
        <v>0.625</v>
      </c>
      <c r="F5" t="s">
        <v>37</v>
      </c>
      <c r="G5" t="s">
        <v>38</v>
      </c>
      <c r="H5">
        <v>0</v>
      </c>
      <c r="I5">
        <v>2</v>
      </c>
      <c r="J5" t="s">
        <v>30</v>
      </c>
      <c r="K5">
        <v>218</v>
      </c>
      <c r="L5">
        <v>351</v>
      </c>
      <c r="M5">
        <v>361</v>
      </c>
      <c r="N5">
        <v>218</v>
      </c>
      <c r="O5">
        <v>351</v>
      </c>
      <c r="P5">
        <v>377</v>
      </c>
      <c r="Q5">
        <v>212</v>
      </c>
      <c r="R5">
        <v>329</v>
      </c>
      <c r="S5">
        <v>332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</row>
    <row r="6" spans="1:25" hidden="1">
      <c r="A6" t="s">
        <v>25</v>
      </c>
      <c r="B6" t="s">
        <v>26</v>
      </c>
      <c r="C6" t="s">
        <v>27</v>
      </c>
      <c r="D6" s="1">
        <v>41115</v>
      </c>
      <c r="E6" s="2">
        <v>0.72916666666666663</v>
      </c>
      <c r="F6" t="s">
        <v>39</v>
      </c>
      <c r="G6" t="s">
        <v>40</v>
      </c>
      <c r="H6">
        <v>0</v>
      </c>
      <c r="I6">
        <v>1</v>
      </c>
      <c r="J6" t="s">
        <v>30</v>
      </c>
      <c r="K6">
        <v>383</v>
      </c>
      <c r="L6">
        <v>362</v>
      </c>
      <c r="M6">
        <v>206</v>
      </c>
      <c r="N6">
        <v>383</v>
      </c>
      <c r="O6">
        <v>362</v>
      </c>
      <c r="P6">
        <v>21</v>
      </c>
      <c r="Q6">
        <v>353</v>
      </c>
      <c r="R6">
        <v>328</v>
      </c>
      <c r="S6">
        <v>2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</row>
    <row r="7" spans="1:25" hidden="1">
      <c r="A7" t="s">
        <v>25</v>
      </c>
      <c r="B7" t="s">
        <v>26</v>
      </c>
      <c r="C7" t="s">
        <v>27</v>
      </c>
      <c r="D7" s="1">
        <v>41118</v>
      </c>
      <c r="E7" s="2">
        <v>0.72916666666666663</v>
      </c>
      <c r="F7" t="s">
        <v>40</v>
      </c>
      <c r="G7" t="s">
        <v>28</v>
      </c>
      <c r="H7">
        <v>0</v>
      </c>
      <c r="I7">
        <v>1</v>
      </c>
      <c r="J7" t="s">
        <v>30</v>
      </c>
      <c r="K7">
        <v>212</v>
      </c>
      <c r="L7">
        <v>342</v>
      </c>
      <c r="M7">
        <v>391</v>
      </c>
      <c r="N7">
        <v>215</v>
      </c>
      <c r="O7">
        <v>36</v>
      </c>
      <c r="P7">
        <v>403</v>
      </c>
      <c r="Q7">
        <v>199</v>
      </c>
      <c r="R7">
        <v>329</v>
      </c>
      <c r="S7">
        <v>367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</row>
    <row r="8" spans="1:25" hidden="1">
      <c r="A8" t="s">
        <v>25</v>
      </c>
      <c r="B8" t="s">
        <v>26</v>
      </c>
      <c r="C8" t="s">
        <v>27</v>
      </c>
      <c r="D8" s="1">
        <v>41118</v>
      </c>
      <c r="E8" s="2">
        <v>0.72916666666666663</v>
      </c>
      <c r="F8" t="s">
        <v>33</v>
      </c>
      <c r="G8" t="s">
        <v>35</v>
      </c>
      <c r="H8">
        <v>0</v>
      </c>
      <c r="I8">
        <v>1</v>
      </c>
      <c r="J8" t="s">
        <v>30</v>
      </c>
      <c r="K8">
        <v>638</v>
      </c>
      <c r="L8">
        <v>413</v>
      </c>
      <c r="M8">
        <v>161</v>
      </c>
      <c r="N8">
        <v>675</v>
      </c>
      <c r="O8">
        <v>413</v>
      </c>
      <c r="P8">
        <v>17</v>
      </c>
      <c r="Q8">
        <v>58</v>
      </c>
      <c r="R8">
        <v>371</v>
      </c>
      <c r="S8">
        <v>157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</row>
    <row r="9" spans="1:25" hidden="1">
      <c r="A9" t="s">
        <v>25</v>
      </c>
      <c r="B9" t="s">
        <v>26</v>
      </c>
      <c r="C9" t="s">
        <v>27</v>
      </c>
      <c r="D9" s="1">
        <v>41118</v>
      </c>
      <c r="E9" s="2">
        <v>0.72916666666666663</v>
      </c>
      <c r="F9" t="s">
        <v>29</v>
      </c>
      <c r="G9" t="s">
        <v>32</v>
      </c>
      <c r="H9">
        <v>3</v>
      </c>
      <c r="I9">
        <v>2</v>
      </c>
      <c r="J9" t="s">
        <v>34</v>
      </c>
      <c r="K9">
        <v>14</v>
      </c>
      <c r="L9">
        <v>484</v>
      </c>
      <c r="M9">
        <v>951</v>
      </c>
      <c r="N9">
        <v>14</v>
      </c>
      <c r="O9">
        <v>505</v>
      </c>
      <c r="P9">
        <v>10</v>
      </c>
      <c r="Q9">
        <v>136</v>
      </c>
      <c r="R9">
        <v>452</v>
      </c>
      <c r="S9">
        <v>839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</row>
    <row r="10" spans="1:25" hidden="1">
      <c r="A10" t="s">
        <v>25</v>
      </c>
      <c r="B10" t="s">
        <v>26</v>
      </c>
      <c r="C10" t="s">
        <v>27</v>
      </c>
      <c r="D10" s="1">
        <v>41119</v>
      </c>
      <c r="E10" s="2">
        <v>0.625</v>
      </c>
      <c r="F10" t="s">
        <v>36</v>
      </c>
      <c r="G10" t="s">
        <v>37</v>
      </c>
      <c r="H10">
        <v>1</v>
      </c>
      <c r="I10">
        <v>2</v>
      </c>
      <c r="J10" t="s">
        <v>30</v>
      </c>
      <c r="K10">
        <v>244</v>
      </c>
      <c r="L10">
        <v>352</v>
      </c>
      <c r="M10">
        <v>308</v>
      </c>
      <c r="N10">
        <v>244</v>
      </c>
      <c r="O10">
        <v>353</v>
      </c>
      <c r="P10">
        <v>335</v>
      </c>
      <c r="Q10">
        <v>222</v>
      </c>
      <c r="R10">
        <v>327</v>
      </c>
      <c r="S10">
        <v>309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</row>
    <row r="11" spans="1:25" hidden="1">
      <c r="A11" t="s">
        <v>25</v>
      </c>
      <c r="B11" t="s">
        <v>26</v>
      </c>
      <c r="C11" t="s">
        <v>27</v>
      </c>
      <c r="D11" s="1">
        <v>41119</v>
      </c>
      <c r="E11" s="2">
        <v>0.72916666666666663</v>
      </c>
      <c r="F11" t="s">
        <v>38</v>
      </c>
      <c r="G11" t="s">
        <v>39</v>
      </c>
      <c r="H11">
        <v>0</v>
      </c>
      <c r="I11">
        <v>2</v>
      </c>
      <c r="J11" t="s">
        <v>30</v>
      </c>
      <c r="K11">
        <v>151</v>
      </c>
      <c r="L11">
        <v>437</v>
      </c>
      <c r="M11">
        <v>778</v>
      </c>
      <c r="N11">
        <v>175</v>
      </c>
      <c r="O11">
        <v>437</v>
      </c>
      <c r="P11">
        <v>778</v>
      </c>
      <c r="Q11">
        <v>153</v>
      </c>
      <c r="R11">
        <v>38</v>
      </c>
      <c r="S11">
        <v>616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</row>
    <row r="12" spans="1:25" hidden="1">
      <c r="A12" t="s">
        <v>25</v>
      </c>
      <c r="B12" t="s">
        <v>26</v>
      </c>
      <c r="C12" t="s">
        <v>27</v>
      </c>
      <c r="D12" s="1">
        <v>41125</v>
      </c>
      <c r="E12" s="2">
        <v>0.72916666666666663</v>
      </c>
      <c r="F12" t="s">
        <v>39</v>
      </c>
      <c r="G12" t="s">
        <v>29</v>
      </c>
      <c r="H12">
        <v>0</v>
      </c>
      <c r="I12">
        <v>2</v>
      </c>
      <c r="J12" t="s">
        <v>30</v>
      </c>
      <c r="K12">
        <v>578</v>
      </c>
      <c r="L12">
        <v>382</v>
      </c>
      <c r="M12">
        <v>171</v>
      </c>
      <c r="N12">
        <v>578</v>
      </c>
      <c r="O12">
        <v>382</v>
      </c>
      <c r="P12">
        <v>175</v>
      </c>
      <c r="Q12">
        <v>492</v>
      </c>
      <c r="R12">
        <v>363</v>
      </c>
      <c r="S12">
        <v>166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</row>
    <row r="13" spans="1:25" hidden="1">
      <c r="A13" t="s">
        <v>25</v>
      </c>
      <c r="B13" t="s">
        <v>26</v>
      </c>
      <c r="C13" t="s">
        <v>27</v>
      </c>
      <c r="D13" s="1">
        <v>41125</v>
      </c>
      <c r="E13" s="2">
        <v>0.72916666666666663</v>
      </c>
      <c r="F13" t="s">
        <v>32</v>
      </c>
      <c r="G13" t="s">
        <v>28</v>
      </c>
      <c r="H13">
        <v>3</v>
      </c>
      <c r="I13">
        <v>1</v>
      </c>
      <c r="J13" t="s">
        <v>34</v>
      </c>
      <c r="K13">
        <v>264</v>
      </c>
      <c r="L13">
        <v>327</v>
      </c>
      <c r="M13">
        <v>296</v>
      </c>
      <c r="N13">
        <v>267</v>
      </c>
      <c r="O13">
        <v>332</v>
      </c>
      <c r="P13">
        <v>303</v>
      </c>
      <c r="Q13">
        <v>252</v>
      </c>
      <c r="R13">
        <v>318</v>
      </c>
      <c r="S13">
        <v>271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</row>
    <row r="14" spans="1:25" hidden="1">
      <c r="A14" t="s">
        <v>25</v>
      </c>
      <c r="B14" t="s">
        <v>26</v>
      </c>
      <c r="C14" t="s">
        <v>27</v>
      </c>
      <c r="D14" s="1">
        <v>41126</v>
      </c>
      <c r="E14" s="2">
        <v>0.625</v>
      </c>
      <c r="F14" t="s">
        <v>35</v>
      </c>
      <c r="G14" t="s">
        <v>40</v>
      </c>
      <c r="H14">
        <v>0</v>
      </c>
      <c r="I14">
        <v>3</v>
      </c>
      <c r="J14" t="s">
        <v>30</v>
      </c>
      <c r="K14">
        <v>192</v>
      </c>
      <c r="L14">
        <v>346</v>
      </c>
      <c r="M14">
        <v>479</v>
      </c>
      <c r="N14">
        <v>215</v>
      </c>
      <c r="O14">
        <v>353</v>
      </c>
      <c r="P14">
        <v>479</v>
      </c>
      <c r="Q14">
        <v>188</v>
      </c>
      <c r="R14">
        <v>33</v>
      </c>
      <c r="S14">
        <v>411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</row>
    <row r="15" spans="1:25" hidden="1">
      <c r="A15" t="s">
        <v>25</v>
      </c>
      <c r="B15" t="s">
        <v>26</v>
      </c>
      <c r="C15" t="s">
        <v>27</v>
      </c>
      <c r="D15" s="1">
        <v>41126</v>
      </c>
      <c r="E15" s="2">
        <v>0.625</v>
      </c>
      <c r="F15" t="s">
        <v>38</v>
      </c>
      <c r="G15" t="s">
        <v>36</v>
      </c>
      <c r="H15">
        <v>2</v>
      </c>
      <c r="I15">
        <v>0</v>
      </c>
      <c r="J15" t="s">
        <v>34</v>
      </c>
      <c r="K15">
        <v>183</v>
      </c>
      <c r="L15">
        <v>36</v>
      </c>
      <c r="M15">
        <v>511</v>
      </c>
      <c r="N15">
        <v>186</v>
      </c>
      <c r="O15">
        <v>36</v>
      </c>
      <c r="P15">
        <v>513</v>
      </c>
      <c r="Q15">
        <v>18</v>
      </c>
      <c r="R15">
        <v>341</v>
      </c>
      <c r="S15">
        <v>433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</row>
    <row r="16" spans="1:25" hidden="1">
      <c r="A16" t="s">
        <v>25</v>
      </c>
      <c r="B16" t="s">
        <v>26</v>
      </c>
      <c r="C16" t="s">
        <v>27</v>
      </c>
      <c r="D16" s="1">
        <v>41126</v>
      </c>
      <c r="E16" s="2">
        <v>0.72916666666666663</v>
      </c>
      <c r="F16" t="s">
        <v>37</v>
      </c>
      <c r="G16" t="s">
        <v>33</v>
      </c>
      <c r="H16">
        <v>4</v>
      </c>
      <c r="I16">
        <v>0</v>
      </c>
      <c r="J16" t="s">
        <v>34</v>
      </c>
      <c r="K16">
        <v>151</v>
      </c>
      <c r="L16">
        <v>429</v>
      </c>
      <c r="M16">
        <v>785</v>
      </c>
      <c r="N16">
        <v>16</v>
      </c>
      <c r="O16">
        <v>429</v>
      </c>
      <c r="P16">
        <v>785</v>
      </c>
      <c r="Q16">
        <v>152</v>
      </c>
      <c r="R16">
        <v>387</v>
      </c>
      <c r="S16">
        <v>618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</row>
    <row r="17" spans="1:25" hidden="1">
      <c r="A17" t="s">
        <v>25</v>
      </c>
      <c r="B17" t="s">
        <v>26</v>
      </c>
      <c r="C17" t="s">
        <v>27</v>
      </c>
      <c r="D17" s="1">
        <v>41132</v>
      </c>
      <c r="E17" s="2">
        <v>0.72916666666666663</v>
      </c>
      <c r="F17" t="s">
        <v>28</v>
      </c>
      <c r="G17" t="s">
        <v>39</v>
      </c>
      <c r="H17">
        <v>4</v>
      </c>
      <c r="I17">
        <v>1</v>
      </c>
      <c r="J17" t="s">
        <v>34</v>
      </c>
      <c r="K17">
        <v>157</v>
      </c>
      <c r="L17">
        <v>42</v>
      </c>
      <c r="M17">
        <v>661</v>
      </c>
      <c r="N17">
        <v>165</v>
      </c>
      <c r="O17">
        <v>42</v>
      </c>
      <c r="P17">
        <v>661</v>
      </c>
      <c r="Q17">
        <v>156</v>
      </c>
      <c r="R17">
        <v>379</v>
      </c>
      <c r="S17">
        <v>568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</row>
    <row r="18" spans="1:25" hidden="1">
      <c r="A18" t="s">
        <v>25</v>
      </c>
      <c r="B18" t="s">
        <v>26</v>
      </c>
      <c r="C18" t="s">
        <v>27</v>
      </c>
      <c r="D18" s="1">
        <v>41132</v>
      </c>
      <c r="E18" s="2">
        <v>0.72916666666666663</v>
      </c>
      <c r="F18" t="s">
        <v>36</v>
      </c>
      <c r="G18" t="s">
        <v>32</v>
      </c>
      <c r="H18">
        <v>2</v>
      </c>
      <c r="I18">
        <v>1</v>
      </c>
      <c r="J18" t="s">
        <v>34</v>
      </c>
      <c r="K18">
        <v>222</v>
      </c>
      <c r="L18">
        <v>331</v>
      </c>
      <c r="M18">
        <v>366</v>
      </c>
      <c r="N18">
        <v>235</v>
      </c>
      <c r="O18">
        <v>332</v>
      </c>
      <c r="P18">
        <v>366</v>
      </c>
      <c r="Q18">
        <v>222</v>
      </c>
      <c r="R18">
        <v>32</v>
      </c>
      <c r="S18">
        <v>315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</row>
    <row r="19" spans="1:25" hidden="1">
      <c r="A19" t="s">
        <v>25</v>
      </c>
      <c r="B19" t="s">
        <v>26</v>
      </c>
      <c r="C19" t="s">
        <v>27</v>
      </c>
      <c r="D19" s="1">
        <v>41133</v>
      </c>
      <c r="E19" s="2">
        <v>0.625</v>
      </c>
      <c r="F19" t="s">
        <v>33</v>
      </c>
      <c r="G19" t="s">
        <v>38</v>
      </c>
      <c r="H19">
        <v>2</v>
      </c>
      <c r="I19">
        <v>3</v>
      </c>
      <c r="J19" t="s">
        <v>30</v>
      </c>
      <c r="K19">
        <v>345</v>
      </c>
      <c r="L19">
        <v>328</v>
      </c>
      <c r="M19">
        <v>235</v>
      </c>
      <c r="N19">
        <v>37</v>
      </c>
      <c r="O19">
        <v>33</v>
      </c>
      <c r="P19">
        <v>235</v>
      </c>
      <c r="Q19">
        <v>337</v>
      </c>
      <c r="R19">
        <v>32</v>
      </c>
      <c r="S19">
        <v>214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</row>
    <row r="20" spans="1:25" hidden="1">
      <c r="A20" t="s">
        <v>25</v>
      </c>
      <c r="B20" t="s">
        <v>26</v>
      </c>
      <c r="C20" t="s">
        <v>27</v>
      </c>
      <c r="D20" s="1">
        <v>41133</v>
      </c>
      <c r="E20" s="2">
        <v>0.625</v>
      </c>
      <c r="F20" t="s">
        <v>29</v>
      </c>
      <c r="G20" t="s">
        <v>35</v>
      </c>
      <c r="H20">
        <v>0</v>
      </c>
      <c r="I20">
        <v>2</v>
      </c>
      <c r="J20" t="s">
        <v>30</v>
      </c>
      <c r="K20">
        <v>185</v>
      </c>
      <c r="L20">
        <v>36</v>
      </c>
      <c r="M20">
        <v>488</v>
      </c>
      <c r="N20">
        <v>195</v>
      </c>
      <c r="O20">
        <v>36</v>
      </c>
      <c r="P20">
        <v>509</v>
      </c>
      <c r="Q20">
        <v>182</v>
      </c>
      <c r="R20">
        <v>34</v>
      </c>
      <c r="S20">
        <v>433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</row>
    <row r="21" spans="1:25" hidden="1">
      <c r="A21" t="s">
        <v>25</v>
      </c>
      <c r="B21" t="s">
        <v>26</v>
      </c>
      <c r="C21" t="s">
        <v>27</v>
      </c>
      <c r="D21" s="1">
        <v>41133</v>
      </c>
      <c r="E21" s="2">
        <v>0.72916666666666663</v>
      </c>
      <c r="F21" t="s">
        <v>40</v>
      </c>
      <c r="G21" t="s">
        <v>37</v>
      </c>
      <c r="H21">
        <v>1</v>
      </c>
      <c r="I21">
        <v>0</v>
      </c>
      <c r="J21" t="s">
        <v>34</v>
      </c>
      <c r="K21">
        <v>171</v>
      </c>
      <c r="L21">
        <v>394</v>
      </c>
      <c r="M21">
        <v>546</v>
      </c>
      <c r="N21">
        <v>175</v>
      </c>
      <c r="O21">
        <v>394</v>
      </c>
      <c r="P21">
        <v>546</v>
      </c>
      <c r="Q21">
        <v>171</v>
      </c>
      <c r="R21">
        <v>357</v>
      </c>
      <c r="S21">
        <v>469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</row>
    <row r="22" spans="1:25" hidden="1">
      <c r="A22" t="s">
        <v>25</v>
      </c>
      <c r="B22" t="s">
        <v>26</v>
      </c>
      <c r="C22" t="s">
        <v>27</v>
      </c>
      <c r="D22" s="1">
        <v>41139</v>
      </c>
      <c r="E22" s="2">
        <v>0.72916666666666663</v>
      </c>
      <c r="F22" t="s">
        <v>39</v>
      </c>
      <c r="G22" t="s">
        <v>32</v>
      </c>
      <c r="H22">
        <v>0</v>
      </c>
      <c r="I22">
        <v>1</v>
      </c>
      <c r="J22" t="s">
        <v>30</v>
      </c>
      <c r="K22">
        <v>274</v>
      </c>
      <c r="L22">
        <v>346</v>
      </c>
      <c r="M22">
        <v>27</v>
      </c>
      <c r="N22">
        <v>274</v>
      </c>
      <c r="O22">
        <v>346</v>
      </c>
      <c r="P22">
        <v>28</v>
      </c>
      <c r="Q22">
        <v>252</v>
      </c>
      <c r="R22">
        <v>325</v>
      </c>
      <c r="S22">
        <v>268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</row>
    <row r="23" spans="1:25" hidden="1">
      <c r="A23" t="s">
        <v>25</v>
      </c>
      <c r="B23" t="s">
        <v>26</v>
      </c>
      <c r="C23" t="s">
        <v>27</v>
      </c>
      <c r="D23" s="1">
        <v>41139</v>
      </c>
      <c r="E23" s="2">
        <v>0.72916666666666663</v>
      </c>
      <c r="F23" t="s">
        <v>37</v>
      </c>
      <c r="G23" t="s">
        <v>29</v>
      </c>
      <c r="H23">
        <v>4</v>
      </c>
      <c r="I23">
        <v>4</v>
      </c>
      <c r="J23" t="s">
        <v>41</v>
      </c>
      <c r="K23">
        <v>319</v>
      </c>
      <c r="L23">
        <v>337</v>
      </c>
      <c r="M23">
        <v>24</v>
      </c>
      <c r="N23">
        <v>34</v>
      </c>
      <c r="O23">
        <v>35</v>
      </c>
      <c r="P23">
        <v>244</v>
      </c>
      <c r="Q23">
        <v>313</v>
      </c>
      <c r="R23">
        <v>33</v>
      </c>
      <c r="S23">
        <v>221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</row>
    <row r="24" spans="1:25" hidden="1">
      <c r="A24" t="s">
        <v>25</v>
      </c>
      <c r="B24" t="s">
        <v>26</v>
      </c>
      <c r="C24" t="s">
        <v>27</v>
      </c>
      <c r="D24" s="1">
        <v>41139</v>
      </c>
      <c r="E24" s="2">
        <v>0.72916666666666663</v>
      </c>
      <c r="F24" t="s">
        <v>35</v>
      </c>
      <c r="G24" t="s">
        <v>28</v>
      </c>
      <c r="H24">
        <v>3</v>
      </c>
      <c r="I24">
        <v>0</v>
      </c>
      <c r="J24" t="s">
        <v>34</v>
      </c>
      <c r="K24">
        <v>166</v>
      </c>
      <c r="L24">
        <v>396</v>
      </c>
      <c r="M24">
        <v>576</v>
      </c>
      <c r="N24">
        <v>18</v>
      </c>
      <c r="O24">
        <v>396</v>
      </c>
      <c r="P24">
        <v>576</v>
      </c>
      <c r="Q24">
        <v>17</v>
      </c>
      <c r="R24">
        <v>356</v>
      </c>
      <c r="S24">
        <v>488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</row>
    <row r="25" spans="1:25" hidden="1">
      <c r="A25" t="s">
        <v>25</v>
      </c>
      <c r="B25" t="s">
        <v>26</v>
      </c>
      <c r="C25" t="s">
        <v>27</v>
      </c>
      <c r="D25" s="1">
        <v>41139</v>
      </c>
      <c r="E25" s="2">
        <v>0.72916666666666663</v>
      </c>
      <c r="F25" t="s">
        <v>36</v>
      </c>
      <c r="G25" t="s">
        <v>33</v>
      </c>
      <c r="H25">
        <v>2</v>
      </c>
      <c r="I25">
        <v>3</v>
      </c>
      <c r="J25" t="s">
        <v>30</v>
      </c>
      <c r="K25">
        <v>151</v>
      </c>
      <c r="L25">
        <v>426</v>
      </c>
      <c r="M25">
        <v>779</v>
      </c>
      <c r="N25">
        <v>17</v>
      </c>
      <c r="O25">
        <v>426</v>
      </c>
      <c r="P25">
        <v>779</v>
      </c>
      <c r="Q25">
        <v>158</v>
      </c>
      <c r="R25">
        <v>37</v>
      </c>
      <c r="S25">
        <v>592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</row>
    <row r="26" spans="1:25" hidden="1">
      <c r="A26" t="s">
        <v>25</v>
      </c>
      <c r="B26" t="s">
        <v>26</v>
      </c>
      <c r="C26" t="s">
        <v>27</v>
      </c>
      <c r="D26" s="1">
        <v>41140</v>
      </c>
      <c r="E26" s="2">
        <v>0.625</v>
      </c>
      <c r="F26" t="s">
        <v>38</v>
      </c>
      <c r="G26" t="s">
        <v>40</v>
      </c>
      <c r="H26">
        <v>0</v>
      </c>
      <c r="I26">
        <v>1</v>
      </c>
      <c r="J26" t="s">
        <v>30</v>
      </c>
      <c r="K26">
        <v>26</v>
      </c>
      <c r="L26">
        <v>324</v>
      </c>
      <c r="M26">
        <v>302</v>
      </c>
      <c r="N26">
        <v>265</v>
      </c>
      <c r="O26">
        <v>329</v>
      </c>
      <c r="P26">
        <v>302</v>
      </c>
      <c r="Q26">
        <v>25</v>
      </c>
      <c r="R26">
        <v>317</v>
      </c>
      <c r="S26">
        <v>275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</row>
    <row r="27" spans="1:25" hidden="1">
      <c r="A27" t="s">
        <v>25</v>
      </c>
      <c r="B27" t="s">
        <v>26</v>
      </c>
      <c r="C27" t="s">
        <v>27</v>
      </c>
      <c r="D27" s="1">
        <v>41146</v>
      </c>
      <c r="E27" s="2">
        <v>0.72916666666666663</v>
      </c>
      <c r="F27" t="s">
        <v>40</v>
      </c>
      <c r="G27" t="s">
        <v>36</v>
      </c>
      <c r="H27">
        <v>2</v>
      </c>
      <c r="I27">
        <v>0</v>
      </c>
      <c r="J27" t="s">
        <v>34</v>
      </c>
      <c r="K27">
        <v>15</v>
      </c>
      <c r="L27">
        <v>443</v>
      </c>
      <c r="M27">
        <v>75</v>
      </c>
      <c r="N27">
        <v>155</v>
      </c>
      <c r="O27">
        <v>47</v>
      </c>
      <c r="P27">
        <v>919</v>
      </c>
      <c r="Q27">
        <v>149</v>
      </c>
      <c r="R27">
        <v>398</v>
      </c>
      <c r="S27">
        <v>655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</row>
    <row r="28" spans="1:25" hidden="1">
      <c r="A28" t="s">
        <v>25</v>
      </c>
      <c r="B28" t="s">
        <v>26</v>
      </c>
      <c r="C28" t="s">
        <v>27</v>
      </c>
      <c r="D28" s="1">
        <v>41146</v>
      </c>
      <c r="E28" s="2">
        <v>0.72916666666666663</v>
      </c>
      <c r="F28" t="s">
        <v>32</v>
      </c>
      <c r="G28" t="s">
        <v>38</v>
      </c>
      <c r="H28">
        <v>2</v>
      </c>
      <c r="I28">
        <v>1</v>
      </c>
      <c r="J28" t="s">
        <v>34</v>
      </c>
      <c r="K28">
        <v>239</v>
      </c>
      <c r="L28">
        <v>335</v>
      </c>
      <c r="M28">
        <v>324</v>
      </c>
      <c r="N28">
        <v>262</v>
      </c>
      <c r="O28">
        <v>34</v>
      </c>
      <c r="P28">
        <v>324</v>
      </c>
      <c r="Q28">
        <v>239</v>
      </c>
      <c r="R28">
        <v>321</v>
      </c>
      <c r="S28">
        <v>288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</row>
    <row r="29" spans="1:25" hidden="1">
      <c r="A29" t="s">
        <v>25</v>
      </c>
      <c r="B29" t="s">
        <v>26</v>
      </c>
      <c r="C29" t="s">
        <v>27</v>
      </c>
      <c r="D29" s="1">
        <v>41146</v>
      </c>
      <c r="E29" s="2">
        <v>0.72916666666666663</v>
      </c>
      <c r="F29" t="s">
        <v>29</v>
      </c>
      <c r="G29" t="s">
        <v>33</v>
      </c>
      <c r="H29">
        <v>1</v>
      </c>
      <c r="I29">
        <v>1</v>
      </c>
      <c r="J29" t="s">
        <v>41</v>
      </c>
      <c r="K29">
        <v>121</v>
      </c>
      <c r="L29">
        <v>726</v>
      </c>
      <c r="M29">
        <v>1574</v>
      </c>
      <c r="N29">
        <v>125</v>
      </c>
      <c r="O29">
        <v>74</v>
      </c>
      <c r="P29">
        <v>163</v>
      </c>
      <c r="Q29">
        <v>12</v>
      </c>
      <c r="R29">
        <v>63</v>
      </c>
      <c r="S29">
        <v>1249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</row>
    <row r="30" spans="1:25" hidden="1">
      <c r="A30" t="s">
        <v>25</v>
      </c>
      <c r="B30" t="s">
        <v>26</v>
      </c>
      <c r="C30" t="s">
        <v>27</v>
      </c>
      <c r="D30" s="1">
        <v>41146</v>
      </c>
      <c r="E30" s="2">
        <v>0.72916666666666663</v>
      </c>
      <c r="F30" t="s">
        <v>28</v>
      </c>
      <c r="G30" t="s">
        <v>37</v>
      </c>
      <c r="H30">
        <v>3</v>
      </c>
      <c r="I30">
        <v>2</v>
      </c>
      <c r="J30" t="s">
        <v>34</v>
      </c>
      <c r="K30">
        <v>202</v>
      </c>
      <c r="L30">
        <v>363</v>
      </c>
      <c r="M30">
        <v>396</v>
      </c>
      <c r="N30">
        <v>208</v>
      </c>
      <c r="O30">
        <v>375</v>
      </c>
      <c r="P30">
        <v>409</v>
      </c>
      <c r="Q30">
        <v>198</v>
      </c>
      <c r="R30">
        <v>338</v>
      </c>
      <c r="S30">
        <v>363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</row>
    <row r="31" spans="1:25" hidden="1">
      <c r="A31" t="s">
        <v>25</v>
      </c>
      <c r="B31" t="s">
        <v>26</v>
      </c>
      <c r="C31" t="s">
        <v>27</v>
      </c>
      <c r="D31" s="1">
        <v>41147</v>
      </c>
      <c r="E31" s="2">
        <v>0.625</v>
      </c>
      <c r="F31" t="s">
        <v>39</v>
      </c>
      <c r="G31" t="s">
        <v>35</v>
      </c>
      <c r="H31">
        <v>1</v>
      </c>
      <c r="I31">
        <v>0</v>
      </c>
      <c r="J31" t="s">
        <v>34</v>
      </c>
      <c r="K31">
        <v>488</v>
      </c>
      <c r="L31">
        <v>366</v>
      </c>
      <c r="M31">
        <v>183</v>
      </c>
      <c r="N31">
        <v>56</v>
      </c>
      <c r="O31">
        <v>38</v>
      </c>
      <c r="P31">
        <v>184</v>
      </c>
      <c r="Q31">
        <v>497</v>
      </c>
      <c r="R31">
        <v>356</v>
      </c>
      <c r="S31">
        <v>169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</row>
    <row r="32" spans="1:25" hidden="1">
      <c r="A32" t="s">
        <v>25</v>
      </c>
      <c r="B32" t="s">
        <v>26</v>
      </c>
      <c r="C32" t="s">
        <v>27</v>
      </c>
      <c r="D32" s="1">
        <v>41153</v>
      </c>
      <c r="E32" s="2">
        <v>0.72916666666666663</v>
      </c>
      <c r="F32" t="s">
        <v>37</v>
      </c>
      <c r="G32" t="s">
        <v>39</v>
      </c>
      <c r="H32">
        <v>1</v>
      </c>
      <c r="I32">
        <v>1</v>
      </c>
      <c r="J32" t="s">
        <v>41</v>
      </c>
      <c r="K32">
        <v>156</v>
      </c>
      <c r="L32">
        <v>473</v>
      </c>
      <c r="M32">
        <v>58</v>
      </c>
      <c r="N32">
        <v>165</v>
      </c>
      <c r="O32">
        <v>49</v>
      </c>
      <c r="P32">
        <v>58</v>
      </c>
      <c r="Q32">
        <v>157</v>
      </c>
      <c r="R32">
        <v>4</v>
      </c>
      <c r="S32">
        <v>529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</row>
    <row r="33" spans="1:25" hidden="1">
      <c r="A33" t="s">
        <v>25</v>
      </c>
      <c r="B33" t="s">
        <v>26</v>
      </c>
      <c r="C33" t="s">
        <v>27</v>
      </c>
      <c r="D33" s="1">
        <v>41153</v>
      </c>
      <c r="E33" s="2">
        <v>0.72916666666666663</v>
      </c>
      <c r="F33" t="s">
        <v>33</v>
      </c>
      <c r="G33" t="s">
        <v>40</v>
      </c>
      <c r="H33">
        <v>0</v>
      </c>
      <c r="I33">
        <v>2</v>
      </c>
      <c r="J33" t="s">
        <v>30</v>
      </c>
      <c r="K33">
        <v>525</v>
      </c>
      <c r="L33">
        <v>376</v>
      </c>
      <c r="M33">
        <v>176</v>
      </c>
      <c r="N33">
        <v>56</v>
      </c>
      <c r="O33">
        <v>43</v>
      </c>
      <c r="P33">
        <v>18</v>
      </c>
      <c r="Q33">
        <v>462</v>
      </c>
      <c r="R33">
        <v>351</v>
      </c>
      <c r="S33">
        <v>174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</row>
    <row r="34" spans="1:25" hidden="1">
      <c r="A34" t="s">
        <v>25</v>
      </c>
      <c r="B34" t="s">
        <v>26</v>
      </c>
      <c r="C34" t="s">
        <v>27</v>
      </c>
      <c r="D34" s="1">
        <v>41153</v>
      </c>
      <c r="E34" s="2">
        <v>0.72916666666666663</v>
      </c>
      <c r="F34" t="s">
        <v>38</v>
      </c>
      <c r="G34" t="s">
        <v>28</v>
      </c>
      <c r="H34">
        <v>0</v>
      </c>
      <c r="I34">
        <v>1</v>
      </c>
      <c r="J34" t="s">
        <v>30</v>
      </c>
      <c r="K34">
        <v>249</v>
      </c>
      <c r="L34">
        <v>324</v>
      </c>
      <c r="M34">
        <v>316</v>
      </c>
      <c r="N34">
        <v>254</v>
      </c>
      <c r="O34">
        <v>34</v>
      </c>
      <c r="P34">
        <v>318</v>
      </c>
      <c r="Q34">
        <v>234</v>
      </c>
      <c r="R34">
        <v>317</v>
      </c>
      <c r="S34">
        <v>3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</row>
    <row r="35" spans="1:25" hidden="1">
      <c r="A35" t="s">
        <v>25</v>
      </c>
      <c r="B35" t="s">
        <v>26</v>
      </c>
      <c r="C35" t="s">
        <v>27</v>
      </c>
      <c r="D35" s="1">
        <v>41153</v>
      </c>
      <c r="E35" s="2">
        <v>0.72916666666666663</v>
      </c>
      <c r="F35" t="s">
        <v>36</v>
      </c>
      <c r="G35" t="s">
        <v>29</v>
      </c>
      <c r="H35">
        <v>0</v>
      </c>
      <c r="I35">
        <v>4</v>
      </c>
      <c r="J35" t="s">
        <v>30</v>
      </c>
      <c r="K35">
        <v>385</v>
      </c>
      <c r="L35">
        <v>357</v>
      </c>
      <c r="M35">
        <v>204</v>
      </c>
      <c r="N35">
        <v>45</v>
      </c>
      <c r="O35">
        <v>357</v>
      </c>
      <c r="P35">
        <v>206</v>
      </c>
      <c r="Q35">
        <v>37</v>
      </c>
      <c r="R35">
        <v>335</v>
      </c>
      <c r="S35">
        <v>196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</row>
    <row r="36" spans="1:25" hidden="1">
      <c r="A36" t="s">
        <v>25</v>
      </c>
      <c r="B36" t="s">
        <v>26</v>
      </c>
      <c r="C36" t="s">
        <v>27</v>
      </c>
      <c r="D36" s="1">
        <v>41154</v>
      </c>
      <c r="E36" s="2">
        <v>0.625</v>
      </c>
      <c r="F36" t="s">
        <v>35</v>
      </c>
      <c r="G36" t="s">
        <v>32</v>
      </c>
      <c r="H36">
        <v>3</v>
      </c>
      <c r="I36">
        <v>0</v>
      </c>
      <c r="J36" t="s">
        <v>34</v>
      </c>
      <c r="K36">
        <v>153</v>
      </c>
      <c r="L36">
        <v>45</v>
      </c>
      <c r="M36">
        <v>675</v>
      </c>
      <c r="N36">
        <v>157</v>
      </c>
      <c r="O36">
        <v>459</v>
      </c>
      <c r="P36">
        <v>675</v>
      </c>
      <c r="Q36">
        <v>152</v>
      </c>
      <c r="R36">
        <v>399</v>
      </c>
      <c r="S36">
        <v>601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</row>
    <row r="37" spans="1:25" hidden="1">
      <c r="A37" t="s">
        <v>25</v>
      </c>
      <c r="B37" t="s">
        <v>26</v>
      </c>
      <c r="C37" t="s">
        <v>27</v>
      </c>
      <c r="D37" s="1">
        <v>41167</v>
      </c>
      <c r="E37" s="2">
        <v>0.625</v>
      </c>
      <c r="F37" t="s">
        <v>39</v>
      </c>
      <c r="G37" t="s">
        <v>33</v>
      </c>
      <c r="H37">
        <v>6</v>
      </c>
      <c r="I37">
        <v>0</v>
      </c>
      <c r="J37" t="s">
        <v>34</v>
      </c>
      <c r="K37">
        <v>178</v>
      </c>
      <c r="L37">
        <v>383</v>
      </c>
      <c r="M37">
        <v>493</v>
      </c>
      <c r="N37">
        <v>192</v>
      </c>
      <c r="O37">
        <v>383</v>
      </c>
      <c r="P37">
        <v>493</v>
      </c>
      <c r="Q37">
        <v>18</v>
      </c>
      <c r="R37">
        <v>348</v>
      </c>
      <c r="S37">
        <v>431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</row>
    <row r="38" spans="1:25" hidden="1">
      <c r="A38" t="s">
        <v>25</v>
      </c>
      <c r="B38" t="s">
        <v>26</v>
      </c>
      <c r="C38" t="s">
        <v>27</v>
      </c>
      <c r="D38" s="1">
        <v>41167</v>
      </c>
      <c r="E38" s="2">
        <v>0.72916666666666663</v>
      </c>
      <c r="F38" t="s">
        <v>35</v>
      </c>
      <c r="G38" t="s">
        <v>37</v>
      </c>
      <c r="H38">
        <v>0</v>
      </c>
      <c r="I38">
        <v>0</v>
      </c>
      <c r="J38" t="s">
        <v>41</v>
      </c>
      <c r="K38">
        <v>144</v>
      </c>
      <c r="L38">
        <v>48</v>
      </c>
      <c r="M38">
        <v>809</v>
      </c>
      <c r="N38">
        <v>155</v>
      </c>
      <c r="O38">
        <v>48</v>
      </c>
      <c r="P38">
        <v>809</v>
      </c>
      <c r="Q38">
        <v>147</v>
      </c>
      <c r="R38">
        <v>427</v>
      </c>
      <c r="S38">
        <v>632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</row>
    <row r="39" spans="1:25" hidden="1">
      <c r="A39" t="s">
        <v>25</v>
      </c>
      <c r="B39" t="s">
        <v>26</v>
      </c>
      <c r="C39" t="s">
        <v>27</v>
      </c>
      <c r="D39" s="1">
        <v>41167</v>
      </c>
      <c r="E39" s="2">
        <v>0.72916666666666663</v>
      </c>
      <c r="F39" t="s">
        <v>29</v>
      </c>
      <c r="G39" t="s">
        <v>38</v>
      </c>
      <c r="H39">
        <v>1</v>
      </c>
      <c r="I39">
        <v>1</v>
      </c>
      <c r="J39" t="s">
        <v>41</v>
      </c>
      <c r="K39">
        <v>156</v>
      </c>
      <c r="L39">
        <v>437</v>
      </c>
      <c r="M39">
        <v>65</v>
      </c>
      <c r="N39">
        <v>157</v>
      </c>
      <c r="O39">
        <v>44</v>
      </c>
      <c r="P39">
        <v>712</v>
      </c>
      <c r="Q39">
        <v>152</v>
      </c>
      <c r="R39">
        <v>395</v>
      </c>
      <c r="S39">
        <v>608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</row>
    <row r="40" spans="1:25" hidden="1">
      <c r="A40" t="s">
        <v>25</v>
      </c>
      <c r="B40" t="s">
        <v>26</v>
      </c>
      <c r="C40" t="s">
        <v>27</v>
      </c>
      <c r="D40" s="1">
        <v>41167</v>
      </c>
      <c r="E40" s="2">
        <v>0.72916666666666663</v>
      </c>
      <c r="F40" t="s">
        <v>28</v>
      </c>
      <c r="G40" t="s">
        <v>36</v>
      </c>
      <c r="H40">
        <v>3</v>
      </c>
      <c r="I40">
        <v>0</v>
      </c>
      <c r="J40" t="s">
        <v>34</v>
      </c>
      <c r="K40">
        <v>152</v>
      </c>
      <c r="L40">
        <v>425</v>
      </c>
      <c r="M40">
        <v>767</v>
      </c>
      <c r="N40">
        <v>157</v>
      </c>
      <c r="O40">
        <v>45</v>
      </c>
      <c r="P40">
        <v>83</v>
      </c>
      <c r="Q40">
        <v>148</v>
      </c>
      <c r="R40">
        <v>404</v>
      </c>
      <c r="S40">
        <v>671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</row>
    <row r="41" spans="1:25" hidden="1">
      <c r="A41" t="s">
        <v>25</v>
      </c>
      <c r="B41" t="s">
        <v>26</v>
      </c>
      <c r="C41" t="s">
        <v>27</v>
      </c>
      <c r="D41" s="1">
        <v>41168</v>
      </c>
      <c r="E41" s="2">
        <v>0.625</v>
      </c>
      <c r="F41" t="s">
        <v>32</v>
      </c>
      <c r="G41" t="s">
        <v>40</v>
      </c>
      <c r="H41">
        <v>2</v>
      </c>
      <c r="I41">
        <v>4</v>
      </c>
      <c r="J41" t="s">
        <v>30</v>
      </c>
      <c r="K41">
        <v>359</v>
      </c>
      <c r="L41">
        <v>331</v>
      </c>
      <c r="M41">
        <v>225</v>
      </c>
      <c r="N41">
        <v>375</v>
      </c>
      <c r="O41">
        <v>34</v>
      </c>
      <c r="P41">
        <v>225</v>
      </c>
      <c r="Q41">
        <v>325</v>
      </c>
      <c r="R41">
        <v>327</v>
      </c>
      <c r="S41">
        <v>215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</row>
    <row r="42" spans="1:25" hidden="1">
      <c r="A42" t="s">
        <v>25</v>
      </c>
      <c r="B42" t="s">
        <v>26</v>
      </c>
      <c r="C42" t="s">
        <v>27</v>
      </c>
      <c r="D42" s="1">
        <v>41174</v>
      </c>
      <c r="E42" s="2">
        <v>0.625</v>
      </c>
      <c r="F42" t="s">
        <v>37</v>
      </c>
      <c r="G42" t="s">
        <v>32</v>
      </c>
      <c r="H42">
        <v>5</v>
      </c>
      <c r="I42">
        <v>1</v>
      </c>
      <c r="J42" t="s">
        <v>34</v>
      </c>
      <c r="K42">
        <v>196</v>
      </c>
      <c r="L42">
        <v>362</v>
      </c>
      <c r="M42">
        <v>418</v>
      </c>
      <c r="N42">
        <v>204</v>
      </c>
      <c r="O42">
        <v>37</v>
      </c>
      <c r="P42">
        <v>42</v>
      </c>
      <c r="Q42">
        <v>193</v>
      </c>
      <c r="R42">
        <v>344</v>
      </c>
      <c r="S42">
        <v>374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</row>
    <row r="43" spans="1:25" hidden="1">
      <c r="A43" t="s">
        <v>25</v>
      </c>
      <c r="B43" t="s">
        <v>26</v>
      </c>
      <c r="C43" t="s">
        <v>27</v>
      </c>
      <c r="D43" s="1">
        <v>41174</v>
      </c>
      <c r="E43" s="2">
        <v>0.72916666666666663</v>
      </c>
      <c r="F43" t="s">
        <v>40</v>
      </c>
      <c r="G43" t="s">
        <v>29</v>
      </c>
      <c r="H43">
        <v>0</v>
      </c>
      <c r="I43">
        <v>1</v>
      </c>
      <c r="J43" t="s">
        <v>30</v>
      </c>
      <c r="K43">
        <v>259</v>
      </c>
      <c r="L43">
        <v>338</v>
      </c>
      <c r="M43">
        <v>29</v>
      </c>
      <c r="N43">
        <v>259</v>
      </c>
      <c r="O43">
        <v>345</v>
      </c>
      <c r="P43">
        <v>31</v>
      </c>
      <c r="Q43">
        <v>237</v>
      </c>
      <c r="R43">
        <v>33</v>
      </c>
      <c r="S43">
        <v>285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</row>
    <row r="44" spans="1:25" hidden="1">
      <c r="A44" t="s">
        <v>25</v>
      </c>
      <c r="B44" t="s">
        <v>26</v>
      </c>
      <c r="C44" t="s">
        <v>27</v>
      </c>
      <c r="D44" s="1">
        <v>41174</v>
      </c>
      <c r="E44" s="2">
        <v>0.72916666666666663</v>
      </c>
      <c r="F44" t="s">
        <v>33</v>
      </c>
      <c r="G44" t="s">
        <v>28</v>
      </c>
      <c r="H44">
        <v>1</v>
      </c>
      <c r="I44">
        <v>1</v>
      </c>
      <c r="J44" t="s">
        <v>41</v>
      </c>
      <c r="K44">
        <v>557</v>
      </c>
      <c r="L44">
        <v>383</v>
      </c>
      <c r="M44">
        <v>171</v>
      </c>
      <c r="N44">
        <v>557</v>
      </c>
      <c r="O44">
        <v>383</v>
      </c>
      <c r="P44">
        <v>18</v>
      </c>
      <c r="Q44">
        <v>466</v>
      </c>
      <c r="R44">
        <v>355</v>
      </c>
      <c r="S44">
        <v>172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</row>
    <row r="45" spans="1:25" hidden="1">
      <c r="A45" t="s">
        <v>25</v>
      </c>
      <c r="B45" t="s">
        <v>26</v>
      </c>
      <c r="C45" t="s">
        <v>27</v>
      </c>
      <c r="D45" s="1">
        <v>41174</v>
      </c>
      <c r="E45" s="2">
        <v>0.72916666666666663</v>
      </c>
      <c r="F45" t="s">
        <v>36</v>
      </c>
      <c r="G45" t="s">
        <v>39</v>
      </c>
      <c r="H45">
        <v>0</v>
      </c>
      <c r="I45">
        <v>1</v>
      </c>
      <c r="J45" t="s">
        <v>30</v>
      </c>
      <c r="K45">
        <v>231</v>
      </c>
      <c r="L45">
        <v>345</v>
      </c>
      <c r="M45">
        <v>329</v>
      </c>
      <c r="N45">
        <v>233</v>
      </c>
      <c r="O45">
        <v>355</v>
      </c>
      <c r="P45">
        <v>335</v>
      </c>
      <c r="Q45">
        <v>225</v>
      </c>
      <c r="R45">
        <v>331</v>
      </c>
      <c r="S45">
        <v>303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</row>
    <row r="46" spans="1:25" hidden="1">
      <c r="A46" t="s">
        <v>25</v>
      </c>
      <c r="B46" t="s">
        <v>26</v>
      </c>
      <c r="C46" t="s">
        <v>27</v>
      </c>
      <c r="D46" s="1">
        <v>41175</v>
      </c>
      <c r="E46" s="2">
        <v>0.64583333333333337</v>
      </c>
      <c r="F46" t="s">
        <v>38</v>
      </c>
      <c r="G46" t="s">
        <v>35</v>
      </c>
      <c r="H46">
        <v>0</v>
      </c>
      <c r="I46">
        <v>2</v>
      </c>
      <c r="J46" t="s">
        <v>30</v>
      </c>
      <c r="K46">
        <v>299</v>
      </c>
      <c r="L46">
        <v>328</v>
      </c>
      <c r="M46">
        <v>259</v>
      </c>
      <c r="N46">
        <v>335</v>
      </c>
      <c r="O46">
        <v>34</v>
      </c>
      <c r="P46">
        <v>259</v>
      </c>
      <c r="Q46">
        <v>29</v>
      </c>
      <c r="R46">
        <v>321</v>
      </c>
      <c r="S46">
        <v>235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</row>
    <row r="47" spans="1:25" hidden="1">
      <c r="A47" t="s">
        <v>25</v>
      </c>
      <c r="B47" t="s">
        <v>26</v>
      </c>
      <c r="C47" t="s">
        <v>27</v>
      </c>
      <c r="D47" s="1">
        <v>41181</v>
      </c>
      <c r="E47" s="2">
        <v>0.625</v>
      </c>
      <c r="F47" t="s">
        <v>40</v>
      </c>
      <c r="G47" t="s">
        <v>39</v>
      </c>
      <c r="H47">
        <v>1</v>
      </c>
      <c r="I47">
        <v>1</v>
      </c>
      <c r="J47" t="s">
        <v>41</v>
      </c>
      <c r="K47">
        <v>143</v>
      </c>
      <c r="L47">
        <v>473</v>
      </c>
      <c r="M47">
        <v>827</v>
      </c>
      <c r="N47">
        <v>145</v>
      </c>
      <c r="O47">
        <v>473</v>
      </c>
      <c r="P47">
        <v>85</v>
      </c>
      <c r="Q47">
        <v>141</v>
      </c>
      <c r="R47">
        <v>43</v>
      </c>
      <c r="S47">
        <v>706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</row>
    <row r="48" spans="1:25" hidden="1">
      <c r="A48" t="s">
        <v>25</v>
      </c>
      <c r="B48" t="s">
        <v>26</v>
      </c>
      <c r="C48" t="s">
        <v>27</v>
      </c>
      <c r="D48" s="1">
        <v>41181</v>
      </c>
      <c r="E48" s="2">
        <v>0.72916666666666663</v>
      </c>
      <c r="F48" t="s">
        <v>33</v>
      </c>
      <c r="G48" t="s">
        <v>32</v>
      </c>
      <c r="H48">
        <v>0</v>
      </c>
      <c r="I48">
        <v>0</v>
      </c>
      <c r="J48" t="s">
        <v>41</v>
      </c>
      <c r="K48">
        <v>331</v>
      </c>
      <c r="L48">
        <v>345</v>
      </c>
      <c r="M48">
        <v>227</v>
      </c>
      <c r="N48">
        <v>331</v>
      </c>
      <c r="O48">
        <v>345</v>
      </c>
      <c r="P48">
        <v>265</v>
      </c>
      <c r="Q48">
        <v>297</v>
      </c>
      <c r="R48">
        <v>326</v>
      </c>
      <c r="S48">
        <v>229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</row>
    <row r="49" spans="1:25" hidden="1">
      <c r="A49" t="s">
        <v>25</v>
      </c>
      <c r="B49" t="s">
        <v>26</v>
      </c>
      <c r="C49" t="s">
        <v>27</v>
      </c>
      <c r="D49" s="1">
        <v>41181</v>
      </c>
      <c r="E49" s="2">
        <v>0.72916666666666663</v>
      </c>
      <c r="F49" t="s">
        <v>38</v>
      </c>
      <c r="G49" t="s">
        <v>37</v>
      </c>
      <c r="H49">
        <v>1</v>
      </c>
      <c r="I49">
        <v>1</v>
      </c>
      <c r="J49" t="s">
        <v>41</v>
      </c>
      <c r="K49">
        <v>21</v>
      </c>
      <c r="L49">
        <v>365</v>
      </c>
      <c r="M49">
        <v>354</v>
      </c>
      <c r="N49">
        <v>235</v>
      </c>
      <c r="O49">
        <v>365</v>
      </c>
      <c r="P49">
        <v>375</v>
      </c>
      <c r="Q49">
        <v>208</v>
      </c>
      <c r="R49">
        <v>334</v>
      </c>
      <c r="S49">
        <v>333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</row>
    <row r="50" spans="1:25" hidden="1">
      <c r="A50" t="s">
        <v>25</v>
      </c>
      <c r="B50" t="s">
        <v>26</v>
      </c>
      <c r="C50" t="s">
        <v>27</v>
      </c>
      <c r="D50" s="1">
        <v>41181</v>
      </c>
      <c r="E50" s="2">
        <v>0.72916666666666663</v>
      </c>
      <c r="F50" t="s">
        <v>36</v>
      </c>
      <c r="G50" t="s">
        <v>35</v>
      </c>
      <c r="H50">
        <v>0</v>
      </c>
      <c r="I50">
        <v>2</v>
      </c>
      <c r="J50" t="s">
        <v>30</v>
      </c>
      <c r="K50">
        <v>436</v>
      </c>
      <c r="L50">
        <v>385</v>
      </c>
      <c r="M50">
        <v>185</v>
      </c>
      <c r="N50">
        <v>47</v>
      </c>
      <c r="O50">
        <v>385</v>
      </c>
      <c r="P50">
        <v>214</v>
      </c>
      <c r="Q50">
        <v>381</v>
      </c>
      <c r="R50">
        <v>338</v>
      </c>
      <c r="S50">
        <v>193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</row>
    <row r="51" spans="1:25" hidden="1">
      <c r="A51" t="s">
        <v>25</v>
      </c>
      <c r="B51" t="s">
        <v>26</v>
      </c>
      <c r="C51" t="s">
        <v>27</v>
      </c>
      <c r="D51" s="1">
        <v>41182</v>
      </c>
      <c r="E51" s="2">
        <v>0.625</v>
      </c>
      <c r="F51" t="s">
        <v>29</v>
      </c>
      <c r="G51" t="s">
        <v>28</v>
      </c>
      <c r="H51">
        <v>3</v>
      </c>
      <c r="I51">
        <v>2</v>
      </c>
      <c r="J51" t="s">
        <v>34</v>
      </c>
      <c r="K51">
        <v>16</v>
      </c>
      <c r="L51">
        <v>433</v>
      </c>
      <c r="M51">
        <v>617</v>
      </c>
      <c r="N51">
        <v>167</v>
      </c>
      <c r="O51">
        <v>433</v>
      </c>
      <c r="P51">
        <v>63</v>
      </c>
      <c r="Q51">
        <v>158</v>
      </c>
      <c r="R51">
        <v>388</v>
      </c>
      <c r="S51">
        <v>542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</row>
    <row r="52" spans="1:25" hidden="1">
      <c r="A52" t="s">
        <v>25</v>
      </c>
      <c r="B52" t="s">
        <v>26</v>
      </c>
      <c r="C52" t="s">
        <v>27</v>
      </c>
      <c r="D52" s="1">
        <v>41188</v>
      </c>
      <c r="E52" s="2">
        <v>0.625</v>
      </c>
      <c r="F52" t="s">
        <v>39</v>
      </c>
      <c r="G52" t="s">
        <v>38</v>
      </c>
      <c r="H52">
        <v>2</v>
      </c>
      <c r="I52">
        <v>5</v>
      </c>
      <c r="J52" t="s">
        <v>30</v>
      </c>
      <c r="K52">
        <v>219</v>
      </c>
      <c r="L52">
        <v>351</v>
      </c>
      <c r="M52">
        <v>352</v>
      </c>
      <c r="N52">
        <v>236</v>
      </c>
      <c r="O52">
        <v>351</v>
      </c>
      <c r="P52">
        <v>36</v>
      </c>
      <c r="Q52">
        <v>223</v>
      </c>
      <c r="R52">
        <v>331</v>
      </c>
      <c r="S52">
        <v>307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</row>
    <row r="53" spans="1:25" hidden="1">
      <c r="A53" t="s">
        <v>25</v>
      </c>
      <c r="B53" t="s">
        <v>26</v>
      </c>
      <c r="C53" t="s">
        <v>27</v>
      </c>
      <c r="D53" s="1">
        <v>41188</v>
      </c>
      <c r="E53" s="2">
        <v>0.72916666666666663</v>
      </c>
      <c r="F53" t="s">
        <v>37</v>
      </c>
      <c r="G53" t="s">
        <v>36</v>
      </c>
      <c r="H53">
        <v>4</v>
      </c>
      <c r="I53">
        <v>1</v>
      </c>
      <c r="J53" t="s">
        <v>34</v>
      </c>
      <c r="K53">
        <v>152</v>
      </c>
      <c r="L53">
        <v>472</v>
      </c>
      <c r="M53">
        <v>643</v>
      </c>
      <c r="N53">
        <v>162</v>
      </c>
      <c r="O53">
        <v>472</v>
      </c>
      <c r="P53">
        <v>7</v>
      </c>
      <c r="Q53">
        <v>152</v>
      </c>
      <c r="R53">
        <v>408</v>
      </c>
      <c r="S53">
        <v>595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</row>
    <row r="54" spans="1:25" hidden="1">
      <c r="A54" t="s">
        <v>25</v>
      </c>
      <c r="B54" t="s">
        <v>26</v>
      </c>
      <c r="C54" t="s">
        <v>27</v>
      </c>
      <c r="D54" s="1">
        <v>41188</v>
      </c>
      <c r="E54" s="2">
        <v>0.72916666666666663</v>
      </c>
      <c r="F54" t="s">
        <v>32</v>
      </c>
      <c r="G54" t="s">
        <v>29</v>
      </c>
      <c r="H54">
        <v>1</v>
      </c>
      <c r="I54">
        <v>3</v>
      </c>
      <c r="J54" t="s">
        <v>30</v>
      </c>
      <c r="K54">
        <v>47</v>
      </c>
      <c r="L54">
        <v>387</v>
      </c>
      <c r="M54">
        <v>181</v>
      </c>
      <c r="N54">
        <v>479</v>
      </c>
      <c r="O54">
        <v>409</v>
      </c>
      <c r="P54">
        <v>185</v>
      </c>
      <c r="Q54">
        <v>432</v>
      </c>
      <c r="R54">
        <v>358</v>
      </c>
      <c r="S54">
        <v>177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</row>
    <row r="55" spans="1:25" hidden="1">
      <c r="A55" t="s">
        <v>25</v>
      </c>
      <c r="B55" t="s">
        <v>26</v>
      </c>
      <c r="C55" t="s">
        <v>27</v>
      </c>
      <c r="D55" s="1">
        <v>41189</v>
      </c>
      <c r="E55" s="2">
        <v>0.625</v>
      </c>
      <c r="F55" t="s">
        <v>28</v>
      </c>
      <c r="G55" t="s">
        <v>40</v>
      </c>
      <c r="H55">
        <v>1</v>
      </c>
      <c r="I55">
        <v>1</v>
      </c>
      <c r="J55" t="s">
        <v>41</v>
      </c>
      <c r="K55">
        <v>244</v>
      </c>
      <c r="L55">
        <v>339</v>
      </c>
      <c r="M55">
        <v>312</v>
      </c>
      <c r="N55">
        <v>25</v>
      </c>
      <c r="O55">
        <v>355</v>
      </c>
      <c r="P55">
        <v>32</v>
      </c>
      <c r="Q55">
        <v>234</v>
      </c>
      <c r="R55">
        <v>324</v>
      </c>
      <c r="S55">
        <v>294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</row>
    <row r="56" spans="1:25" hidden="1">
      <c r="A56" t="s">
        <v>25</v>
      </c>
      <c r="B56" t="s">
        <v>26</v>
      </c>
      <c r="C56" t="s">
        <v>27</v>
      </c>
      <c r="D56" s="1">
        <v>41189</v>
      </c>
      <c r="E56" s="2">
        <v>0.72916666666666663</v>
      </c>
      <c r="F56" t="s">
        <v>35</v>
      </c>
      <c r="G56" t="s">
        <v>33</v>
      </c>
      <c r="H56">
        <v>1</v>
      </c>
      <c r="I56">
        <v>1</v>
      </c>
      <c r="J56" t="s">
        <v>41</v>
      </c>
      <c r="K56">
        <v>127</v>
      </c>
      <c r="L56">
        <v>595</v>
      </c>
      <c r="M56">
        <v>139</v>
      </c>
      <c r="N56">
        <v>129</v>
      </c>
      <c r="O56">
        <v>61</v>
      </c>
      <c r="P56">
        <v>139</v>
      </c>
      <c r="Q56">
        <v>125</v>
      </c>
      <c r="R56">
        <v>562</v>
      </c>
      <c r="S56">
        <v>1071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</row>
    <row r="57" spans="1:25" hidden="1">
      <c r="A57" t="s">
        <v>25</v>
      </c>
      <c r="B57" t="s">
        <v>26</v>
      </c>
      <c r="C57" t="s">
        <v>27</v>
      </c>
      <c r="D57" s="1">
        <v>41202</v>
      </c>
      <c r="E57" s="2">
        <v>0.625</v>
      </c>
      <c r="F57" t="s">
        <v>29</v>
      </c>
      <c r="G57" t="s">
        <v>39</v>
      </c>
      <c r="H57">
        <v>4</v>
      </c>
      <c r="I57">
        <v>1</v>
      </c>
      <c r="J57" t="s">
        <v>34</v>
      </c>
      <c r="K57">
        <v>129</v>
      </c>
      <c r="L57">
        <v>565</v>
      </c>
      <c r="M57">
        <v>1222</v>
      </c>
      <c r="N57">
        <v>135</v>
      </c>
      <c r="O57">
        <v>599</v>
      </c>
      <c r="P57">
        <v>1222</v>
      </c>
      <c r="Q57">
        <v>129</v>
      </c>
      <c r="R57">
        <v>522</v>
      </c>
      <c r="S57">
        <v>952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</row>
    <row r="58" spans="1:25" hidden="1">
      <c r="A58" t="s">
        <v>25</v>
      </c>
      <c r="B58" t="s">
        <v>26</v>
      </c>
      <c r="C58" t="s">
        <v>27</v>
      </c>
      <c r="D58" s="1">
        <v>41202</v>
      </c>
      <c r="E58" s="2">
        <v>0.72916666666666663</v>
      </c>
      <c r="F58" t="s">
        <v>33</v>
      </c>
      <c r="G58" t="s">
        <v>37</v>
      </c>
      <c r="H58">
        <v>2</v>
      </c>
      <c r="I58">
        <v>1</v>
      </c>
      <c r="J58" t="s">
        <v>34</v>
      </c>
      <c r="K58">
        <v>412</v>
      </c>
      <c r="L58">
        <v>367</v>
      </c>
      <c r="M58">
        <v>196</v>
      </c>
      <c r="N58">
        <v>42</v>
      </c>
      <c r="O58">
        <v>367</v>
      </c>
      <c r="P58">
        <v>22</v>
      </c>
      <c r="Q58">
        <v>365</v>
      </c>
      <c r="R58">
        <v>339</v>
      </c>
      <c r="S58">
        <v>198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</row>
    <row r="59" spans="1:25" hidden="1">
      <c r="A59" t="s">
        <v>25</v>
      </c>
      <c r="B59" t="s">
        <v>26</v>
      </c>
      <c r="C59" t="s">
        <v>27</v>
      </c>
      <c r="D59" s="1">
        <v>41202</v>
      </c>
      <c r="E59" s="2">
        <v>0.72916666666666663</v>
      </c>
      <c r="F59" t="s">
        <v>28</v>
      </c>
      <c r="G59" t="s">
        <v>32</v>
      </c>
      <c r="H59">
        <v>0</v>
      </c>
      <c r="I59">
        <v>0</v>
      </c>
      <c r="J59" t="s">
        <v>41</v>
      </c>
      <c r="K59">
        <v>158</v>
      </c>
      <c r="L59">
        <v>433</v>
      </c>
      <c r="M59">
        <v>61</v>
      </c>
      <c r="N59">
        <v>162</v>
      </c>
      <c r="O59">
        <v>434</v>
      </c>
      <c r="P59">
        <v>65</v>
      </c>
      <c r="Q59">
        <v>156</v>
      </c>
      <c r="R59">
        <v>391</v>
      </c>
      <c r="S59">
        <v>562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</row>
    <row r="60" spans="1:25" hidden="1">
      <c r="A60" t="s">
        <v>25</v>
      </c>
      <c r="B60" t="s">
        <v>26</v>
      </c>
      <c r="C60" t="s">
        <v>27</v>
      </c>
      <c r="D60" s="1">
        <v>41202</v>
      </c>
      <c r="E60" s="2">
        <v>0.72916666666666663</v>
      </c>
      <c r="F60" t="s">
        <v>36</v>
      </c>
      <c r="G60" t="s">
        <v>38</v>
      </c>
      <c r="H60">
        <v>1</v>
      </c>
      <c r="I60">
        <v>0</v>
      </c>
      <c r="J60" t="s">
        <v>34</v>
      </c>
      <c r="K60">
        <v>323</v>
      </c>
      <c r="L60">
        <v>33</v>
      </c>
      <c r="M60">
        <v>242</v>
      </c>
      <c r="N60">
        <v>35</v>
      </c>
      <c r="O60">
        <v>335</v>
      </c>
      <c r="P60">
        <v>242</v>
      </c>
      <c r="Q60">
        <v>302</v>
      </c>
      <c r="R60">
        <v>323</v>
      </c>
      <c r="S60">
        <v>23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</row>
    <row r="61" spans="1:25" hidden="1">
      <c r="A61" t="s">
        <v>25</v>
      </c>
      <c r="B61" t="s">
        <v>26</v>
      </c>
      <c r="C61" t="s">
        <v>27</v>
      </c>
      <c r="D61" s="1">
        <v>41203</v>
      </c>
      <c r="E61" s="2">
        <v>0.625</v>
      </c>
      <c r="F61" t="s">
        <v>40</v>
      </c>
      <c r="G61" t="s">
        <v>35</v>
      </c>
      <c r="H61">
        <v>2</v>
      </c>
      <c r="I61">
        <v>0</v>
      </c>
      <c r="J61" t="s">
        <v>34</v>
      </c>
      <c r="K61">
        <v>236</v>
      </c>
      <c r="L61">
        <v>324</v>
      </c>
      <c r="M61">
        <v>342</v>
      </c>
      <c r="N61">
        <v>245</v>
      </c>
      <c r="O61">
        <v>34</v>
      </c>
      <c r="P61">
        <v>342</v>
      </c>
      <c r="Q61">
        <v>232</v>
      </c>
      <c r="R61">
        <v>316</v>
      </c>
      <c r="S61">
        <v>307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</row>
    <row r="62" spans="1:25" hidden="1">
      <c r="A62" t="s">
        <v>25</v>
      </c>
      <c r="B62" t="s">
        <v>26</v>
      </c>
      <c r="C62" t="s">
        <v>27</v>
      </c>
      <c r="D62" s="1">
        <v>41209</v>
      </c>
      <c r="E62" s="2">
        <v>0.625</v>
      </c>
      <c r="F62" t="s">
        <v>38</v>
      </c>
      <c r="G62" t="s">
        <v>33</v>
      </c>
      <c r="H62">
        <v>3</v>
      </c>
      <c r="I62">
        <v>1</v>
      </c>
      <c r="J62" t="s">
        <v>34</v>
      </c>
      <c r="K62">
        <v>16</v>
      </c>
      <c r="L62">
        <v>419</v>
      </c>
      <c r="M62">
        <v>619</v>
      </c>
      <c r="N62">
        <v>162</v>
      </c>
      <c r="O62">
        <v>44</v>
      </c>
      <c r="P62">
        <v>72</v>
      </c>
      <c r="Q62">
        <v>155</v>
      </c>
      <c r="R62">
        <v>382</v>
      </c>
      <c r="S62">
        <v>6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</row>
    <row r="63" spans="1:25" hidden="1">
      <c r="A63" t="s">
        <v>25</v>
      </c>
      <c r="B63" t="s">
        <v>26</v>
      </c>
      <c r="C63" t="s">
        <v>27</v>
      </c>
      <c r="D63" s="1">
        <v>41209</v>
      </c>
      <c r="E63" s="2">
        <v>0.72916666666666663</v>
      </c>
      <c r="F63" t="s">
        <v>37</v>
      </c>
      <c r="G63" t="s">
        <v>40</v>
      </c>
      <c r="H63">
        <v>4</v>
      </c>
      <c r="I63">
        <v>6</v>
      </c>
      <c r="J63" t="s">
        <v>30</v>
      </c>
      <c r="K63">
        <v>297</v>
      </c>
      <c r="L63">
        <v>348</v>
      </c>
      <c r="M63">
        <v>249</v>
      </c>
      <c r="N63">
        <v>32</v>
      </c>
      <c r="O63">
        <v>355</v>
      </c>
      <c r="P63">
        <v>249</v>
      </c>
      <c r="Q63">
        <v>295</v>
      </c>
      <c r="R63">
        <v>331</v>
      </c>
      <c r="S63">
        <v>231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</row>
    <row r="64" spans="1:25" hidden="1">
      <c r="A64" t="s">
        <v>25</v>
      </c>
      <c r="B64" t="s">
        <v>26</v>
      </c>
      <c r="C64" t="s">
        <v>27</v>
      </c>
      <c r="D64" s="1">
        <v>41209</v>
      </c>
      <c r="E64" s="2">
        <v>0.72916666666666663</v>
      </c>
      <c r="F64" t="s">
        <v>32</v>
      </c>
      <c r="G64" t="s">
        <v>36</v>
      </c>
      <c r="H64">
        <v>1</v>
      </c>
      <c r="I64">
        <v>2</v>
      </c>
      <c r="J64" t="s">
        <v>30</v>
      </c>
      <c r="K64">
        <v>189</v>
      </c>
      <c r="L64">
        <v>364</v>
      </c>
      <c r="M64">
        <v>45</v>
      </c>
      <c r="N64">
        <v>193</v>
      </c>
      <c r="O64">
        <v>37</v>
      </c>
      <c r="P64">
        <v>455</v>
      </c>
      <c r="Q64">
        <v>186</v>
      </c>
      <c r="R64">
        <v>342</v>
      </c>
      <c r="S64">
        <v>411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</row>
    <row r="65" spans="1:25" hidden="1">
      <c r="A65" t="s">
        <v>25</v>
      </c>
      <c r="B65" t="s">
        <v>26</v>
      </c>
      <c r="C65" t="s">
        <v>27</v>
      </c>
      <c r="D65" s="1">
        <v>41210</v>
      </c>
      <c r="E65" s="2">
        <v>0.625</v>
      </c>
      <c r="F65" t="s">
        <v>35</v>
      </c>
      <c r="G65" t="s">
        <v>29</v>
      </c>
      <c r="H65">
        <v>2</v>
      </c>
      <c r="I65">
        <v>0</v>
      </c>
      <c r="J65" t="s">
        <v>34</v>
      </c>
      <c r="K65">
        <v>31</v>
      </c>
      <c r="L65">
        <v>33</v>
      </c>
      <c r="M65">
        <v>25</v>
      </c>
      <c r="N65">
        <v>34</v>
      </c>
      <c r="O65">
        <v>345</v>
      </c>
      <c r="P65">
        <v>25</v>
      </c>
      <c r="Q65">
        <v>298</v>
      </c>
      <c r="R65">
        <v>327</v>
      </c>
      <c r="S65">
        <v>231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</row>
    <row r="66" spans="1:25" hidden="1">
      <c r="A66" t="s">
        <v>25</v>
      </c>
      <c r="B66" t="s">
        <v>26</v>
      </c>
      <c r="C66" t="s">
        <v>27</v>
      </c>
      <c r="D66" s="1">
        <v>41216</v>
      </c>
      <c r="E66" s="2">
        <v>0.625</v>
      </c>
      <c r="F66" t="s">
        <v>33</v>
      </c>
      <c r="G66" t="s">
        <v>36</v>
      </c>
      <c r="H66">
        <v>0</v>
      </c>
      <c r="I66">
        <v>1</v>
      </c>
      <c r="J66" t="s">
        <v>30</v>
      </c>
      <c r="K66">
        <v>27</v>
      </c>
      <c r="L66">
        <v>312</v>
      </c>
      <c r="M66">
        <v>301</v>
      </c>
      <c r="N66">
        <v>274</v>
      </c>
      <c r="O66">
        <v>34</v>
      </c>
      <c r="P66">
        <v>31</v>
      </c>
      <c r="Q66">
        <v>245</v>
      </c>
      <c r="R66">
        <v>315</v>
      </c>
      <c r="S66">
        <v>289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</row>
    <row r="67" spans="1:25" hidden="1">
      <c r="A67" t="s">
        <v>25</v>
      </c>
      <c r="B67" t="s">
        <v>26</v>
      </c>
      <c r="C67" t="s">
        <v>27</v>
      </c>
      <c r="D67" s="1">
        <v>41216</v>
      </c>
      <c r="E67" s="2">
        <v>0.72916666666666663</v>
      </c>
      <c r="F67" t="s">
        <v>32</v>
      </c>
      <c r="G67" t="s">
        <v>39</v>
      </c>
      <c r="H67">
        <v>1</v>
      </c>
      <c r="I67">
        <v>1</v>
      </c>
      <c r="J67" t="s">
        <v>41</v>
      </c>
      <c r="K67">
        <v>218</v>
      </c>
      <c r="L67">
        <v>361</v>
      </c>
      <c r="M67">
        <v>347</v>
      </c>
      <c r="N67">
        <v>22</v>
      </c>
      <c r="O67">
        <v>395</v>
      </c>
      <c r="P67">
        <v>385</v>
      </c>
      <c r="Q67">
        <v>205</v>
      </c>
      <c r="R67">
        <v>335</v>
      </c>
      <c r="S67">
        <v>349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</row>
    <row r="68" spans="1:25" hidden="1">
      <c r="A68" t="s">
        <v>25</v>
      </c>
      <c r="B68" t="s">
        <v>26</v>
      </c>
      <c r="C68" t="s">
        <v>27</v>
      </c>
      <c r="D68" s="1">
        <v>41216</v>
      </c>
      <c r="E68" s="2">
        <v>0.72916666666666663</v>
      </c>
      <c r="F68" t="s">
        <v>29</v>
      </c>
      <c r="G68" t="s">
        <v>37</v>
      </c>
      <c r="H68">
        <v>5</v>
      </c>
      <c r="I68">
        <v>0</v>
      </c>
      <c r="J68" t="s">
        <v>34</v>
      </c>
      <c r="K68">
        <v>142</v>
      </c>
      <c r="L68">
        <v>524</v>
      </c>
      <c r="M68">
        <v>776</v>
      </c>
      <c r="N68">
        <v>148</v>
      </c>
      <c r="O68">
        <v>524</v>
      </c>
      <c r="P68">
        <v>776</v>
      </c>
      <c r="Q68">
        <v>142</v>
      </c>
      <c r="R68">
        <v>454</v>
      </c>
      <c r="S68">
        <v>678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</row>
    <row r="69" spans="1:25" hidden="1">
      <c r="A69" t="s">
        <v>25</v>
      </c>
      <c r="B69" t="s">
        <v>26</v>
      </c>
      <c r="C69" t="s">
        <v>27</v>
      </c>
      <c r="D69" s="1">
        <v>41216</v>
      </c>
      <c r="E69" s="2">
        <v>0.72916666666666663</v>
      </c>
      <c r="F69" t="s">
        <v>28</v>
      </c>
      <c r="G69" t="s">
        <v>35</v>
      </c>
      <c r="H69">
        <v>2</v>
      </c>
      <c r="I69">
        <v>1</v>
      </c>
      <c r="J69" t="s">
        <v>34</v>
      </c>
      <c r="K69">
        <v>233</v>
      </c>
      <c r="L69">
        <v>333</v>
      </c>
      <c r="M69">
        <v>329</v>
      </c>
      <c r="N69">
        <v>26</v>
      </c>
      <c r="O69">
        <v>343</v>
      </c>
      <c r="P69">
        <v>33</v>
      </c>
      <c r="Q69">
        <v>234</v>
      </c>
      <c r="R69">
        <v>323</v>
      </c>
      <c r="S69">
        <v>297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</row>
    <row r="70" spans="1:25" hidden="1">
      <c r="A70" t="s">
        <v>25</v>
      </c>
      <c r="B70" t="s">
        <v>26</v>
      </c>
      <c r="C70" t="s">
        <v>27</v>
      </c>
      <c r="D70" s="1">
        <v>41217</v>
      </c>
      <c r="E70" s="2">
        <v>0.625</v>
      </c>
      <c r="F70" t="s">
        <v>40</v>
      </c>
      <c r="G70" t="s">
        <v>38</v>
      </c>
      <c r="H70">
        <v>6</v>
      </c>
      <c r="I70">
        <v>1</v>
      </c>
      <c r="J70" t="s">
        <v>34</v>
      </c>
      <c r="K70">
        <v>151</v>
      </c>
      <c r="L70">
        <v>446</v>
      </c>
      <c r="M70">
        <v>72</v>
      </c>
      <c r="N70">
        <v>157</v>
      </c>
      <c r="O70">
        <v>459</v>
      </c>
      <c r="P70">
        <v>72</v>
      </c>
      <c r="Q70">
        <v>154</v>
      </c>
      <c r="R70">
        <v>401</v>
      </c>
      <c r="S70">
        <v>578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</row>
    <row r="71" spans="1:25" hidden="1">
      <c r="A71" t="s">
        <v>25</v>
      </c>
      <c r="B71" t="s">
        <v>26</v>
      </c>
      <c r="C71" t="s">
        <v>27</v>
      </c>
      <c r="D71" s="1">
        <v>41223</v>
      </c>
      <c r="E71" s="2">
        <v>0.625</v>
      </c>
      <c r="F71" t="s">
        <v>37</v>
      </c>
      <c r="G71" t="s">
        <v>28</v>
      </c>
      <c r="H71">
        <v>1</v>
      </c>
      <c r="I71">
        <v>2</v>
      </c>
      <c r="J71" t="s">
        <v>30</v>
      </c>
      <c r="K71">
        <v>248</v>
      </c>
      <c r="L71">
        <v>366</v>
      </c>
      <c r="M71">
        <v>289</v>
      </c>
      <c r="N71">
        <v>25</v>
      </c>
      <c r="O71">
        <v>366</v>
      </c>
      <c r="P71">
        <v>305</v>
      </c>
      <c r="Q71">
        <v>243</v>
      </c>
      <c r="R71">
        <v>334</v>
      </c>
      <c r="S71">
        <v>275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</row>
    <row r="72" spans="1:25" hidden="1">
      <c r="A72" t="s">
        <v>25</v>
      </c>
      <c r="B72" t="s">
        <v>26</v>
      </c>
      <c r="C72" t="s">
        <v>27</v>
      </c>
      <c r="D72" s="1">
        <v>41223</v>
      </c>
      <c r="E72" s="2">
        <v>0.72916666666666663</v>
      </c>
      <c r="F72" t="s">
        <v>38</v>
      </c>
      <c r="G72" t="s">
        <v>32</v>
      </c>
      <c r="H72">
        <v>6</v>
      </c>
      <c r="I72">
        <v>1</v>
      </c>
      <c r="J72" t="s">
        <v>34</v>
      </c>
      <c r="K72">
        <v>171</v>
      </c>
      <c r="L72">
        <v>397</v>
      </c>
      <c r="M72">
        <v>52</v>
      </c>
      <c r="N72">
        <v>18</v>
      </c>
      <c r="O72">
        <v>397</v>
      </c>
      <c r="P72">
        <v>53</v>
      </c>
      <c r="Q72">
        <v>174</v>
      </c>
      <c r="R72">
        <v>358</v>
      </c>
      <c r="S72">
        <v>454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</row>
    <row r="73" spans="1:25" hidden="1">
      <c r="A73" t="s">
        <v>25</v>
      </c>
      <c r="B73" t="s">
        <v>26</v>
      </c>
      <c r="C73" t="s">
        <v>27</v>
      </c>
      <c r="D73" s="1">
        <v>41223</v>
      </c>
      <c r="E73" s="2">
        <v>0.72916666666666663</v>
      </c>
      <c r="F73" t="s">
        <v>36</v>
      </c>
      <c r="G73" t="s">
        <v>40</v>
      </c>
      <c r="H73">
        <v>0</v>
      </c>
      <c r="I73">
        <v>3</v>
      </c>
      <c r="J73" t="s">
        <v>30</v>
      </c>
      <c r="K73">
        <v>472</v>
      </c>
      <c r="L73">
        <v>356</v>
      </c>
      <c r="M73">
        <v>188</v>
      </c>
      <c r="N73">
        <v>5</v>
      </c>
      <c r="O73">
        <v>364</v>
      </c>
      <c r="P73">
        <v>189</v>
      </c>
      <c r="Q73">
        <v>433</v>
      </c>
      <c r="R73">
        <v>344</v>
      </c>
      <c r="S73">
        <v>181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</row>
    <row r="74" spans="1:25" hidden="1">
      <c r="A74" t="s">
        <v>25</v>
      </c>
      <c r="B74" t="s">
        <v>26</v>
      </c>
      <c r="C74" t="s">
        <v>27</v>
      </c>
      <c r="D74" s="1">
        <v>41224</v>
      </c>
      <c r="E74" s="2">
        <v>0.625</v>
      </c>
      <c r="F74" t="s">
        <v>33</v>
      </c>
      <c r="G74" t="s">
        <v>29</v>
      </c>
      <c r="H74">
        <v>0</v>
      </c>
      <c r="I74">
        <v>3</v>
      </c>
      <c r="J74" t="s">
        <v>30</v>
      </c>
      <c r="K74">
        <v>865</v>
      </c>
      <c r="L74">
        <v>491</v>
      </c>
      <c r="M74">
        <v>142</v>
      </c>
      <c r="N74">
        <v>865</v>
      </c>
      <c r="O74">
        <v>509</v>
      </c>
      <c r="P74">
        <v>145</v>
      </c>
      <c r="Q74">
        <v>733</v>
      </c>
      <c r="R74">
        <v>443</v>
      </c>
      <c r="S74">
        <v>141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</row>
    <row r="75" spans="1:25" hidden="1">
      <c r="A75" t="s">
        <v>25</v>
      </c>
      <c r="B75" t="s">
        <v>26</v>
      </c>
      <c r="C75" t="s">
        <v>27</v>
      </c>
      <c r="D75" s="1">
        <v>41224</v>
      </c>
      <c r="E75" s="2">
        <v>0.72916666666666663</v>
      </c>
      <c r="F75" t="s">
        <v>35</v>
      </c>
      <c r="G75" t="s">
        <v>39</v>
      </c>
      <c r="H75">
        <v>0</v>
      </c>
      <c r="I75">
        <v>2</v>
      </c>
      <c r="J75" t="s">
        <v>30</v>
      </c>
      <c r="K75">
        <v>147</v>
      </c>
      <c r="L75">
        <v>473</v>
      </c>
      <c r="M75">
        <v>759</v>
      </c>
      <c r="N75">
        <v>15</v>
      </c>
      <c r="O75">
        <v>52</v>
      </c>
      <c r="P75">
        <v>83</v>
      </c>
      <c r="Q75">
        <v>141</v>
      </c>
      <c r="R75">
        <v>45</v>
      </c>
      <c r="S75">
        <v>708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</row>
    <row r="76" spans="1:25" hidden="1">
      <c r="A76" t="s">
        <v>25</v>
      </c>
      <c r="B76" t="s">
        <v>26</v>
      </c>
      <c r="C76" t="s">
        <v>27</v>
      </c>
      <c r="D76" s="1">
        <v>41230</v>
      </c>
      <c r="E76" s="2">
        <v>0.625</v>
      </c>
      <c r="F76" t="s">
        <v>40</v>
      </c>
      <c r="G76" t="s">
        <v>33</v>
      </c>
      <c r="H76">
        <v>3</v>
      </c>
      <c r="I76">
        <v>0</v>
      </c>
      <c r="J76" t="s">
        <v>34</v>
      </c>
      <c r="K76">
        <v>128</v>
      </c>
      <c r="L76">
        <v>618</v>
      </c>
      <c r="M76">
        <v>1183</v>
      </c>
      <c r="N76">
        <v>129</v>
      </c>
      <c r="O76">
        <v>7</v>
      </c>
      <c r="P76">
        <v>13</v>
      </c>
      <c r="Q76">
        <v>124</v>
      </c>
      <c r="R76">
        <v>578</v>
      </c>
      <c r="S76">
        <v>1066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</row>
    <row r="77" spans="1:25" hidden="1">
      <c r="A77" t="s">
        <v>25</v>
      </c>
      <c r="B77" t="s">
        <v>26</v>
      </c>
      <c r="C77" t="s">
        <v>27</v>
      </c>
      <c r="D77" s="1">
        <v>41230</v>
      </c>
      <c r="E77" s="2">
        <v>0.72916666666666663</v>
      </c>
      <c r="F77" t="s">
        <v>39</v>
      </c>
      <c r="G77" t="s">
        <v>37</v>
      </c>
      <c r="H77">
        <v>1</v>
      </c>
      <c r="I77">
        <v>1</v>
      </c>
      <c r="J77" t="s">
        <v>41</v>
      </c>
      <c r="K77">
        <v>261</v>
      </c>
      <c r="L77">
        <v>343</v>
      </c>
      <c r="M77">
        <v>287</v>
      </c>
      <c r="N77">
        <v>261</v>
      </c>
      <c r="O77">
        <v>35</v>
      </c>
      <c r="P77">
        <v>3</v>
      </c>
      <c r="Q77">
        <v>242</v>
      </c>
      <c r="R77">
        <v>33</v>
      </c>
      <c r="S77">
        <v>278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</row>
    <row r="78" spans="1:25" hidden="1">
      <c r="A78" t="s">
        <v>25</v>
      </c>
      <c r="B78" t="s">
        <v>26</v>
      </c>
      <c r="C78" t="s">
        <v>27</v>
      </c>
      <c r="D78" s="1">
        <v>41230</v>
      </c>
      <c r="E78" s="2">
        <v>0.72916666666666663</v>
      </c>
      <c r="F78" t="s">
        <v>32</v>
      </c>
      <c r="G78" t="s">
        <v>35</v>
      </c>
      <c r="H78">
        <v>0</v>
      </c>
      <c r="I78">
        <v>3</v>
      </c>
      <c r="J78" t="s">
        <v>30</v>
      </c>
      <c r="K78">
        <v>368</v>
      </c>
      <c r="L78">
        <v>334</v>
      </c>
      <c r="M78">
        <v>221</v>
      </c>
      <c r="N78">
        <v>4</v>
      </c>
      <c r="O78">
        <v>34</v>
      </c>
      <c r="P78">
        <v>221</v>
      </c>
      <c r="Q78">
        <v>352</v>
      </c>
      <c r="R78">
        <v>325</v>
      </c>
      <c r="S78">
        <v>207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</row>
    <row r="79" spans="1:25" hidden="1">
      <c r="A79" t="s">
        <v>25</v>
      </c>
      <c r="B79" t="s">
        <v>26</v>
      </c>
      <c r="C79" t="s">
        <v>27</v>
      </c>
      <c r="D79" s="1">
        <v>41230</v>
      </c>
      <c r="E79" s="2">
        <v>0.72916666666666663</v>
      </c>
      <c r="F79" t="s">
        <v>28</v>
      </c>
      <c r="G79" t="s">
        <v>38</v>
      </c>
      <c r="H79">
        <v>3</v>
      </c>
      <c r="I79">
        <v>1</v>
      </c>
      <c r="J79" t="s">
        <v>34</v>
      </c>
      <c r="K79">
        <v>19</v>
      </c>
      <c r="L79">
        <v>369</v>
      </c>
      <c r="M79">
        <v>434</v>
      </c>
      <c r="N79">
        <v>19</v>
      </c>
      <c r="O79">
        <v>39</v>
      </c>
      <c r="P79">
        <v>5</v>
      </c>
      <c r="Q79">
        <v>18</v>
      </c>
      <c r="R79">
        <v>348</v>
      </c>
      <c r="S79">
        <v>429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</row>
    <row r="80" spans="1:25" hidden="1">
      <c r="A80" t="s">
        <v>25</v>
      </c>
      <c r="B80" t="s">
        <v>26</v>
      </c>
      <c r="C80" t="s">
        <v>27</v>
      </c>
      <c r="D80" s="1">
        <v>41231</v>
      </c>
      <c r="E80" s="2">
        <v>0.625</v>
      </c>
      <c r="F80" t="s">
        <v>29</v>
      </c>
      <c r="G80" t="s">
        <v>36</v>
      </c>
      <c r="H80">
        <v>2</v>
      </c>
      <c r="I80">
        <v>0</v>
      </c>
      <c r="J80" t="s">
        <v>34</v>
      </c>
      <c r="K80">
        <v>121</v>
      </c>
      <c r="L80">
        <v>734</v>
      </c>
      <c r="M80">
        <v>1554</v>
      </c>
      <c r="N80">
        <v>122</v>
      </c>
      <c r="O80">
        <v>81</v>
      </c>
      <c r="P80">
        <v>16</v>
      </c>
      <c r="Q80">
        <v>12</v>
      </c>
      <c r="R80">
        <v>635</v>
      </c>
      <c r="S80">
        <v>1262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</row>
    <row r="81" spans="1:25" hidden="1">
      <c r="A81" t="s">
        <v>25</v>
      </c>
      <c r="B81" t="s">
        <v>26</v>
      </c>
      <c r="C81" t="s">
        <v>27</v>
      </c>
      <c r="D81" s="1">
        <v>41237</v>
      </c>
      <c r="E81" s="2">
        <v>0.625</v>
      </c>
      <c r="F81" t="s">
        <v>36</v>
      </c>
      <c r="G81" t="s">
        <v>28</v>
      </c>
      <c r="H81">
        <v>0</v>
      </c>
      <c r="I81">
        <v>3</v>
      </c>
      <c r="J81" t="s">
        <v>30</v>
      </c>
      <c r="K81">
        <v>335</v>
      </c>
      <c r="L81">
        <v>33</v>
      </c>
      <c r="M81">
        <v>237</v>
      </c>
      <c r="N81">
        <v>375</v>
      </c>
      <c r="O81">
        <v>35</v>
      </c>
      <c r="P81">
        <v>237</v>
      </c>
      <c r="Q81">
        <v>332</v>
      </c>
      <c r="R81">
        <v>326</v>
      </c>
      <c r="S81">
        <v>215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</row>
    <row r="82" spans="1:25" hidden="1">
      <c r="A82" t="s">
        <v>25</v>
      </c>
      <c r="B82" t="s">
        <v>26</v>
      </c>
      <c r="C82" t="s">
        <v>27</v>
      </c>
      <c r="D82" s="1">
        <v>41237</v>
      </c>
      <c r="E82" s="2">
        <v>0.72916666666666663</v>
      </c>
      <c r="F82" t="s">
        <v>40</v>
      </c>
      <c r="G82" t="s">
        <v>32</v>
      </c>
      <c r="H82">
        <v>3</v>
      </c>
      <c r="I82">
        <v>1</v>
      </c>
      <c r="J82" t="s">
        <v>34</v>
      </c>
      <c r="K82">
        <v>129</v>
      </c>
      <c r="L82">
        <v>617</v>
      </c>
      <c r="M82">
        <v>1173</v>
      </c>
      <c r="N82">
        <v>129</v>
      </c>
      <c r="O82">
        <v>7</v>
      </c>
      <c r="P82">
        <v>13</v>
      </c>
      <c r="Q82">
        <v>124</v>
      </c>
      <c r="R82">
        <v>575</v>
      </c>
      <c r="S82">
        <v>1092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</row>
    <row r="83" spans="1:25" hidden="1">
      <c r="A83" t="s">
        <v>25</v>
      </c>
      <c r="B83" t="s">
        <v>26</v>
      </c>
      <c r="C83" t="s">
        <v>27</v>
      </c>
      <c r="D83" s="1">
        <v>41237</v>
      </c>
      <c r="E83" s="2">
        <v>0.72916666666666663</v>
      </c>
      <c r="F83" t="s">
        <v>33</v>
      </c>
      <c r="G83" t="s">
        <v>39</v>
      </c>
      <c r="H83">
        <v>2</v>
      </c>
      <c r="I83">
        <v>1</v>
      </c>
      <c r="J83" t="s">
        <v>34</v>
      </c>
      <c r="K83">
        <v>299</v>
      </c>
      <c r="L83">
        <v>349</v>
      </c>
      <c r="M83">
        <v>247</v>
      </c>
      <c r="N83">
        <v>3</v>
      </c>
      <c r="O83">
        <v>35</v>
      </c>
      <c r="P83">
        <v>258</v>
      </c>
      <c r="Q83">
        <v>283</v>
      </c>
      <c r="R83">
        <v>324</v>
      </c>
      <c r="S83">
        <v>243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</row>
    <row r="84" spans="1:25" hidden="1">
      <c r="A84" t="s">
        <v>25</v>
      </c>
      <c r="B84" t="s">
        <v>26</v>
      </c>
      <c r="C84" t="s">
        <v>27</v>
      </c>
      <c r="D84" s="1">
        <v>41237</v>
      </c>
      <c r="E84" s="2">
        <v>0.72916666666666663</v>
      </c>
      <c r="F84" t="s">
        <v>38</v>
      </c>
      <c r="G84" t="s">
        <v>29</v>
      </c>
      <c r="H84">
        <v>3</v>
      </c>
      <c r="I84">
        <v>1</v>
      </c>
      <c r="J84" t="s">
        <v>34</v>
      </c>
      <c r="K84">
        <v>543</v>
      </c>
      <c r="L84">
        <v>394</v>
      </c>
      <c r="M84">
        <v>17</v>
      </c>
      <c r="N84">
        <v>543</v>
      </c>
      <c r="O84">
        <v>397</v>
      </c>
      <c r="P84">
        <v>18</v>
      </c>
      <c r="Q84">
        <v>466</v>
      </c>
      <c r="R84">
        <v>36</v>
      </c>
      <c r="S84">
        <v>172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</row>
    <row r="85" spans="1:25" hidden="1">
      <c r="A85" t="s">
        <v>25</v>
      </c>
      <c r="B85" t="s">
        <v>26</v>
      </c>
      <c r="C85" t="s">
        <v>27</v>
      </c>
      <c r="D85" s="1">
        <v>41238</v>
      </c>
      <c r="E85" s="2">
        <v>0.58333333333333337</v>
      </c>
      <c r="F85" t="s">
        <v>37</v>
      </c>
      <c r="G85" t="s">
        <v>35</v>
      </c>
      <c r="H85">
        <v>0</v>
      </c>
      <c r="I85">
        <v>2</v>
      </c>
      <c r="J85" t="s">
        <v>30</v>
      </c>
      <c r="K85">
        <v>279</v>
      </c>
      <c r="L85">
        <v>358</v>
      </c>
      <c r="M85">
        <v>257</v>
      </c>
      <c r="N85">
        <v>29</v>
      </c>
      <c r="O85">
        <v>365</v>
      </c>
      <c r="P85">
        <v>257</v>
      </c>
      <c r="Q85">
        <v>275</v>
      </c>
      <c r="R85">
        <v>334</v>
      </c>
      <c r="S85">
        <v>243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</row>
    <row r="86" spans="1:25" hidden="1">
      <c r="A86" t="s">
        <v>25</v>
      </c>
      <c r="B86" t="s">
        <v>26</v>
      </c>
      <c r="C86" t="s">
        <v>27</v>
      </c>
      <c r="D86" s="1">
        <v>41240</v>
      </c>
      <c r="E86" s="2">
        <v>0.77083333333333337</v>
      </c>
      <c r="F86" t="s">
        <v>39</v>
      </c>
      <c r="G86" t="s">
        <v>28</v>
      </c>
      <c r="H86">
        <v>1</v>
      </c>
      <c r="I86">
        <v>1</v>
      </c>
      <c r="J86" t="s">
        <v>41</v>
      </c>
      <c r="K86">
        <v>357</v>
      </c>
      <c r="L86">
        <v>356</v>
      </c>
      <c r="M86">
        <v>215</v>
      </c>
      <c r="N86">
        <v>375</v>
      </c>
      <c r="O86">
        <v>356</v>
      </c>
      <c r="P86">
        <v>22</v>
      </c>
      <c r="Q86">
        <v>336</v>
      </c>
      <c r="R86">
        <v>33</v>
      </c>
      <c r="S86">
        <v>21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</row>
    <row r="87" spans="1:25" hidden="1">
      <c r="A87" t="s">
        <v>25</v>
      </c>
      <c r="B87" t="s">
        <v>26</v>
      </c>
      <c r="C87" t="s">
        <v>27</v>
      </c>
      <c r="D87" s="1">
        <v>41244</v>
      </c>
      <c r="E87" s="2">
        <v>0.625</v>
      </c>
      <c r="F87" t="s">
        <v>39</v>
      </c>
      <c r="G87" t="s">
        <v>36</v>
      </c>
      <c r="H87">
        <v>2</v>
      </c>
      <c r="I87">
        <v>2</v>
      </c>
      <c r="J87" t="s">
        <v>41</v>
      </c>
      <c r="K87">
        <v>216</v>
      </c>
      <c r="L87">
        <v>326</v>
      </c>
      <c r="M87">
        <v>386</v>
      </c>
      <c r="N87">
        <v>216</v>
      </c>
      <c r="O87">
        <v>35</v>
      </c>
      <c r="P87">
        <v>4</v>
      </c>
      <c r="Q87">
        <v>2</v>
      </c>
      <c r="R87">
        <v>329</v>
      </c>
      <c r="S87">
        <v>37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</row>
    <row r="88" spans="1:25" hidden="1">
      <c r="A88" t="s">
        <v>25</v>
      </c>
      <c r="B88" t="s">
        <v>26</v>
      </c>
      <c r="C88" t="s">
        <v>27</v>
      </c>
      <c r="D88" s="1">
        <v>41244</v>
      </c>
      <c r="E88" s="2">
        <v>0.72916666666666663</v>
      </c>
      <c r="F88" t="s">
        <v>32</v>
      </c>
      <c r="G88" t="s">
        <v>37</v>
      </c>
      <c r="H88">
        <v>3</v>
      </c>
      <c r="I88">
        <v>0</v>
      </c>
      <c r="J88" t="s">
        <v>34</v>
      </c>
      <c r="K88">
        <v>342</v>
      </c>
      <c r="L88">
        <v>348</v>
      </c>
      <c r="M88">
        <v>225</v>
      </c>
      <c r="N88">
        <v>342</v>
      </c>
      <c r="O88">
        <v>35</v>
      </c>
      <c r="P88">
        <v>25</v>
      </c>
      <c r="Q88">
        <v>302</v>
      </c>
      <c r="R88">
        <v>329</v>
      </c>
      <c r="S88">
        <v>228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</row>
    <row r="89" spans="1:25" hidden="1">
      <c r="A89" t="s">
        <v>25</v>
      </c>
      <c r="B89" t="s">
        <v>26</v>
      </c>
      <c r="C89" t="s">
        <v>27</v>
      </c>
      <c r="D89" s="1">
        <v>41244</v>
      </c>
      <c r="E89" s="2">
        <v>0.72916666666666663</v>
      </c>
      <c r="F89" t="s">
        <v>35</v>
      </c>
      <c r="G89" t="s">
        <v>38</v>
      </c>
      <c r="H89">
        <v>4</v>
      </c>
      <c r="I89">
        <v>3</v>
      </c>
      <c r="J89" t="s">
        <v>34</v>
      </c>
      <c r="K89">
        <v>174</v>
      </c>
      <c r="L89">
        <v>401</v>
      </c>
      <c r="M89">
        <v>495</v>
      </c>
      <c r="N89">
        <v>175</v>
      </c>
      <c r="O89">
        <v>433</v>
      </c>
      <c r="P89">
        <v>55</v>
      </c>
      <c r="Q89">
        <v>167</v>
      </c>
      <c r="R89">
        <v>369</v>
      </c>
      <c r="S89">
        <v>492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</row>
    <row r="90" spans="1:25" hidden="1">
      <c r="A90" t="s">
        <v>25</v>
      </c>
      <c r="B90" t="s">
        <v>26</v>
      </c>
      <c r="C90" t="s">
        <v>27</v>
      </c>
      <c r="D90" s="1">
        <v>41244</v>
      </c>
      <c r="E90" s="2">
        <v>0.72916666666666663</v>
      </c>
      <c r="F90" t="s">
        <v>28</v>
      </c>
      <c r="G90" t="s">
        <v>33</v>
      </c>
      <c r="H90">
        <v>3</v>
      </c>
      <c r="I90">
        <v>1</v>
      </c>
      <c r="J90" t="s">
        <v>34</v>
      </c>
      <c r="K90">
        <v>156</v>
      </c>
      <c r="L90">
        <v>448</v>
      </c>
      <c r="M90">
        <v>62</v>
      </c>
      <c r="N90">
        <v>158</v>
      </c>
      <c r="O90">
        <v>48</v>
      </c>
      <c r="P90">
        <v>76</v>
      </c>
      <c r="Q90">
        <v>149</v>
      </c>
      <c r="R90">
        <v>418</v>
      </c>
      <c r="S90">
        <v>611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</row>
    <row r="91" spans="1:25" hidden="1">
      <c r="A91" t="s">
        <v>25</v>
      </c>
      <c r="B91" t="s">
        <v>26</v>
      </c>
      <c r="C91" t="s">
        <v>27</v>
      </c>
      <c r="D91" s="1">
        <v>41245</v>
      </c>
      <c r="E91" s="2">
        <v>0.625</v>
      </c>
      <c r="F91" t="s">
        <v>29</v>
      </c>
      <c r="G91" t="s">
        <v>40</v>
      </c>
      <c r="H91">
        <v>0</v>
      </c>
      <c r="I91">
        <v>0</v>
      </c>
      <c r="J91" t="s">
        <v>41</v>
      </c>
      <c r="K91">
        <v>202</v>
      </c>
      <c r="L91">
        <v>368</v>
      </c>
      <c r="M91">
        <v>388</v>
      </c>
      <c r="N91">
        <v>204</v>
      </c>
      <c r="O91">
        <v>369</v>
      </c>
      <c r="P91">
        <v>388</v>
      </c>
      <c r="Q91">
        <v>199</v>
      </c>
      <c r="R91">
        <v>338</v>
      </c>
      <c r="S91">
        <v>361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</row>
    <row r="92" spans="1:25" hidden="1">
      <c r="A92" t="s">
        <v>25</v>
      </c>
      <c r="B92" t="s">
        <v>26</v>
      </c>
      <c r="C92" t="s">
        <v>27</v>
      </c>
      <c r="D92" s="1">
        <v>41251</v>
      </c>
      <c r="E92" s="2">
        <v>0.625</v>
      </c>
      <c r="F92" t="s">
        <v>37</v>
      </c>
      <c r="G92" t="s">
        <v>38</v>
      </c>
      <c r="H92">
        <v>0</v>
      </c>
      <c r="I92">
        <v>3</v>
      </c>
      <c r="J92" t="s">
        <v>30</v>
      </c>
      <c r="K92">
        <v>231</v>
      </c>
      <c r="L92">
        <v>366</v>
      </c>
      <c r="M92">
        <v>31</v>
      </c>
      <c r="N92">
        <v>24</v>
      </c>
      <c r="O92">
        <v>366</v>
      </c>
      <c r="P92">
        <v>332</v>
      </c>
      <c r="Q92">
        <v>224</v>
      </c>
      <c r="R92">
        <v>334</v>
      </c>
      <c r="S92">
        <v>305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</row>
    <row r="93" spans="1:25" hidden="1">
      <c r="A93" t="s">
        <v>25</v>
      </c>
      <c r="B93" t="s">
        <v>26</v>
      </c>
      <c r="C93" t="s">
        <v>27</v>
      </c>
      <c r="D93" s="1">
        <v>41251</v>
      </c>
      <c r="E93" s="2">
        <v>0.72916666666666663</v>
      </c>
      <c r="F93" t="s">
        <v>39</v>
      </c>
      <c r="G93" t="s">
        <v>40</v>
      </c>
      <c r="H93">
        <v>3</v>
      </c>
      <c r="I93">
        <v>6</v>
      </c>
      <c r="J93" t="s">
        <v>30</v>
      </c>
      <c r="K93">
        <v>511</v>
      </c>
      <c r="L93">
        <v>373</v>
      </c>
      <c r="M93">
        <v>178</v>
      </c>
      <c r="N93">
        <v>511</v>
      </c>
      <c r="O93">
        <v>38</v>
      </c>
      <c r="P93">
        <v>185</v>
      </c>
      <c r="Q93">
        <v>462</v>
      </c>
      <c r="R93">
        <v>358</v>
      </c>
      <c r="S93">
        <v>173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</row>
    <row r="94" spans="1:25" hidden="1">
      <c r="A94" t="s">
        <v>25</v>
      </c>
      <c r="B94" t="s">
        <v>26</v>
      </c>
      <c r="C94" t="s">
        <v>27</v>
      </c>
      <c r="D94" s="1">
        <v>41251</v>
      </c>
      <c r="E94" s="2">
        <v>0.72916666666666663</v>
      </c>
      <c r="F94" t="s">
        <v>32</v>
      </c>
      <c r="G94" t="s">
        <v>33</v>
      </c>
      <c r="H94">
        <v>1</v>
      </c>
      <c r="I94">
        <v>0</v>
      </c>
      <c r="J94" t="s">
        <v>34</v>
      </c>
      <c r="K94">
        <v>222</v>
      </c>
      <c r="L94">
        <v>35</v>
      </c>
      <c r="M94">
        <v>344</v>
      </c>
      <c r="N94">
        <v>223</v>
      </c>
      <c r="O94">
        <v>35</v>
      </c>
      <c r="P94">
        <v>4</v>
      </c>
      <c r="Q94">
        <v>203</v>
      </c>
      <c r="R94">
        <v>333</v>
      </c>
      <c r="S94">
        <v>357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</row>
    <row r="95" spans="1:25" hidden="1">
      <c r="A95" t="s">
        <v>25</v>
      </c>
      <c r="B95" t="s">
        <v>26</v>
      </c>
      <c r="C95" t="s">
        <v>27</v>
      </c>
      <c r="D95" s="1">
        <v>41251</v>
      </c>
      <c r="E95" s="2">
        <v>0.72916666666666663</v>
      </c>
      <c r="F95" t="s">
        <v>28</v>
      </c>
      <c r="G95" t="s">
        <v>29</v>
      </c>
      <c r="H95">
        <v>1</v>
      </c>
      <c r="I95">
        <v>1</v>
      </c>
      <c r="J95" t="s">
        <v>41</v>
      </c>
      <c r="K95">
        <v>325</v>
      </c>
      <c r="L95">
        <v>345</v>
      </c>
      <c r="M95">
        <v>233</v>
      </c>
      <c r="N95">
        <v>335</v>
      </c>
      <c r="O95">
        <v>345</v>
      </c>
      <c r="P95">
        <v>24</v>
      </c>
      <c r="Q95">
        <v>303</v>
      </c>
      <c r="R95">
        <v>328</v>
      </c>
      <c r="S95">
        <v>228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</row>
    <row r="96" spans="1:25" hidden="1">
      <c r="A96" t="s">
        <v>25</v>
      </c>
      <c r="B96" t="s">
        <v>26</v>
      </c>
      <c r="C96" t="s">
        <v>27</v>
      </c>
      <c r="D96" s="1">
        <v>41252</v>
      </c>
      <c r="E96" s="2">
        <v>0.625</v>
      </c>
      <c r="F96" t="s">
        <v>35</v>
      </c>
      <c r="G96" t="s">
        <v>36</v>
      </c>
      <c r="H96">
        <v>2</v>
      </c>
      <c r="I96">
        <v>1</v>
      </c>
      <c r="J96" t="s">
        <v>34</v>
      </c>
      <c r="K96">
        <v>145</v>
      </c>
      <c r="L96">
        <v>469</v>
      </c>
      <c r="M96">
        <v>776</v>
      </c>
      <c r="N96">
        <v>15</v>
      </c>
      <c r="O96">
        <v>59</v>
      </c>
      <c r="P96">
        <v>776</v>
      </c>
      <c r="Q96">
        <v>142</v>
      </c>
      <c r="R96">
        <v>453</v>
      </c>
      <c r="S96">
        <v>686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</row>
    <row r="97" spans="1:25" hidden="1">
      <c r="A97" t="s">
        <v>25</v>
      </c>
      <c r="B97" t="s">
        <v>26</v>
      </c>
      <c r="C97" t="s">
        <v>27</v>
      </c>
      <c r="D97" s="1">
        <v>41258</v>
      </c>
      <c r="E97" s="2">
        <v>0.72916666666666663</v>
      </c>
      <c r="F97" t="s">
        <v>33</v>
      </c>
      <c r="G97" t="s">
        <v>35</v>
      </c>
      <c r="H97">
        <v>1</v>
      </c>
      <c r="I97">
        <v>0</v>
      </c>
      <c r="J97" t="s">
        <v>34</v>
      </c>
      <c r="K97">
        <v>536</v>
      </c>
      <c r="L97">
        <v>371</v>
      </c>
      <c r="M97">
        <v>176</v>
      </c>
      <c r="N97">
        <v>56</v>
      </c>
      <c r="O97">
        <v>375</v>
      </c>
      <c r="P97">
        <v>18</v>
      </c>
      <c r="Q97">
        <v>477</v>
      </c>
      <c r="R97">
        <v>355</v>
      </c>
      <c r="S97">
        <v>172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</row>
    <row r="98" spans="1:25" hidden="1">
      <c r="A98" t="s">
        <v>25</v>
      </c>
      <c r="B98" t="s">
        <v>26</v>
      </c>
      <c r="C98" t="s">
        <v>27</v>
      </c>
      <c r="D98" s="1">
        <v>41258</v>
      </c>
      <c r="E98" s="2">
        <v>0.72916666666666663</v>
      </c>
      <c r="F98" t="s">
        <v>29</v>
      </c>
      <c r="G98" t="s">
        <v>32</v>
      </c>
      <c r="H98">
        <v>7</v>
      </c>
      <c r="I98">
        <v>0</v>
      </c>
      <c r="J98" t="s">
        <v>34</v>
      </c>
      <c r="K98">
        <v>122</v>
      </c>
      <c r="L98">
        <v>693</v>
      </c>
      <c r="M98">
        <v>1664</v>
      </c>
      <c r="N98">
        <v>125</v>
      </c>
      <c r="O98">
        <v>7</v>
      </c>
      <c r="P98">
        <v>1664</v>
      </c>
      <c r="Q98">
        <v>122</v>
      </c>
      <c r="R98">
        <v>616</v>
      </c>
      <c r="S98">
        <v>1147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</row>
    <row r="99" spans="1:25" hidden="1">
      <c r="A99" t="s">
        <v>25</v>
      </c>
      <c r="B99" t="s">
        <v>26</v>
      </c>
      <c r="C99" t="s">
        <v>27</v>
      </c>
      <c r="D99" s="1">
        <v>41258</v>
      </c>
      <c r="E99" s="2">
        <v>0.72916666666666663</v>
      </c>
      <c r="F99" t="s">
        <v>36</v>
      </c>
      <c r="G99" t="s">
        <v>37</v>
      </c>
      <c r="H99">
        <v>3</v>
      </c>
      <c r="I99">
        <v>1</v>
      </c>
      <c r="J99" t="s">
        <v>34</v>
      </c>
      <c r="K99">
        <v>249</v>
      </c>
      <c r="L99">
        <v>343</v>
      </c>
      <c r="M99">
        <v>301</v>
      </c>
      <c r="N99">
        <v>266</v>
      </c>
      <c r="O99">
        <v>35</v>
      </c>
      <c r="P99">
        <v>301</v>
      </c>
      <c r="Q99">
        <v>24</v>
      </c>
      <c r="R99">
        <v>327</v>
      </c>
      <c r="S99">
        <v>283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</row>
    <row r="100" spans="1:25" hidden="1">
      <c r="A100" t="s">
        <v>25</v>
      </c>
      <c r="B100" t="s">
        <v>26</v>
      </c>
      <c r="C100" t="s">
        <v>27</v>
      </c>
      <c r="D100" s="1">
        <v>41259</v>
      </c>
      <c r="E100" s="2">
        <v>0.625</v>
      </c>
      <c r="F100" t="s">
        <v>40</v>
      </c>
      <c r="G100" t="s">
        <v>28</v>
      </c>
      <c r="H100">
        <v>3</v>
      </c>
      <c r="I100">
        <v>1</v>
      </c>
      <c r="J100" t="s">
        <v>34</v>
      </c>
      <c r="K100">
        <v>167</v>
      </c>
      <c r="L100">
        <v>39</v>
      </c>
      <c r="M100">
        <v>582</v>
      </c>
      <c r="N100">
        <v>18</v>
      </c>
      <c r="O100">
        <v>4</v>
      </c>
      <c r="P100">
        <v>582</v>
      </c>
      <c r="Q100">
        <v>168</v>
      </c>
      <c r="R100">
        <v>362</v>
      </c>
      <c r="S100">
        <v>501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</row>
    <row r="101" spans="1:25" hidden="1">
      <c r="A101" t="s">
        <v>25</v>
      </c>
      <c r="B101" t="s">
        <v>26</v>
      </c>
      <c r="C101" t="s">
        <v>27</v>
      </c>
      <c r="D101" s="1">
        <v>41321</v>
      </c>
      <c r="E101" s="2">
        <v>0.625</v>
      </c>
      <c r="F101" t="s">
        <v>38</v>
      </c>
      <c r="G101" t="s">
        <v>36</v>
      </c>
      <c r="H101">
        <v>3</v>
      </c>
      <c r="I101">
        <v>0</v>
      </c>
      <c r="J101" t="s">
        <v>34</v>
      </c>
      <c r="K101">
        <v>158</v>
      </c>
      <c r="L101">
        <v>412</v>
      </c>
      <c r="M101">
        <v>665</v>
      </c>
      <c r="N101">
        <v>17</v>
      </c>
      <c r="O101">
        <v>415</v>
      </c>
      <c r="P101">
        <v>67</v>
      </c>
      <c r="Q101">
        <v>158</v>
      </c>
      <c r="R101">
        <v>378</v>
      </c>
      <c r="S101">
        <v>561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</row>
    <row r="102" spans="1:25" hidden="1">
      <c r="A102" t="s">
        <v>25</v>
      </c>
      <c r="B102" t="s">
        <v>26</v>
      </c>
      <c r="C102" t="s">
        <v>27</v>
      </c>
      <c r="D102" s="1">
        <v>41321</v>
      </c>
      <c r="E102" s="2">
        <v>0.72916666666666663</v>
      </c>
      <c r="F102" t="s">
        <v>37</v>
      </c>
      <c r="G102" t="s">
        <v>33</v>
      </c>
      <c r="H102">
        <v>1</v>
      </c>
      <c r="I102">
        <v>2</v>
      </c>
      <c r="J102" t="s">
        <v>30</v>
      </c>
      <c r="K102">
        <v>181</v>
      </c>
      <c r="L102">
        <v>372</v>
      </c>
      <c r="M102">
        <v>493</v>
      </c>
      <c r="N102">
        <v>183</v>
      </c>
      <c r="O102">
        <v>385</v>
      </c>
      <c r="P102">
        <v>509</v>
      </c>
      <c r="Q102">
        <v>173</v>
      </c>
      <c r="R102">
        <v>357</v>
      </c>
      <c r="S102">
        <v>464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</row>
    <row r="103" spans="1:25" hidden="1">
      <c r="A103" t="s">
        <v>25</v>
      </c>
      <c r="B103" t="s">
        <v>26</v>
      </c>
      <c r="C103" t="s">
        <v>27</v>
      </c>
      <c r="D103" s="1">
        <v>41321</v>
      </c>
      <c r="E103" s="2">
        <v>0.72916666666666663</v>
      </c>
      <c r="F103" t="s">
        <v>32</v>
      </c>
      <c r="G103" t="s">
        <v>28</v>
      </c>
      <c r="H103">
        <v>0</v>
      </c>
      <c r="I103">
        <v>0</v>
      </c>
      <c r="J103" t="s">
        <v>41</v>
      </c>
      <c r="K103">
        <v>388</v>
      </c>
      <c r="L103">
        <v>338</v>
      </c>
      <c r="M103">
        <v>212</v>
      </c>
      <c r="N103">
        <v>391</v>
      </c>
      <c r="O103">
        <v>34</v>
      </c>
      <c r="P103">
        <v>22</v>
      </c>
      <c r="Q103">
        <v>345</v>
      </c>
      <c r="R103">
        <v>324</v>
      </c>
      <c r="S103">
        <v>21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</row>
    <row r="104" spans="1:25" hidden="1">
      <c r="A104" t="s">
        <v>25</v>
      </c>
      <c r="B104" t="s">
        <v>26</v>
      </c>
      <c r="C104" t="s">
        <v>27</v>
      </c>
      <c r="D104" s="1">
        <v>41322</v>
      </c>
      <c r="E104" s="2">
        <v>0.625</v>
      </c>
      <c r="F104" t="s">
        <v>35</v>
      </c>
      <c r="G104" t="s">
        <v>40</v>
      </c>
      <c r="H104">
        <v>1</v>
      </c>
      <c r="I104">
        <v>2</v>
      </c>
      <c r="J104" t="s">
        <v>30</v>
      </c>
      <c r="K104">
        <v>276</v>
      </c>
      <c r="L104">
        <v>337</v>
      </c>
      <c r="M104">
        <v>273</v>
      </c>
      <c r="N104">
        <v>29</v>
      </c>
      <c r="O104">
        <v>337</v>
      </c>
      <c r="P104">
        <v>288</v>
      </c>
      <c r="Q104">
        <v>266</v>
      </c>
      <c r="R104">
        <v>317</v>
      </c>
      <c r="S104">
        <v>261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</row>
    <row r="105" spans="1:25" hidden="1">
      <c r="A105" t="s">
        <v>25</v>
      </c>
      <c r="B105" t="s">
        <v>26</v>
      </c>
      <c r="C105" t="s">
        <v>27</v>
      </c>
      <c r="D105" s="1">
        <v>41325</v>
      </c>
      <c r="E105" s="2">
        <v>0.72916666666666663</v>
      </c>
      <c r="F105" t="s">
        <v>38</v>
      </c>
      <c r="G105" t="s">
        <v>39</v>
      </c>
      <c r="H105">
        <v>1</v>
      </c>
      <c r="I105">
        <v>1</v>
      </c>
      <c r="J105" t="s">
        <v>41</v>
      </c>
      <c r="K105">
        <v>155</v>
      </c>
      <c r="L105">
        <v>433</v>
      </c>
      <c r="M105">
        <v>677</v>
      </c>
      <c r="N105">
        <v>16</v>
      </c>
      <c r="O105">
        <v>455</v>
      </c>
      <c r="P105">
        <v>68</v>
      </c>
      <c r="Q105">
        <v>153</v>
      </c>
      <c r="R105">
        <v>405</v>
      </c>
      <c r="S105">
        <v>588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</row>
    <row r="106" spans="1:25" hidden="1">
      <c r="A106" t="s">
        <v>25</v>
      </c>
      <c r="B106" t="s">
        <v>26</v>
      </c>
      <c r="C106" t="s">
        <v>27</v>
      </c>
      <c r="D106" s="1">
        <v>41328</v>
      </c>
      <c r="E106" s="2">
        <v>0.625</v>
      </c>
      <c r="F106" t="s">
        <v>36</v>
      </c>
      <c r="G106" t="s">
        <v>32</v>
      </c>
      <c r="H106">
        <v>2</v>
      </c>
      <c r="I106">
        <v>0</v>
      </c>
      <c r="J106" t="s">
        <v>34</v>
      </c>
      <c r="K106">
        <v>202</v>
      </c>
      <c r="L106">
        <v>341</v>
      </c>
      <c r="M106">
        <v>417</v>
      </c>
      <c r="N106">
        <v>22</v>
      </c>
      <c r="O106">
        <v>35</v>
      </c>
      <c r="P106">
        <v>43</v>
      </c>
      <c r="Q106">
        <v>199</v>
      </c>
      <c r="R106">
        <v>331</v>
      </c>
      <c r="S106">
        <v>371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</row>
    <row r="107" spans="1:25" hidden="1">
      <c r="A107" t="s">
        <v>25</v>
      </c>
      <c r="B107" t="s">
        <v>26</v>
      </c>
      <c r="C107" t="s">
        <v>27</v>
      </c>
      <c r="D107" s="1">
        <v>41328</v>
      </c>
      <c r="E107" s="2">
        <v>0.72916666666666663</v>
      </c>
      <c r="F107" t="s">
        <v>40</v>
      </c>
      <c r="G107" t="s">
        <v>37</v>
      </c>
      <c r="H107">
        <v>4</v>
      </c>
      <c r="I107">
        <v>0</v>
      </c>
      <c r="J107" t="s">
        <v>34</v>
      </c>
      <c r="K107">
        <v>14</v>
      </c>
      <c r="L107">
        <v>537</v>
      </c>
      <c r="M107">
        <v>786</v>
      </c>
      <c r="N107">
        <v>14</v>
      </c>
      <c r="O107">
        <v>55</v>
      </c>
      <c r="P107">
        <v>91</v>
      </c>
      <c r="Q107">
        <v>135</v>
      </c>
      <c r="R107">
        <v>488</v>
      </c>
      <c r="S107">
        <v>796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</row>
    <row r="108" spans="1:25" hidden="1">
      <c r="A108" t="s">
        <v>25</v>
      </c>
      <c r="B108" t="s">
        <v>26</v>
      </c>
      <c r="C108" t="s">
        <v>27</v>
      </c>
      <c r="D108" s="1">
        <v>41328</v>
      </c>
      <c r="E108" s="2">
        <v>0.72916666666666663</v>
      </c>
      <c r="F108" t="s">
        <v>33</v>
      </c>
      <c r="G108" t="s">
        <v>38</v>
      </c>
      <c r="H108">
        <v>0</v>
      </c>
      <c r="I108">
        <v>0</v>
      </c>
      <c r="J108" t="s">
        <v>41</v>
      </c>
      <c r="K108">
        <v>323</v>
      </c>
      <c r="L108">
        <v>323</v>
      </c>
      <c r="M108">
        <v>246</v>
      </c>
      <c r="N108">
        <v>323</v>
      </c>
      <c r="O108">
        <v>34</v>
      </c>
      <c r="P108">
        <v>249</v>
      </c>
      <c r="Q108">
        <v>3</v>
      </c>
      <c r="R108">
        <v>32</v>
      </c>
      <c r="S108">
        <v>235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</row>
    <row r="109" spans="1:25" hidden="1">
      <c r="A109" t="s">
        <v>25</v>
      </c>
      <c r="B109" t="s">
        <v>26</v>
      </c>
      <c r="C109" t="s">
        <v>27</v>
      </c>
      <c r="D109" s="1">
        <v>41329</v>
      </c>
      <c r="E109" s="2">
        <v>0.625</v>
      </c>
      <c r="F109" t="s">
        <v>29</v>
      </c>
      <c r="G109" t="s">
        <v>35</v>
      </c>
      <c r="H109">
        <v>3</v>
      </c>
      <c r="I109">
        <v>3</v>
      </c>
      <c r="J109" t="s">
        <v>41</v>
      </c>
      <c r="K109">
        <v>168</v>
      </c>
      <c r="L109">
        <v>385</v>
      </c>
      <c r="M109">
        <v>582</v>
      </c>
      <c r="N109">
        <v>175</v>
      </c>
      <c r="O109">
        <v>4</v>
      </c>
      <c r="P109">
        <v>582</v>
      </c>
      <c r="Q109">
        <v>165</v>
      </c>
      <c r="R109">
        <v>365</v>
      </c>
      <c r="S109">
        <v>521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</row>
    <row r="110" spans="1:25" hidden="1">
      <c r="A110" t="s">
        <v>25</v>
      </c>
      <c r="B110" t="s">
        <v>26</v>
      </c>
      <c r="C110" t="s">
        <v>27</v>
      </c>
      <c r="D110" s="1">
        <v>41329</v>
      </c>
      <c r="E110" s="2">
        <v>0.72916666666666663</v>
      </c>
      <c r="F110" t="s">
        <v>28</v>
      </c>
      <c r="G110" t="s">
        <v>39</v>
      </c>
      <c r="H110">
        <v>1</v>
      </c>
      <c r="I110">
        <v>3</v>
      </c>
      <c r="J110" t="s">
        <v>30</v>
      </c>
      <c r="K110">
        <v>172</v>
      </c>
      <c r="L110">
        <v>396</v>
      </c>
      <c r="M110">
        <v>52</v>
      </c>
      <c r="N110">
        <v>172</v>
      </c>
      <c r="O110">
        <v>42</v>
      </c>
      <c r="P110">
        <v>7</v>
      </c>
      <c r="Q110">
        <v>158</v>
      </c>
      <c r="R110">
        <v>388</v>
      </c>
      <c r="S110">
        <v>55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</row>
    <row r="111" spans="1:25" hidden="1">
      <c r="A111" t="s">
        <v>25</v>
      </c>
      <c r="B111" t="s">
        <v>26</v>
      </c>
      <c r="C111" t="s">
        <v>27</v>
      </c>
      <c r="D111" s="1">
        <v>41332</v>
      </c>
      <c r="E111" s="2">
        <v>0.8125</v>
      </c>
      <c r="F111" t="s">
        <v>35</v>
      </c>
      <c r="G111" t="s">
        <v>28</v>
      </c>
      <c r="H111">
        <v>1</v>
      </c>
      <c r="I111">
        <v>1</v>
      </c>
      <c r="J111" t="s">
        <v>41</v>
      </c>
      <c r="K111">
        <v>173</v>
      </c>
      <c r="L111">
        <v>375</v>
      </c>
      <c r="M111">
        <v>538</v>
      </c>
      <c r="N111">
        <v>183</v>
      </c>
      <c r="O111">
        <v>38</v>
      </c>
      <c r="P111">
        <v>541</v>
      </c>
      <c r="Q111">
        <v>172</v>
      </c>
      <c r="R111">
        <v>358</v>
      </c>
      <c r="S111">
        <v>47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</row>
    <row r="112" spans="1:25" hidden="1">
      <c r="A112" t="s">
        <v>25</v>
      </c>
      <c r="B112" t="s">
        <v>26</v>
      </c>
      <c r="C112" t="s">
        <v>27</v>
      </c>
      <c r="D112" s="1">
        <v>41332</v>
      </c>
      <c r="E112" s="2">
        <v>0.8125</v>
      </c>
      <c r="F112" t="s">
        <v>38</v>
      </c>
      <c r="G112" t="s">
        <v>40</v>
      </c>
      <c r="H112">
        <v>1</v>
      </c>
      <c r="I112">
        <v>3</v>
      </c>
      <c r="J112" t="s">
        <v>30</v>
      </c>
      <c r="K112">
        <v>372</v>
      </c>
      <c r="L112">
        <v>345</v>
      </c>
      <c r="M112">
        <v>214</v>
      </c>
      <c r="N112">
        <v>38</v>
      </c>
      <c r="O112">
        <v>365</v>
      </c>
      <c r="P112">
        <v>22</v>
      </c>
      <c r="Q112">
        <v>336</v>
      </c>
      <c r="R112">
        <v>33</v>
      </c>
      <c r="S112">
        <v>211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</row>
    <row r="113" spans="1:25" hidden="1">
      <c r="A113" t="s">
        <v>25</v>
      </c>
      <c r="B113" t="s">
        <v>26</v>
      </c>
      <c r="C113" t="s">
        <v>27</v>
      </c>
      <c r="D113" s="1">
        <v>41332</v>
      </c>
      <c r="E113" s="2">
        <v>0.8125</v>
      </c>
      <c r="F113" t="s">
        <v>36</v>
      </c>
      <c r="G113" t="s">
        <v>33</v>
      </c>
      <c r="H113">
        <v>1</v>
      </c>
      <c r="I113">
        <v>0</v>
      </c>
      <c r="J113" t="s">
        <v>34</v>
      </c>
      <c r="K113">
        <v>202</v>
      </c>
      <c r="L113">
        <v>336</v>
      </c>
      <c r="M113">
        <v>426</v>
      </c>
      <c r="N113">
        <v>21</v>
      </c>
      <c r="O113">
        <v>35</v>
      </c>
      <c r="P113">
        <v>426</v>
      </c>
      <c r="Q113">
        <v>201</v>
      </c>
      <c r="R113">
        <v>328</v>
      </c>
      <c r="S113">
        <v>366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</row>
    <row r="114" spans="1:25" hidden="1">
      <c r="A114" t="s">
        <v>25</v>
      </c>
      <c r="B114" t="s">
        <v>26</v>
      </c>
      <c r="C114" t="s">
        <v>27</v>
      </c>
      <c r="D114" s="1">
        <v>41335</v>
      </c>
      <c r="E114" s="2">
        <v>0.625</v>
      </c>
      <c r="F114" t="s">
        <v>28</v>
      </c>
      <c r="G114" t="s">
        <v>37</v>
      </c>
      <c r="H114">
        <v>1</v>
      </c>
      <c r="I114">
        <v>2</v>
      </c>
      <c r="J114" t="s">
        <v>30</v>
      </c>
      <c r="K114">
        <v>173</v>
      </c>
      <c r="L114">
        <v>386</v>
      </c>
      <c r="M114">
        <v>53</v>
      </c>
      <c r="N114">
        <v>173</v>
      </c>
      <c r="O114">
        <v>415</v>
      </c>
      <c r="P114">
        <v>61</v>
      </c>
      <c r="Q114">
        <v>162</v>
      </c>
      <c r="R114">
        <v>374</v>
      </c>
      <c r="S114">
        <v>528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</row>
    <row r="115" spans="1:25" hidden="1">
      <c r="A115" t="s">
        <v>25</v>
      </c>
      <c r="B115" t="s">
        <v>26</v>
      </c>
      <c r="C115" t="s">
        <v>27</v>
      </c>
      <c r="D115" s="1">
        <v>41335</v>
      </c>
      <c r="E115" s="2">
        <v>0.72916666666666663</v>
      </c>
      <c r="F115" t="s">
        <v>40</v>
      </c>
      <c r="G115" t="s">
        <v>36</v>
      </c>
      <c r="H115">
        <v>4</v>
      </c>
      <c r="I115">
        <v>0</v>
      </c>
      <c r="J115" t="s">
        <v>34</v>
      </c>
      <c r="K115">
        <v>133</v>
      </c>
      <c r="L115">
        <v>565</v>
      </c>
      <c r="M115">
        <v>104</v>
      </c>
      <c r="N115">
        <v>134</v>
      </c>
      <c r="O115">
        <v>6</v>
      </c>
      <c r="P115">
        <v>11</v>
      </c>
      <c r="Q115">
        <v>128</v>
      </c>
      <c r="R115">
        <v>533</v>
      </c>
      <c r="S115">
        <v>966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31</v>
      </c>
    </row>
    <row r="116" spans="1:25" hidden="1">
      <c r="A116" t="s">
        <v>25</v>
      </c>
      <c r="B116" t="s">
        <v>26</v>
      </c>
      <c r="C116" t="s">
        <v>27</v>
      </c>
      <c r="D116" s="1">
        <v>41335</v>
      </c>
      <c r="E116" s="2">
        <v>0.72916666666666663</v>
      </c>
      <c r="F116" t="s">
        <v>32</v>
      </c>
      <c r="G116" t="s">
        <v>38</v>
      </c>
      <c r="H116">
        <v>1</v>
      </c>
      <c r="I116">
        <v>0</v>
      </c>
      <c r="J116" t="s">
        <v>34</v>
      </c>
      <c r="K116">
        <v>314</v>
      </c>
      <c r="L116">
        <v>32</v>
      </c>
      <c r="M116">
        <v>252</v>
      </c>
      <c r="N116">
        <v>314</v>
      </c>
      <c r="O116">
        <v>335</v>
      </c>
      <c r="P116">
        <v>26</v>
      </c>
      <c r="Q116">
        <v>292</v>
      </c>
      <c r="R116">
        <v>317</v>
      </c>
      <c r="S116">
        <v>241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  <c r="Y116" t="s">
        <v>31</v>
      </c>
    </row>
    <row r="117" spans="1:25" hidden="1">
      <c r="A117" t="s">
        <v>25</v>
      </c>
      <c r="B117" t="s">
        <v>26</v>
      </c>
      <c r="C117" t="s">
        <v>27</v>
      </c>
      <c r="D117" s="1">
        <v>41335</v>
      </c>
      <c r="E117" s="2">
        <v>0.72916666666666663</v>
      </c>
      <c r="F117" t="s">
        <v>29</v>
      </c>
      <c r="G117" t="s">
        <v>33</v>
      </c>
      <c r="H117">
        <v>3</v>
      </c>
      <c r="I117">
        <v>1</v>
      </c>
      <c r="J117" t="s">
        <v>34</v>
      </c>
      <c r="K117">
        <v>122</v>
      </c>
      <c r="L117">
        <v>72</v>
      </c>
      <c r="M117">
        <v>144</v>
      </c>
      <c r="N117">
        <v>123</v>
      </c>
      <c r="O117">
        <v>819</v>
      </c>
      <c r="P117">
        <v>1586</v>
      </c>
      <c r="Q117">
        <v>12</v>
      </c>
      <c r="R117">
        <v>645</v>
      </c>
      <c r="S117">
        <v>1205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</row>
    <row r="118" spans="1:25" hidden="1">
      <c r="A118" t="s">
        <v>25</v>
      </c>
      <c r="B118" t="s">
        <v>26</v>
      </c>
      <c r="C118" t="s">
        <v>27</v>
      </c>
      <c r="D118" s="1">
        <v>41336</v>
      </c>
      <c r="E118" s="2">
        <v>0.625</v>
      </c>
      <c r="F118" t="s">
        <v>39</v>
      </c>
      <c r="G118" t="s">
        <v>35</v>
      </c>
      <c r="H118">
        <v>2</v>
      </c>
      <c r="I118">
        <v>1</v>
      </c>
      <c r="J118" t="s">
        <v>34</v>
      </c>
      <c r="K118">
        <v>363</v>
      </c>
      <c r="L118">
        <v>343</v>
      </c>
      <c r="M118">
        <v>218</v>
      </c>
      <c r="N118">
        <v>395</v>
      </c>
      <c r="O118">
        <v>343</v>
      </c>
      <c r="P118">
        <v>225</v>
      </c>
      <c r="Q118">
        <v>35</v>
      </c>
      <c r="R118">
        <v>329</v>
      </c>
      <c r="S118">
        <v>205</v>
      </c>
      <c r="T118" t="s">
        <v>31</v>
      </c>
      <c r="U118" t="s">
        <v>31</v>
      </c>
      <c r="V118" t="s">
        <v>31</v>
      </c>
      <c r="W118" t="s">
        <v>31</v>
      </c>
      <c r="X118" t="s">
        <v>31</v>
      </c>
      <c r="Y118" t="s">
        <v>31</v>
      </c>
    </row>
    <row r="119" spans="1:25" hidden="1">
      <c r="A119" t="s">
        <v>25</v>
      </c>
      <c r="B119" t="s">
        <v>26</v>
      </c>
      <c r="C119" t="s">
        <v>27</v>
      </c>
      <c r="D119" s="1">
        <v>41339</v>
      </c>
      <c r="E119" s="2">
        <v>0.72916666666666663</v>
      </c>
      <c r="F119" t="s">
        <v>39</v>
      </c>
      <c r="G119" t="s">
        <v>29</v>
      </c>
      <c r="H119">
        <v>1</v>
      </c>
      <c r="I119">
        <v>1</v>
      </c>
      <c r="J119" t="s">
        <v>41</v>
      </c>
      <c r="K119">
        <v>527</v>
      </c>
      <c r="L119">
        <v>385</v>
      </c>
      <c r="M119">
        <v>174</v>
      </c>
      <c r="N119">
        <v>55</v>
      </c>
      <c r="O119">
        <v>4</v>
      </c>
      <c r="P119">
        <v>174</v>
      </c>
      <c r="Q119">
        <v>502</v>
      </c>
      <c r="R119">
        <v>374</v>
      </c>
      <c r="S119">
        <v>164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31</v>
      </c>
    </row>
    <row r="120" spans="1:25" hidden="1">
      <c r="A120" t="s">
        <v>25</v>
      </c>
      <c r="B120" t="s">
        <v>26</v>
      </c>
      <c r="C120" t="s">
        <v>27</v>
      </c>
      <c r="D120" s="1">
        <v>41342</v>
      </c>
      <c r="E120" s="2">
        <v>0.625</v>
      </c>
      <c r="F120" t="s">
        <v>33</v>
      </c>
      <c r="G120" t="s">
        <v>40</v>
      </c>
      <c r="H120">
        <v>0</v>
      </c>
      <c r="I120">
        <v>0</v>
      </c>
      <c r="J120" t="s">
        <v>41</v>
      </c>
      <c r="K120">
        <v>625</v>
      </c>
      <c r="L120">
        <v>415</v>
      </c>
      <c r="M120">
        <v>16</v>
      </c>
      <c r="N120">
        <v>67</v>
      </c>
      <c r="O120">
        <v>445</v>
      </c>
      <c r="P120">
        <v>162</v>
      </c>
      <c r="Q120">
        <v>59</v>
      </c>
      <c r="R120">
        <v>389</v>
      </c>
      <c r="S120">
        <v>155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 t="s">
        <v>31</v>
      </c>
    </row>
    <row r="121" spans="1:25" hidden="1">
      <c r="A121" t="s">
        <v>25</v>
      </c>
      <c r="B121" t="s">
        <v>26</v>
      </c>
      <c r="C121" t="s">
        <v>27</v>
      </c>
      <c r="D121" s="1">
        <v>41342</v>
      </c>
      <c r="E121" s="2">
        <v>0.72916666666666663</v>
      </c>
      <c r="F121" t="s">
        <v>37</v>
      </c>
      <c r="G121" t="s">
        <v>39</v>
      </c>
      <c r="H121">
        <v>0</v>
      </c>
      <c r="I121">
        <v>1</v>
      </c>
      <c r="J121" t="s">
        <v>30</v>
      </c>
      <c r="K121">
        <v>202</v>
      </c>
      <c r="L121">
        <v>35</v>
      </c>
      <c r="M121">
        <v>407</v>
      </c>
      <c r="N121">
        <v>21</v>
      </c>
      <c r="O121">
        <v>375</v>
      </c>
      <c r="P121">
        <v>407</v>
      </c>
      <c r="Q121">
        <v>203</v>
      </c>
      <c r="R121">
        <v>337</v>
      </c>
      <c r="S121">
        <v>346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</row>
    <row r="122" spans="1:25" hidden="1">
      <c r="A122" t="s">
        <v>25</v>
      </c>
      <c r="B122" t="s">
        <v>26</v>
      </c>
      <c r="C122" t="s">
        <v>27</v>
      </c>
      <c r="D122" s="1">
        <v>41342</v>
      </c>
      <c r="E122" s="2">
        <v>0.72916666666666663</v>
      </c>
      <c r="F122" t="s">
        <v>35</v>
      </c>
      <c r="G122" t="s">
        <v>32</v>
      </c>
      <c r="H122">
        <v>2</v>
      </c>
      <c r="I122">
        <v>2</v>
      </c>
      <c r="J122" t="s">
        <v>41</v>
      </c>
      <c r="K122">
        <v>146</v>
      </c>
      <c r="L122">
        <v>465</v>
      </c>
      <c r="M122">
        <v>795</v>
      </c>
      <c r="N122">
        <v>146</v>
      </c>
      <c r="O122">
        <v>49</v>
      </c>
      <c r="P122">
        <v>819</v>
      </c>
      <c r="Q122">
        <v>142</v>
      </c>
      <c r="R122">
        <v>431</v>
      </c>
      <c r="S122">
        <v>736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  <c r="Y122" t="s">
        <v>31</v>
      </c>
    </row>
    <row r="123" spans="1:25" hidden="1">
      <c r="A123" t="s">
        <v>25</v>
      </c>
      <c r="B123" t="s">
        <v>26</v>
      </c>
      <c r="C123" t="s">
        <v>27</v>
      </c>
      <c r="D123" s="1">
        <v>41342</v>
      </c>
      <c r="E123" s="2">
        <v>0.72916666666666663</v>
      </c>
      <c r="F123" t="s">
        <v>38</v>
      </c>
      <c r="G123" t="s">
        <v>28</v>
      </c>
      <c r="H123">
        <v>1</v>
      </c>
      <c r="I123">
        <v>2</v>
      </c>
      <c r="J123" t="s">
        <v>30</v>
      </c>
      <c r="K123">
        <v>225</v>
      </c>
      <c r="L123">
        <v>324</v>
      </c>
      <c r="M123">
        <v>364</v>
      </c>
      <c r="N123">
        <v>235</v>
      </c>
      <c r="O123">
        <v>34</v>
      </c>
      <c r="P123">
        <v>364</v>
      </c>
      <c r="Q123">
        <v>218</v>
      </c>
      <c r="R123">
        <v>323</v>
      </c>
      <c r="S123">
        <v>326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31</v>
      </c>
    </row>
    <row r="124" spans="1:25" hidden="1">
      <c r="A124" t="s">
        <v>25</v>
      </c>
      <c r="B124" t="s">
        <v>26</v>
      </c>
      <c r="C124" t="s">
        <v>27</v>
      </c>
      <c r="D124" s="1">
        <v>41343</v>
      </c>
      <c r="E124" s="2">
        <v>0.625</v>
      </c>
      <c r="F124" t="s">
        <v>36</v>
      </c>
      <c r="G124" t="s">
        <v>29</v>
      </c>
      <c r="H124">
        <v>2</v>
      </c>
      <c r="I124">
        <v>3</v>
      </c>
      <c r="J124" t="s">
        <v>30</v>
      </c>
      <c r="K124">
        <v>582</v>
      </c>
      <c r="L124">
        <v>392</v>
      </c>
      <c r="M124">
        <v>167</v>
      </c>
      <c r="N124">
        <v>6</v>
      </c>
      <c r="O124">
        <v>4</v>
      </c>
      <c r="P124">
        <v>17</v>
      </c>
      <c r="Q124">
        <v>536</v>
      </c>
      <c r="R124">
        <v>381</v>
      </c>
      <c r="S124">
        <v>16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 t="s">
        <v>31</v>
      </c>
    </row>
    <row r="125" spans="1:25" hidden="1">
      <c r="A125" t="s">
        <v>25</v>
      </c>
      <c r="B125" t="s">
        <v>26</v>
      </c>
      <c r="C125" t="s">
        <v>27</v>
      </c>
      <c r="D125" s="1">
        <v>41346</v>
      </c>
      <c r="E125" s="2">
        <v>0.72916666666666663</v>
      </c>
      <c r="F125" t="s">
        <v>39</v>
      </c>
      <c r="G125" t="s">
        <v>32</v>
      </c>
      <c r="H125">
        <v>1</v>
      </c>
      <c r="I125">
        <v>0</v>
      </c>
      <c r="J125" t="s">
        <v>34</v>
      </c>
      <c r="K125">
        <v>198</v>
      </c>
      <c r="L125">
        <v>378</v>
      </c>
      <c r="M125">
        <v>392</v>
      </c>
      <c r="N125">
        <v>212</v>
      </c>
      <c r="O125">
        <v>378</v>
      </c>
      <c r="P125">
        <v>4</v>
      </c>
      <c r="Q125">
        <v>197</v>
      </c>
      <c r="R125">
        <v>335</v>
      </c>
      <c r="S125">
        <v>373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31</v>
      </c>
    </row>
    <row r="126" spans="1:25" hidden="1">
      <c r="A126" t="s">
        <v>25</v>
      </c>
      <c r="B126" t="s">
        <v>26</v>
      </c>
      <c r="C126" t="s">
        <v>27</v>
      </c>
      <c r="D126" s="1">
        <v>41346</v>
      </c>
      <c r="E126" s="2">
        <v>0.72916666666666663</v>
      </c>
      <c r="F126" t="s">
        <v>37</v>
      </c>
      <c r="G126" t="s">
        <v>29</v>
      </c>
      <c r="H126">
        <v>1</v>
      </c>
      <c r="I126">
        <v>1</v>
      </c>
      <c r="J126" t="s">
        <v>41</v>
      </c>
      <c r="K126">
        <v>584</v>
      </c>
      <c r="L126">
        <v>428</v>
      </c>
      <c r="M126">
        <v>161</v>
      </c>
      <c r="N126">
        <v>61</v>
      </c>
      <c r="O126">
        <v>445</v>
      </c>
      <c r="P126">
        <v>162</v>
      </c>
      <c r="Q126">
        <v>53</v>
      </c>
      <c r="R126">
        <v>398</v>
      </c>
      <c r="S126">
        <v>158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 t="s">
        <v>31</v>
      </c>
    </row>
    <row r="127" spans="1:25" hidden="1">
      <c r="A127" t="s">
        <v>25</v>
      </c>
      <c r="B127" t="s">
        <v>26</v>
      </c>
      <c r="C127" t="s">
        <v>27</v>
      </c>
      <c r="D127" s="1">
        <v>41349</v>
      </c>
      <c r="E127" s="2">
        <v>0.625</v>
      </c>
      <c r="F127" t="s">
        <v>35</v>
      </c>
      <c r="G127" t="s">
        <v>37</v>
      </c>
      <c r="H127">
        <v>1</v>
      </c>
      <c r="I127">
        <v>1</v>
      </c>
      <c r="J127" t="s">
        <v>41</v>
      </c>
      <c r="K127">
        <v>159</v>
      </c>
      <c r="L127">
        <v>447</v>
      </c>
      <c r="M127">
        <v>58</v>
      </c>
      <c r="N127">
        <v>159</v>
      </c>
      <c r="O127">
        <v>475</v>
      </c>
      <c r="P127">
        <v>72</v>
      </c>
      <c r="Q127">
        <v>149</v>
      </c>
      <c r="R127">
        <v>42</v>
      </c>
      <c r="S127">
        <v>607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</row>
    <row r="128" spans="1:25" hidden="1">
      <c r="A128" t="s">
        <v>25</v>
      </c>
      <c r="B128" t="s">
        <v>26</v>
      </c>
      <c r="C128" t="s">
        <v>27</v>
      </c>
      <c r="D128" s="1">
        <v>41349</v>
      </c>
      <c r="E128" s="2">
        <v>0.72916666666666663</v>
      </c>
      <c r="F128" t="s">
        <v>39</v>
      </c>
      <c r="G128" t="s">
        <v>33</v>
      </c>
      <c r="H128">
        <v>1</v>
      </c>
      <c r="I128">
        <v>1</v>
      </c>
      <c r="J128" t="s">
        <v>41</v>
      </c>
      <c r="K128">
        <v>202</v>
      </c>
      <c r="L128">
        <v>359</v>
      </c>
      <c r="M128">
        <v>398</v>
      </c>
      <c r="N128">
        <v>202</v>
      </c>
      <c r="O128">
        <v>365</v>
      </c>
      <c r="P128">
        <v>445</v>
      </c>
      <c r="Q128">
        <v>189</v>
      </c>
      <c r="R128">
        <v>337</v>
      </c>
      <c r="S128">
        <v>399</v>
      </c>
      <c r="T128" t="s">
        <v>31</v>
      </c>
      <c r="U128" t="s">
        <v>31</v>
      </c>
      <c r="V128" t="s">
        <v>31</v>
      </c>
      <c r="W128" t="s">
        <v>31</v>
      </c>
      <c r="X128" t="s">
        <v>31</v>
      </c>
      <c r="Y128" t="s">
        <v>31</v>
      </c>
    </row>
    <row r="129" spans="1:25" hidden="1">
      <c r="A129" t="s">
        <v>25</v>
      </c>
      <c r="B129" t="s">
        <v>26</v>
      </c>
      <c r="C129" t="s">
        <v>27</v>
      </c>
      <c r="D129" s="1">
        <v>41349</v>
      </c>
      <c r="E129" s="2">
        <v>0.72916666666666663</v>
      </c>
      <c r="F129" t="s">
        <v>29</v>
      </c>
      <c r="G129" t="s">
        <v>38</v>
      </c>
      <c r="H129">
        <v>2</v>
      </c>
      <c r="I129">
        <v>2</v>
      </c>
      <c r="J129" t="s">
        <v>41</v>
      </c>
      <c r="K129">
        <v>153</v>
      </c>
      <c r="L129">
        <v>47</v>
      </c>
      <c r="M129">
        <v>63</v>
      </c>
      <c r="N129">
        <v>153</v>
      </c>
      <c r="O129">
        <v>484</v>
      </c>
      <c r="P129">
        <v>75</v>
      </c>
      <c r="Q129">
        <v>147</v>
      </c>
      <c r="R129">
        <v>422</v>
      </c>
      <c r="S129">
        <v>648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</row>
    <row r="130" spans="1:25" hidden="1">
      <c r="A130" t="s">
        <v>25</v>
      </c>
      <c r="B130" t="s">
        <v>26</v>
      </c>
      <c r="C130" t="s">
        <v>27</v>
      </c>
      <c r="D130" s="1">
        <v>41349</v>
      </c>
      <c r="E130" s="2">
        <v>0.72916666666666663</v>
      </c>
      <c r="F130" t="s">
        <v>28</v>
      </c>
      <c r="G130" t="s">
        <v>36</v>
      </c>
      <c r="H130">
        <v>3</v>
      </c>
      <c r="I130">
        <v>2</v>
      </c>
      <c r="J130" t="s">
        <v>34</v>
      </c>
      <c r="K130">
        <v>174</v>
      </c>
      <c r="L130">
        <v>372</v>
      </c>
      <c r="M130">
        <v>55</v>
      </c>
      <c r="N130">
        <v>174</v>
      </c>
      <c r="O130">
        <v>395</v>
      </c>
      <c r="P130">
        <v>63</v>
      </c>
      <c r="Q130">
        <v>164</v>
      </c>
      <c r="R130">
        <v>362</v>
      </c>
      <c r="S130">
        <v>533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</row>
    <row r="131" spans="1:25" hidden="1">
      <c r="A131" t="s">
        <v>25</v>
      </c>
      <c r="B131" t="s">
        <v>26</v>
      </c>
      <c r="C131" t="s">
        <v>27</v>
      </c>
      <c r="D131" s="1">
        <v>41350</v>
      </c>
      <c r="E131" s="2">
        <v>0.66666666666666663</v>
      </c>
      <c r="F131" t="s">
        <v>32</v>
      </c>
      <c r="G131" t="s">
        <v>40</v>
      </c>
      <c r="H131">
        <v>0</v>
      </c>
      <c r="I131">
        <v>4</v>
      </c>
      <c r="J131" t="s">
        <v>30</v>
      </c>
      <c r="K131">
        <v>488</v>
      </c>
      <c r="L131">
        <v>393</v>
      </c>
      <c r="M131">
        <v>176</v>
      </c>
      <c r="N131">
        <v>55</v>
      </c>
      <c r="O131">
        <v>393</v>
      </c>
      <c r="P131">
        <v>176</v>
      </c>
      <c r="Q131">
        <v>496</v>
      </c>
      <c r="R131">
        <v>365</v>
      </c>
      <c r="S131">
        <v>167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</row>
    <row r="132" spans="1:25" hidden="1">
      <c r="A132" t="s">
        <v>25</v>
      </c>
      <c r="B132" t="s">
        <v>26</v>
      </c>
      <c r="C132" t="s">
        <v>27</v>
      </c>
      <c r="D132" s="1">
        <v>41363</v>
      </c>
      <c r="E132" s="2">
        <v>0.625</v>
      </c>
      <c r="F132" t="s">
        <v>37</v>
      </c>
      <c r="G132" t="s">
        <v>32</v>
      </c>
      <c r="H132">
        <v>1</v>
      </c>
      <c r="I132">
        <v>0</v>
      </c>
      <c r="J132" t="s">
        <v>34</v>
      </c>
      <c r="K132">
        <v>181</v>
      </c>
      <c r="L132">
        <v>367</v>
      </c>
      <c r="M132">
        <v>498</v>
      </c>
      <c r="N132">
        <v>2</v>
      </c>
      <c r="O132">
        <v>38</v>
      </c>
      <c r="P132">
        <v>498</v>
      </c>
      <c r="Q132">
        <v>186</v>
      </c>
      <c r="R132">
        <v>346</v>
      </c>
      <c r="S132">
        <v>408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</row>
    <row r="133" spans="1:25" hidden="1">
      <c r="A133" t="s">
        <v>25</v>
      </c>
      <c r="B133" t="s">
        <v>26</v>
      </c>
      <c r="C133" t="s">
        <v>27</v>
      </c>
      <c r="D133" s="1">
        <v>41363</v>
      </c>
      <c r="E133" s="2">
        <v>0.72916666666666663</v>
      </c>
      <c r="F133" t="s">
        <v>33</v>
      </c>
      <c r="G133" t="s">
        <v>28</v>
      </c>
      <c r="H133">
        <v>1</v>
      </c>
      <c r="I133">
        <v>0</v>
      </c>
      <c r="J133" t="s">
        <v>34</v>
      </c>
      <c r="K133">
        <v>315</v>
      </c>
      <c r="L133">
        <v>324</v>
      </c>
      <c r="M133">
        <v>25</v>
      </c>
      <c r="N133">
        <v>33</v>
      </c>
      <c r="O133">
        <v>34</v>
      </c>
      <c r="P133">
        <v>25</v>
      </c>
      <c r="Q133">
        <v>309</v>
      </c>
      <c r="R133">
        <v>314</v>
      </c>
      <c r="S133">
        <v>231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</row>
    <row r="134" spans="1:25" hidden="1">
      <c r="A134" t="s">
        <v>25</v>
      </c>
      <c r="B134" t="s">
        <v>26</v>
      </c>
      <c r="C134" t="s">
        <v>27</v>
      </c>
      <c r="D134" s="1">
        <v>41363</v>
      </c>
      <c r="E134" s="2">
        <v>0.72916666666666663</v>
      </c>
      <c r="F134" t="s">
        <v>38</v>
      </c>
      <c r="G134" t="s">
        <v>35</v>
      </c>
      <c r="H134">
        <v>3</v>
      </c>
      <c r="I134">
        <v>2</v>
      </c>
      <c r="J134" t="s">
        <v>34</v>
      </c>
      <c r="K134">
        <v>291</v>
      </c>
      <c r="L134">
        <v>329</v>
      </c>
      <c r="M134">
        <v>264</v>
      </c>
      <c r="N134">
        <v>3</v>
      </c>
      <c r="O134">
        <v>331</v>
      </c>
      <c r="P134">
        <v>275</v>
      </c>
      <c r="Q134">
        <v>275</v>
      </c>
      <c r="R134">
        <v>319</v>
      </c>
      <c r="S134">
        <v>251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</row>
    <row r="135" spans="1:25" hidden="1">
      <c r="A135" t="s">
        <v>25</v>
      </c>
      <c r="B135" t="s">
        <v>26</v>
      </c>
      <c r="C135" t="s">
        <v>27</v>
      </c>
      <c r="D135" s="1">
        <v>41363</v>
      </c>
      <c r="E135" s="2">
        <v>0.72916666666666663</v>
      </c>
      <c r="F135" t="s">
        <v>36</v>
      </c>
      <c r="G135" t="s">
        <v>39</v>
      </c>
      <c r="H135">
        <v>2</v>
      </c>
      <c r="I135">
        <v>3</v>
      </c>
      <c r="J135" t="s">
        <v>30</v>
      </c>
      <c r="K135">
        <v>219</v>
      </c>
      <c r="L135">
        <v>348</v>
      </c>
      <c r="M135">
        <v>355</v>
      </c>
      <c r="N135">
        <v>229</v>
      </c>
      <c r="O135">
        <v>348</v>
      </c>
      <c r="P135">
        <v>355</v>
      </c>
      <c r="Q135">
        <v>216</v>
      </c>
      <c r="R135">
        <v>328</v>
      </c>
      <c r="S135">
        <v>323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 t="s">
        <v>31</v>
      </c>
    </row>
    <row r="136" spans="1:25" hidden="1">
      <c r="A136" t="s">
        <v>25</v>
      </c>
      <c r="B136" t="s">
        <v>26</v>
      </c>
      <c r="C136" t="s">
        <v>27</v>
      </c>
      <c r="D136" s="1">
        <v>41364</v>
      </c>
      <c r="E136" s="2">
        <v>0.625</v>
      </c>
      <c r="F136" t="s">
        <v>40</v>
      </c>
      <c r="G136" t="s">
        <v>29</v>
      </c>
      <c r="H136">
        <v>1</v>
      </c>
      <c r="I136">
        <v>1</v>
      </c>
      <c r="J136" t="s">
        <v>41</v>
      </c>
      <c r="K136">
        <v>206</v>
      </c>
      <c r="L136">
        <v>34</v>
      </c>
      <c r="M136">
        <v>408</v>
      </c>
      <c r="N136">
        <v>24</v>
      </c>
      <c r="O136">
        <v>36</v>
      </c>
      <c r="P136">
        <v>42</v>
      </c>
      <c r="Q136">
        <v>207</v>
      </c>
      <c r="R136">
        <v>331</v>
      </c>
      <c r="S136">
        <v>348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31</v>
      </c>
    </row>
    <row r="137" spans="1:25" hidden="1">
      <c r="A137" t="s">
        <v>25</v>
      </c>
      <c r="B137" t="s">
        <v>26</v>
      </c>
      <c r="C137" t="s">
        <v>27</v>
      </c>
      <c r="D137" s="1">
        <v>41370</v>
      </c>
      <c r="E137" s="2">
        <v>0.625</v>
      </c>
      <c r="F137" t="s">
        <v>36</v>
      </c>
      <c r="G137" t="s">
        <v>35</v>
      </c>
      <c r="H137">
        <v>1</v>
      </c>
      <c r="I137">
        <v>1</v>
      </c>
      <c r="J137" t="s">
        <v>41</v>
      </c>
      <c r="K137">
        <v>323</v>
      </c>
      <c r="L137">
        <v>332</v>
      </c>
      <c r="M137">
        <v>241</v>
      </c>
      <c r="N137">
        <v>365</v>
      </c>
      <c r="O137">
        <v>34</v>
      </c>
      <c r="P137">
        <v>241</v>
      </c>
      <c r="Q137">
        <v>326</v>
      </c>
      <c r="R137">
        <v>325</v>
      </c>
      <c r="S137">
        <v>218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31</v>
      </c>
    </row>
    <row r="138" spans="1:25" hidden="1">
      <c r="A138" t="s">
        <v>25</v>
      </c>
      <c r="B138" t="s">
        <v>26</v>
      </c>
      <c r="C138" t="s">
        <v>27</v>
      </c>
      <c r="D138" s="1">
        <v>41370</v>
      </c>
      <c r="E138" s="2">
        <v>0.72916666666666663</v>
      </c>
      <c r="F138" t="s">
        <v>40</v>
      </c>
      <c r="G138" t="s">
        <v>39</v>
      </c>
      <c r="H138">
        <v>0</v>
      </c>
      <c r="I138">
        <v>4</v>
      </c>
      <c r="J138" t="s">
        <v>30</v>
      </c>
      <c r="K138">
        <v>143</v>
      </c>
      <c r="L138">
        <v>486</v>
      </c>
      <c r="M138">
        <v>843</v>
      </c>
      <c r="N138">
        <v>143</v>
      </c>
      <c r="O138">
        <v>54</v>
      </c>
      <c r="P138">
        <v>105</v>
      </c>
      <c r="Q138">
        <v>136</v>
      </c>
      <c r="R138">
        <v>458</v>
      </c>
      <c r="S138">
        <v>815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</row>
    <row r="139" spans="1:25" hidden="1">
      <c r="A139" t="s">
        <v>25</v>
      </c>
      <c r="B139" t="s">
        <v>26</v>
      </c>
      <c r="C139" t="s">
        <v>27</v>
      </c>
      <c r="D139" s="1">
        <v>41370</v>
      </c>
      <c r="E139" s="2">
        <v>0.72916666666666663</v>
      </c>
      <c r="F139" t="s">
        <v>33</v>
      </c>
      <c r="G139" t="s">
        <v>32</v>
      </c>
      <c r="H139">
        <v>0</v>
      </c>
      <c r="I139">
        <v>0</v>
      </c>
      <c r="J139" t="s">
        <v>41</v>
      </c>
      <c r="K139">
        <v>208</v>
      </c>
      <c r="L139">
        <v>336</v>
      </c>
      <c r="M139">
        <v>401</v>
      </c>
      <c r="N139">
        <v>22</v>
      </c>
      <c r="O139">
        <v>34</v>
      </c>
      <c r="P139">
        <v>405</v>
      </c>
      <c r="Q139">
        <v>204</v>
      </c>
      <c r="R139">
        <v>325</v>
      </c>
      <c r="S139">
        <v>364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31</v>
      </c>
    </row>
    <row r="140" spans="1:25" hidden="1">
      <c r="A140" t="s">
        <v>25</v>
      </c>
      <c r="B140" t="s">
        <v>26</v>
      </c>
      <c r="C140" t="s">
        <v>27</v>
      </c>
      <c r="D140" s="1">
        <v>41370</v>
      </c>
      <c r="E140" s="2">
        <v>0.72916666666666663</v>
      </c>
      <c r="F140" t="s">
        <v>38</v>
      </c>
      <c r="G140" t="s">
        <v>37</v>
      </c>
      <c r="H140">
        <v>4</v>
      </c>
      <c r="I140">
        <v>1</v>
      </c>
      <c r="J140" t="s">
        <v>34</v>
      </c>
      <c r="K140">
        <v>191</v>
      </c>
      <c r="L140">
        <v>363</v>
      </c>
      <c r="M140">
        <v>442</v>
      </c>
      <c r="N140">
        <v>194</v>
      </c>
      <c r="O140">
        <v>375</v>
      </c>
      <c r="P140">
        <v>5</v>
      </c>
      <c r="Q140">
        <v>179</v>
      </c>
      <c r="R140">
        <v>356</v>
      </c>
      <c r="S140">
        <v>428</v>
      </c>
      <c r="T140" t="s">
        <v>31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</row>
    <row r="141" spans="1:25" hidden="1">
      <c r="A141" t="s">
        <v>25</v>
      </c>
      <c r="B141" t="s">
        <v>26</v>
      </c>
      <c r="C141" t="s">
        <v>27</v>
      </c>
      <c r="D141" s="1">
        <v>41371</v>
      </c>
      <c r="E141" s="2">
        <v>0.625</v>
      </c>
      <c r="F141" t="s">
        <v>29</v>
      </c>
      <c r="G141" t="s">
        <v>28</v>
      </c>
      <c r="H141">
        <v>3</v>
      </c>
      <c r="I141">
        <v>0</v>
      </c>
      <c r="J141" t="s">
        <v>34</v>
      </c>
      <c r="K141">
        <v>154</v>
      </c>
      <c r="L141">
        <v>455</v>
      </c>
      <c r="M141">
        <v>645</v>
      </c>
      <c r="N141">
        <v>16</v>
      </c>
      <c r="O141">
        <v>459</v>
      </c>
      <c r="P141">
        <v>69</v>
      </c>
      <c r="Q141">
        <v>151</v>
      </c>
      <c r="R141">
        <v>408</v>
      </c>
      <c r="S141">
        <v>607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</row>
    <row r="142" spans="1:25" hidden="1">
      <c r="A142" t="s">
        <v>25</v>
      </c>
      <c r="B142" t="s">
        <v>26</v>
      </c>
      <c r="C142" t="s">
        <v>27</v>
      </c>
      <c r="D142" s="1">
        <v>41377</v>
      </c>
      <c r="E142" s="2">
        <v>0.625</v>
      </c>
      <c r="F142" t="s">
        <v>39</v>
      </c>
      <c r="G142" t="s">
        <v>38</v>
      </c>
      <c r="H142">
        <v>1</v>
      </c>
      <c r="I142">
        <v>3</v>
      </c>
      <c r="J142" t="s">
        <v>30</v>
      </c>
      <c r="K142">
        <v>22</v>
      </c>
      <c r="L142">
        <v>356</v>
      </c>
      <c r="M142">
        <v>343</v>
      </c>
      <c r="N142">
        <v>229</v>
      </c>
      <c r="O142">
        <v>356</v>
      </c>
      <c r="P142">
        <v>343</v>
      </c>
      <c r="Q142">
        <v>219</v>
      </c>
      <c r="R142">
        <v>329</v>
      </c>
      <c r="S142">
        <v>315</v>
      </c>
      <c r="T142" t="s">
        <v>31</v>
      </c>
      <c r="U142" t="s">
        <v>31</v>
      </c>
      <c r="V142" t="s">
        <v>31</v>
      </c>
      <c r="W142" t="s">
        <v>31</v>
      </c>
      <c r="X142" t="s">
        <v>31</v>
      </c>
      <c r="Y142" t="s">
        <v>31</v>
      </c>
    </row>
    <row r="143" spans="1:25" hidden="1">
      <c r="A143" t="s">
        <v>25</v>
      </c>
      <c r="B143" t="s">
        <v>26</v>
      </c>
      <c r="C143" t="s">
        <v>27</v>
      </c>
      <c r="D143" s="1">
        <v>41377</v>
      </c>
      <c r="E143" s="2">
        <v>0.72916666666666663</v>
      </c>
      <c r="F143" t="s">
        <v>37</v>
      </c>
      <c r="G143" t="s">
        <v>36</v>
      </c>
      <c r="H143">
        <v>4</v>
      </c>
      <c r="I143">
        <v>3</v>
      </c>
      <c r="J143" t="s">
        <v>34</v>
      </c>
      <c r="K143">
        <v>196</v>
      </c>
      <c r="L143">
        <v>354</v>
      </c>
      <c r="M143">
        <v>429</v>
      </c>
      <c r="N143">
        <v>199</v>
      </c>
      <c r="O143">
        <v>365</v>
      </c>
      <c r="P143">
        <v>45</v>
      </c>
      <c r="Q143">
        <v>192</v>
      </c>
      <c r="R143">
        <v>339</v>
      </c>
      <c r="S143">
        <v>39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 t="s">
        <v>31</v>
      </c>
    </row>
    <row r="144" spans="1:25" hidden="1">
      <c r="A144" t="s">
        <v>25</v>
      </c>
      <c r="B144" t="s">
        <v>26</v>
      </c>
      <c r="C144" t="s">
        <v>27</v>
      </c>
      <c r="D144" s="1">
        <v>41377</v>
      </c>
      <c r="E144" s="2">
        <v>0.72916666666666663</v>
      </c>
      <c r="F144" t="s">
        <v>32</v>
      </c>
      <c r="G144" t="s">
        <v>29</v>
      </c>
      <c r="H144">
        <v>1</v>
      </c>
      <c r="I144">
        <v>2</v>
      </c>
      <c r="J144" t="s">
        <v>30</v>
      </c>
      <c r="K144">
        <v>564</v>
      </c>
      <c r="L144">
        <v>438</v>
      </c>
      <c r="M144">
        <v>161</v>
      </c>
      <c r="N144">
        <v>61</v>
      </c>
      <c r="O144">
        <v>445</v>
      </c>
      <c r="P144">
        <v>17</v>
      </c>
      <c r="Q144">
        <v>545</v>
      </c>
      <c r="R144">
        <v>391</v>
      </c>
      <c r="S144">
        <v>158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</row>
    <row r="145" spans="1:25" hidden="1">
      <c r="A145" t="s">
        <v>25</v>
      </c>
      <c r="B145" t="s">
        <v>26</v>
      </c>
      <c r="C145" t="s">
        <v>27</v>
      </c>
      <c r="D145" s="1">
        <v>41377</v>
      </c>
      <c r="E145" s="2">
        <v>0.72916666666666663</v>
      </c>
      <c r="F145" t="s">
        <v>35</v>
      </c>
      <c r="G145" t="s">
        <v>33</v>
      </c>
      <c r="H145">
        <v>2</v>
      </c>
      <c r="I145">
        <v>0</v>
      </c>
      <c r="J145" t="s">
        <v>34</v>
      </c>
      <c r="K145">
        <v>157</v>
      </c>
      <c r="L145">
        <v>428</v>
      </c>
      <c r="M145">
        <v>637</v>
      </c>
      <c r="N145">
        <v>157</v>
      </c>
      <c r="O145">
        <v>428</v>
      </c>
      <c r="P145">
        <v>7</v>
      </c>
      <c r="Q145">
        <v>15</v>
      </c>
      <c r="R145">
        <v>401</v>
      </c>
      <c r="S145">
        <v>648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</row>
    <row r="146" spans="1:25" hidden="1">
      <c r="A146" t="s">
        <v>25</v>
      </c>
      <c r="B146" t="s">
        <v>26</v>
      </c>
      <c r="C146" t="s">
        <v>27</v>
      </c>
      <c r="D146" s="1">
        <v>41378</v>
      </c>
      <c r="E146" s="2">
        <v>0.625</v>
      </c>
      <c r="F146" t="s">
        <v>28</v>
      </c>
      <c r="G146" t="s">
        <v>40</v>
      </c>
      <c r="H146">
        <v>1</v>
      </c>
      <c r="I146">
        <v>1</v>
      </c>
      <c r="J146" t="s">
        <v>41</v>
      </c>
      <c r="K146">
        <v>347</v>
      </c>
      <c r="L146">
        <v>342</v>
      </c>
      <c r="M146">
        <v>222</v>
      </c>
      <c r="N146">
        <v>347</v>
      </c>
      <c r="O146">
        <v>345</v>
      </c>
      <c r="P146">
        <v>25</v>
      </c>
      <c r="Q146">
        <v>314</v>
      </c>
      <c r="R146">
        <v>328</v>
      </c>
      <c r="S146">
        <v>222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  <c r="Y146" t="s">
        <v>31</v>
      </c>
    </row>
    <row r="147" spans="1:25" hidden="1">
      <c r="A147" t="s">
        <v>25</v>
      </c>
      <c r="B147" t="s">
        <v>26</v>
      </c>
      <c r="C147" t="s">
        <v>27</v>
      </c>
      <c r="D147" s="1">
        <v>41384</v>
      </c>
      <c r="E147" s="2">
        <v>0.625</v>
      </c>
      <c r="F147" t="s">
        <v>28</v>
      </c>
      <c r="G147" t="s">
        <v>32</v>
      </c>
      <c r="H147">
        <v>2</v>
      </c>
      <c r="I147">
        <v>2</v>
      </c>
      <c r="J147" t="s">
        <v>41</v>
      </c>
      <c r="K147">
        <v>176</v>
      </c>
      <c r="L147">
        <v>376</v>
      </c>
      <c r="M147">
        <v>519</v>
      </c>
      <c r="N147">
        <v>176</v>
      </c>
      <c r="O147">
        <v>39</v>
      </c>
      <c r="P147">
        <v>65</v>
      </c>
      <c r="Q147">
        <v>164</v>
      </c>
      <c r="R147">
        <v>37</v>
      </c>
      <c r="S147">
        <v>524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</row>
    <row r="148" spans="1:25" hidden="1">
      <c r="A148" t="s">
        <v>25</v>
      </c>
      <c r="B148" t="s">
        <v>26</v>
      </c>
      <c r="C148" t="s">
        <v>27</v>
      </c>
      <c r="D148" s="1">
        <v>41384</v>
      </c>
      <c r="E148" s="2">
        <v>0.72916666666666663</v>
      </c>
      <c r="F148" t="s">
        <v>33</v>
      </c>
      <c r="G148" t="s">
        <v>37</v>
      </c>
      <c r="H148">
        <v>3</v>
      </c>
      <c r="I148">
        <v>0</v>
      </c>
      <c r="J148" t="s">
        <v>34</v>
      </c>
      <c r="K148">
        <v>299</v>
      </c>
      <c r="L148">
        <v>325</v>
      </c>
      <c r="M148">
        <v>261</v>
      </c>
      <c r="N148">
        <v>299</v>
      </c>
      <c r="O148">
        <v>331</v>
      </c>
      <c r="P148">
        <v>29</v>
      </c>
      <c r="Q148">
        <v>264</v>
      </c>
      <c r="R148">
        <v>322</v>
      </c>
      <c r="S148">
        <v>261</v>
      </c>
      <c r="T148" t="s">
        <v>31</v>
      </c>
      <c r="U148" t="s">
        <v>31</v>
      </c>
      <c r="V148" t="s">
        <v>31</v>
      </c>
      <c r="W148" t="s">
        <v>31</v>
      </c>
      <c r="X148" t="s">
        <v>31</v>
      </c>
      <c r="Y148" t="s">
        <v>31</v>
      </c>
    </row>
    <row r="149" spans="1:25" hidden="1">
      <c r="A149" t="s">
        <v>25</v>
      </c>
      <c r="B149" t="s">
        <v>26</v>
      </c>
      <c r="C149" t="s">
        <v>27</v>
      </c>
      <c r="D149" s="1">
        <v>41384</v>
      </c>
      <c r="E149" s="2">
        <v>0.72916666666666663</v>
      </c>
      <c r="F149" t="s">
        <v>29</v>
      </c>
      <c r="G149" t="s">
        <v>39</v>
      </c>
      <c r="H149">
        <v>6</v>
      </c>
      <c r="I149">
        <v>2</v>
      </c>
      <c r="J149" t="s">
        <v>34</v>
      </c>
      <c r="K149">
        <v>14</v>
      </c>
      <c r="L149">
        <v>509</v>
      </c>
      <c r="M149">
        <v>89</v>
      </c>
      <c r="N149">
        <v>14</v>
      </c>
      <c r="O149">
        <v>59</v>
      </c>
      <c r="P149">
        <v>9</v>
      </c>
      <c r="Q149">
        <v>136</v>
      </c>
      <c r="R149">
        <v>468</v>
      </c>
      <c r="S149">
        <v>79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</row>
    <row r="150" spans="1:25" hidden="1">
      <c r="A150" t="s">
        <v>25</v>
      </c>
      <c r="B150" t="s">
        <v>26</v>
      </c>
      <c r="C150" t="s">
        <v>27</v>
      </c>
      <c r="D150" s="1">
        <v>41384</v>
      </c>
      <c r="E150" s="2">
        <v>0.72916666666666663</v>
      </c>
      <c r="F150" t="s">
        <v>36</v>
      </c>
      <c r="G150" t="s">
        <v>38</v>
      </c>
      <c r="H150">
        <v>2</v>
      </c>
      <c r="I150">
        <v>0</v>
      </c>
      <c r="J150" t="s">
        <v>34</v>
      </c>
      <c r="K150">
        <v>284</v>
      </c>
      <c r="L150">
        <v>341</v>
      </c>
      <c r="M150">
        <v>263</v>
      </c>
      <c r="N150">
        <v>305</v>
      </c>
      <c r="O150">
        <v>342</v>
      </c>
      <c r="P150">
        <v>265</v>
      </c>
      <c r="Q150">
        <v>266</v>
      </c>
      <c r="R150">
        <v>327</v>
      </c>
      <c r="S150">
        <v>256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</row>
    <row r="151" spans="1:25" hidden="1">
      <c r="A151" t="s">
        <v>25</v>
      </c>
      <c r="B151" t="s">
        <v>26</v>
      </c>
      <c r="C151" t="s">
        <v>27</v>
      </c>
      <c r="D151" s="1">
        <v>41385</v>
      </c>
      <c r="E151" s="2">
        <v>0.625</v>
      </c>
      <c r="F151" t="s">
        <v>40</v>
      </c>
      <c r="G151" t="s">
        <v>35</v>
      </c>
      <c r="H151">
        <v>2</v>
      </c>
      <c r="I151">
        <v>2</v>
      </c>
      <c r="J151" t="s">
        <v>41</v>
      </c>
      <c r="K151">
        <v>189</v>
      </c>
      <c r="L151">
        <v>385</v>
      </c>
      <c r="M151">
        <v>422</v>
      </c>
      <c r="N151">
        <v>194</v>
      </c>
      <c r="O151">
        <v>385</v>
      </c>
      <c r="P151">
        <v>5</v>
      </c>
      <c r="Q151">
        <v>178</v>
      </c>
      <c r="R151">
        <v>358</v>
      </c>
      <c r="S151">
        <v>433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</row>
    <row r="152" spans="1:25" hidden="1">
      <c r="A152" t="s">
        <v>25</v>
      </c>
      <c r="B152" t="s">
        <v>26</v>
      </c>
      <c r="C152" t="s">
        <v>27</v>
      </c>
      <c r="D152" s="1">
        <v>41391</v>
      </c>
      <c r="E152" s="2">
        <v>0.625</v>
      </c>
      <c r="F152" t="s">
        <v>38</v>
      </c>
      <c r="G152" t="s">
        <v>33</v>
      </c>
      <c r="H152">
        <v>2</v>
      </c>
      <c r="I152">
        <v>1</v>
      </c>
      <c r="J152" t="s">
        <v>34</v>
      </c>
      <c r="K152">
        <v>177</v>
      </c>
      <c r="L152">
        <v>396</v>
      </c>
      <c r="M152">
        <v>482</v>
      </c>
      <c r="N152">
        <v>177</v>
      </c>
      <c r="O152">
        <v>4</v>
      </c>
      <c r="P152">
        <v>55</v>
      </c>
      <c r="Q152">
        <v>169</v>
      </c>
      <c r="R152">
        <v>367</v>
      </c>
      <c r="S152">
        <v>486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</row>
    <row r="153" spans="1:25" hidden="1">
      <c r="A153" t="s">
        <v>25</v>
      </c>
      <c r="B153" t="s">
        <v>26</v>
      </c>
      <c r="C153" t="s">
        <v>27</v>
      </c>
      <c r="D153" s="1">
        <v>41391</v>
      </c>
      <c r="E153" s="2">
        <v>0.72916666666666663</v>
      </c>
      <c r="F153" t="s">
        <v>39</v>
      </c>
      <c r="G153" t="s">
        <v>28</v>
      </c>
      <c r="H153">
        <v>3</v>
      </c>
      <c r="I153">
        <v>0</v>
      </c>
      <c r="J153" t="s">
        <v>34</v>
      </c>
      <c r="K153">
        <v>262</v>
      </c>
      <c r="L153">
        <v>339</v>
      </c>
      <c r="M153">
        <v>287</v>
      </c>
      <c r="N153">
        <v>27</v>
      </c>
      <c r="O153">
        <v>34</v>
      </c>
      <c r="P153">
        <v>292</v>
      </c>
      <c r="Q153">
        <v>255</v>
      </c>
      <c r="R153">
        <v>327</v>
      </c>
      <c r="S153">
        <v>265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</row>
    <row r="154" spans="1:25" hidden="1">
      <c r="A154" t="s">
        <v>25</v>
      </c>
      <c r="B154" t="s">
        <v>26</v>
      </c>
      <c r="C154" t="s">
        <v>27</v>
      </c>
      <c r="D154" s="1">
        <v>41391</v>
      </c>
      <c r="E154" s="2">
        <v>0.72916666666666663</v>
      </c>
      <c r="F154" t="s">
        <v>32</v>
      </c>
      <c r="G154" t="s">
        <v>36</v>
      </c>
      <c r="H154">
        <v>1</v>
      </c>
      <c r="I154">
        <v>2</v>
      </c>
      <c r="J154" t="s">
        <v>30</v>
      </c>
      <c r="K154">
        <v>229</v>
      </c>
      <c r="L154">
        <v>34</v>
      </c>
      <c r="M154">
        <v>337</v>
      </c>
      <c r="N154">
        <v>235</v>
      </c>
      <c r="O154">
        <v>345</v>
      </c>
      <c r="P154">
        <v>345</v>
      </c>
      <c r="Q154">
        <v>221</v>
      </c>
      <c r="R154">
        <v>325</v>
      </c>
      <c r="S154">
        <v>318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</row>
    <row r="155" spans="1:25" hidden="1">
      <c r="A155" t="s">
        <v>25</v>
      </c>
      <c r="B155" t="s">
        <v>26</v>
      </c>
      <c r="C155" t="s">
        <v>27</v>
      </c>
      <c r="D155" s="1">
        <v>41391</v>
      </c>
      <c r="E155" s="2">
        <v>0.72916666666666663</v>
      </c>
      <c r="F155" t="s">
        <v>35</v>
      </c>
      <c r="G155" t="s">
        <v>29</v>
      </c>
      <c r="H155">
        <v>1</v>
      </c>
      <c r="I155">
        <v>3</v>
      </c>
      <c r="J155" t="s">
        <v>30</v>
      </c>
      <c r="K155">
        <v>314</v>
      </c>
      <c r="L155">
        <v>362</v>
      </c>
      <c r="M155">
        <v>231</v>
      </c>
      <c r="N155">
        <v>33</v>
      </c>
      <c r="O155">
        <v>362</v>
      </c>
      <c r="P155">
        <v>24</v>
      </c>
      <c r="Q155">
        <v>302</v>
      </c>
      <c r="R155">
        <v>334</v>
      </c>
      <c r="S155">
        <v>226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</row>
    <row r="156" spans="1:25" hidden="1">
      <c r="A156" t="s">
        <v>25</v>
      </c>
      <c r="B156" t="s">
        <v>26</v>
      </c>
      <c r="C156" t="s">
        <v>27</v>
      </c>
      <c r="D156" s="1">
        <v>41392</v>
      </c>
      <c r="E156" s="2">
        <v>0.625</v>
      </c>
      <c r="F156" t="s">
        <v>37</v>
      </c>
      <c r="G156" t="s">
        <v>40</v>
      </c>
      <c r="H156">
        <v>0</v>
      </c>
      <c r="I156">
        <v>2</v>
      </c>
      <c r="J156" t="s">
        <v>30</v>
      </c>
      <c r="K156">
        <v>451</v>
      </c>
      <c r="L156">
        <v>42</v>
      </c>
      <c r="M156">
        <v>177</v>
      </c>
      <c r="N156">
        <v>5</v>
      </c>
      <c r="O156">
        <v>44</v>
      </c>
      <c r="P156">
        <v>185</v>
      </c>
      <c r="Q156">
        <v>445</v>
      </c>
      <c r="R156">
        <v>376</v>
      </c>
      <c r="S156">
        <v>172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</row>
    <row r="157" spans="1:25" hidden="1">
      <c r="A157" t="s">
        <v>25</v>
      </c>
      <c r="B157" t="s">
        <v>26</v>
      </c>
      <c r="C157" t="s">
        <v>27</v>
      </c>
      <c r="D157" s="1">
        <v>41398</v>
      </c>
      <c r="E157" s="2">
        <v>0.625</v>
      </c>
      <c r="F157" t="s">
        <v>40</v>
      </c>
      <c r="G157" t="s">
        <v>38</v>
      </c>
      <c r="H157">
        <v>3</v>
      </c>
      <c r="I157">
        <v>1</v>
      </c>
      <c r="J157" t="s">
        <v>34</v>
      </c>
      <c r="K157">
        <v>147</v>
      </c>
      <c r="L157">
        <v>469</v>
      </c>
      <c r="M157">
        <v>751</v>
      </c>
      <c r="N157">
        <v>15</v>
      </c>
      <c r="O157">
        <v>509</v>
      </c>
      <c r="P157">
        <v>8</v>
      </c>
      <c r="Q157">
        <v>144</v>
      </c>
      <c r="R157">
        <v>424</v>
      </c>
      <c r="S157">
        <v>709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</row>
    <row r="158" spans="1:25" hidden="1">
      <c r="A158" t="s">
        <v>25</v>
      </c>
      <c r="B158" t="s">
        <v>26</v>
      </c>
      <c r="C158" t="s">
        <v>27</v>
      </c>
      <c r="D158" s="1">
        <v>41398</v>
      </c>
      <c r="E158" s="2">
        <v>0.72916666666666663</v>
      </c>
      <c r="F158" t="s">
        <v>32</v>
      </c>
      <c r="G158" t="s">
        <v>39</v>
      </c>
      <c r="H158">
        <v>3</v>
      </c>
      <c r="I158">
        <v>1</v>
      </c>
      <c r="J158" t="s">
        <v>34</v>
      </c>
      <c r="K158">
        <v>271</v>
      </c>
      <c r="L158">
        <v>352</v>
      </c>
      <c r="M158">
        <v>268</v>
      </c>
      <c r="N158">
        <v>271</v>
      </c>
      <c r="O158">
        <v>355</v>
      </c>
      <c r="P158">
        <v>282</v>
      </c>
      <c r="Q158">
        <v>256</v>
      </c>
      <c r="R158">
        <v>328</v>
      </c>
      <c r="S158">
        <v>264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 t="s">
        <v>31</v>
      </c>
    </row>
    <row r="159" spans="1:25" hidden="1">
      <c r="A159" t="s">
        <v>25</v>
      </c>
      <c r="B159" t="s">
        <v>26</v>
      </c>
      <c r="C159" t="s">
        <v>27</v>
      </c>
      <c r="D159" s="1">
        <v>41398</v>
      </c>
      <c r="E159" s="2">
        <v>0.72916666666666663</v>
      </c>
      <c r="F159" t="s">
        <v>33</v>
      </c>
      <c r="G159" t="s">
        <v>36</v>
      </c>
      <c r="H159">
        <v>2</v>
      </c>
      <c r="I159">
        <v>2</v>
      </c>
      <c r="J159" t="s">
        <v>41</v>
      </c>
      <c r="K159">
        <v>231</v>
      </c>
      <c r="L159">
        <v>339</v>
      </c>
      <c r="M159">
        <v>335</v>
      </c>
      <c r="N159">
        <v>236</v>
      </c>
      <c r="O159">
        <v>339</v>
      </c>
      <c r="P159">
        <v>36</v>
      </c>
      <c r="Q159">
        <v>223</v>
      </c>
      <c r="R159">
        <v>321</v>
      </c>
      <c r="S159">
        <v>319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</row>
    <row r="160" spans="1:25" hidden="1">
      <c r="A160" t="s">
        <v>25</v>
      </c>
      <c r="B160" t="s">
        <v>26</v>
      </c>
      <c r="C160" t="s">
        <v>27</v>
      </c>
      <c r="D160" s="1">
        <v>41398</v>
      </c>
      <c r="E160" s="2">
        <v>0.72916666666666663</v>
      </c>
      <c r="F160" t="s">
        <v>29</v>
      </c>
      <c r="G160" t="s">
        <v>37</v>
      </c>
      <c r="H160">
        <v>2</v>
      </c>
      <c r="I160">
        <v>1</v>
      </c>
      <c r="J160" t="s">
        <v>34</v>
      </c>
      <c r="K160">
        <v>121</v>
      </c>
      <c r="L160">
        <v>734</v>
      </c>
      <c r="M160">
        <v>1559</v>
      </c>
      <c r="N160">
        <v>125</v>
      </c>
      <c r="O160">
        <v>77</v>
      </c>
      <c r="P160">
        <v>16</v>
      </c>
      <c r="Q160">
        <v>12</v>
      </c>
      <c r="R160">
        <v>635</v>
      </c>
      <c r="S160">
        <v>1213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  <c r="Y160" t="s">
        <v>31</v>
      </c>
    </row>
    <row r="161" spans="1:25" hidden="1">
      <c r="A161" t="s">
        <v>25</v>
      </c>
      <c r="B161" t="s">
        <v>26</v>
      </c>
      <c r="C161" t="s">
        <v>27</v>
      </c>
      <c r="D161" s="1">
        <v>41399</v>
      </c>
      <c r="E161" s="2">
        <v>0.625</v>
      </c>
      <c r="F161" t="s">
        <v>28</v>
      </c>
      <c r="G161" t="s">
        <v>35</v>
      </c>
      <c r="H161">
        <v>1</v>
      </c>
      <c r="I161">
        <v>3</v>
      </c>
      <c r="J161" t="s">
        <v>30</v>
      </c>
      <c r="K161">
        <v>277</v>
      </c>
      <c r="L161">
        <v>34</v>
      </c>
      <c r="M161">
        <v>271</v>
      </c>
      <c r="N161">
        <v>277</v>
      </c>
      <c r="O161">
        <v>34</v>
      </c>
      <c r="P161">
        <v>29</v>
      </c>
      <c r="Q161">
        <v>257</v>
      </c>
      <c r="R161">
        <v>322</v>
      </c>
      <c r="S161">
        <v>266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</row>
    <row r="162" spans="1:25" hidden="1">
      <c r="A162" t="s">
        <v>25</v>
      </c>
      <c r="B162" t="s">
        <v>26</v>
      </c>
      <c r="C162" t="s">
        <v>27</v>
      </c>
      <c r="D162" s="1">
        <v>41405</v>
      </c>
      <c r="E162" s="2">
        <v>0.625</v>
      </c>
      <c r="F162" t="s">
        <v>37</v>
      </c>
      <c r="G162" t="s">
        <v>28</v>
      </c>
      <c r="H162">
        <v>3</v>
      </c>
      <c r="I162">
        <v>0</v>
      </c>
      <c r="J162" t="s">
        <v>34</v>
      </c>
      <c r="K162">
        <v>236</v>
      </c>
      <c r="L162">
        <v>355</v>
      </c>
      <c r="M162">
        <v>316</v>
      </c>
      <c r="N162">
        <v>254</v>
      </c>
      <c r="O162">
        <v>36</v>
      </c>
      <c r="P162">
        <v>316</v>
      </c>
      <c r="Q162">
        <v>235</v>
      </c>
      <c r="R162">
        <v>334</v>
      </c>
      <c r="S162">
        <v>288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</row>
    <row r="163" spans="1:25" hidden="1">
      <c r="A163" t="s">
        <v>25</v>
      </c>
      <c r="B163" t="s">
        <v>26</v>
      </c>
      <c r="C163" t="s">
        <v>27</v>
      </c>
      <c r="D163" s="1">
        <v>41405</v>
      </c>
      <c r="E163" s="2">
        <v>0.72916666666666663</v>
      </c>
      <c r="F163" t="s">
        <v>35</v>
      </c>
      <c r="G163" t="s">
        <v>39</v>
      </c>
      <c r="H163">
        <v>0</v>
      </c>
      <c r="I163">
        <v>0</v>
      </c>
      <c r="J163" t="s">
        <v>41</v>
      </c>
      <c r="K163">
        <v>17</v>
      </c>
      <c r="L163">
        <v>404</v>
      </c>
      <c r="M163">
        <v>523</v>
      </c>
      <c r="N163">
        <v>173</v>
      </c>
      <c r="O163">
        <v>43</v>
      </c>
      <c r="P163">
        <v>53</v>
      </c>
      <c r="Q163">
        <v>168</v>
      </c>
      <c r="R163">
        <v>376</v>
      </c>
      <c r="S163">
        <v>462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</row>
    <row r="164" spans="1:25" hidden="1">
      <c r="A164" t="s">
        <v>25</v>
      </c>
      <c r="B164" t="s">
        <v>26</v>
      </c>
      <c r="C164" t="s">
        <v>27</v>
      </c>
      <c r="D164" s="1">
        <v>41405</v>
      </c>
      <c r="E164" s="2">
        <v>0.72916666666666663</v>
      </c>
      <c r="F164" t="s">
        <v>38</v>
      </c>
      <c r="G164" t="s">
        <v>32</v>
      </c>
      <c r="H164">
        <v>1</v>
      </c>
      <c r="I164">
        <v>1</v>
      </c>
      <c r="J164" t="s">
        <v>41</v>
      </c>
      <c r="K164">
        <v>157</v>
      </c>
      <c r="L164">
        <v>442</v>
      </c>
      <c r="M164">
        <v>62</v>
      </c>
      <c r="N164">
        <v>17</v>
      </c>
      <c r="O164">
        <v>442</v>
      </c>
      <c r="P164">
        <v>62</v>
      </c>
      <c r="Q164">
        <v>161</v>
      </c>
      <c r="R164">
        <v>386</v>
      </c>
      <c r="S164">
        <v>527</v>
      </c>
      <c r="T164" t="s">
        <v>31</v>
      </c>
      <c r="U164" t="s">
        <v>31</v>
      </c>
      <c r="V164" t="s">
        <v>31</v>
      </c>
      <c r="W164" t="s">
        <v>31</v>
      </c>
      <c r="X164" t="s">
        <v>31</v>
      </c>
      <c r="Y164" t="s">
        <v>31</v>
      </c>
    </row>
    <row r="165" spans="1:25" hidden="1">
      <c r="A165" t="s">
        <v>25</v>
      </c>
      <c r="B165" t="s">
        <v>26</v>
      </c>
      <c r="C165" t="s">
        <v>27</v>
      </c>
      <c r="D165" s="1">
        <v>41405</v>
      </c>
      <c r="E165" s="2">
        <v>0.72916666666666663</v>
      </c>
      <c r="F165" t="s">
        <v>36</v>
      </c>
      <c r="G165" t="s">
        <v>40</v>
      </c>
      <c r="H165">
        <v>0</v>
      </c>
      <c r="I165">
        <v>3</v>
      </c>
      <c r="J165" t="s">
        <v>30</v>
      </c>
      <c r="K165">
        <v>55</v>
      </c>
      <c r="L165">
        <v>412</v>
      </c>
      <c r="M165">
        <v>166</v>
      </c>
      <c r="N165">
        <v>55</v>
      </c>
      <c r="O165">
        <v>425</v>
      </c>
      <c r="P165">
        <v>17</v>
      </c>
      <c r="Q165">
        <v>511</v>
      </c>
      <c r="R165">
        <v>379</v>
      </c>
      <c r="S165">
        <v>163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</row>
    <row r="166" spans="1:25" hidden="1">
      <c r="A166" t="s">
        <v>25</v>
      </c>
      <c r="B166" t="s">
        <v>26</v>
      </c>
      <c r="C166" t="s">
        <v>27</v>
      </c>
      <c r="D166" s="1">
        <v>41406</v>
      </c>
      <c r="E166" s="2">
        <v>0.625</v>
      </c>
      <c r="F166" t="s">
        <v>33</v>
      </c>
      <c r="G166" t="s">
        <v>29</v>
      </c>
      <c r="H166">
        <v>0</v>
      </c>
      <c r="I166">
        <v>6</v>
      </c>
      <c r="J166" t="s">
        <v>30</v>
      </c>
      <c r="K166">
        <v>597</v>
      </c>
      <c r="L166">
        <v>45</v>
      </c>
      <c r="M166">
        <v>157</v>
      </c>
      <c r="N166">
        <v>7</v>
      </c>
      <c r="O166">
        <v>459</v>
      </c>
      <c r="P166">
        <v>161</v>
      </c>
      <c r="Q166">
        <v>577</v>
      </c>
      <c r="R166">
        <v>404</v>
      </c>
      <c r="S166">
        <v>154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  <c r="Y166" t="s">
        <v>31</v>
      </c>
    </row>
    <row r="167" spans="1:25" hidden="1">
      <c r="A167" t="s">
        <v>25</v>
      </c>
      <c r="B167" t="s">
        <v>26</v>
      </c>
      <c r="C167" t="s">
        <v>27</v>
      </c>
      <c r="D167" s="1">
        <v>41412</v>
      </c>
      <c r="E167" s="2">
        <v>0.625</v>
      </c>
      <c r="F167" t="s">
        <v>39</v>
      </c>
      <c r="G167" t="s">
        <v>37</v>
      </c>
      <c r="H167">
        <v>0</v>
      </c>
      <c r="I167">
        <v>0</v>
      </c>
      <c r="J167" t="s">
        <v>41</v>
      </c>
      <c r="K167">
        <v>224</v>
      </c>
      <c r="L167">
        <v>352</v>
      </c>
      <c r="M167">
        <v>337</v>
      </c>
      <c r="N167">
        <v>225</v>
      </c>
      <c r="O167">
        <v>365</v>
      </c>
      <c r="P167">
        <v>36</v>
      </c>
      <c r="Q167">
        <v>213</v>
      </c>
      <c r="R167">
        <v>341</v>
      </c>
      <c r="S167">
        <v>321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</row>
    <row r="168" spans="1:25" hidden="1">
      <c r="A168" t="s">
        <v>25</v>
      </c>
      <c r="B168" t="s">
        <v>26</v>
      </c>
      <c r="C168" t="s">
        <v>27</v>
      </c>
      <c r="D168" s="1">
        <v>41412</v>
      </c>
      <c r="E168" s="2">
        <v>0.72916666666666663</v>
      </c>
      <c r="F168" t="s">
        <v>40</v>
      </c>
      <c r="G168" t="s">
        <v>33</v>
      </c>
      <c r="H168">
        <v>3</v>
      </c>
      <c r="I168">
        <v>1</v>
      </c>
      <c r="J168" t="s">
        <v>34</v>
      </c>
      <c r="K168">
        <v>13</v>
      </c>
      <c r="L168">
        <v>607</v>
      </c>
      <c r="M168">
        <v>1092</v>
      </c>
      <c r="N168">
        <v>13</v>
      </c>
      <c r="O168">
        <v>64</v>
      </c>
      <c r="P168">
        <v>14</v>
      </c>
      <c r="Q168">
        <v>125</v>
      </c>
      <c r="R168">
        <v>56</v>
      </c>
      <c r="S168">
        <v>1099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</row>
    <row r="169" spans="1:25" hidden="1">
      <c r="A169" t="s">
        <v>25</v>
      </c>
      <c r="B169" t="s">
        <v>26</v>
      </c>
      <c r="C169" t="s">
        <v>27</v>
      </c>
      <c r="D169" s="1">
        <v>41412</v>
      </c>
      <c r="E169" s="2">
        <v>0.72916666666666663</v>
      </c>
      <c r="F169" t="s">
        <v>32</v>
      </c>
      <c r="G169" t="s">
        <v>35</v>
      </c>
      <c r="H169">
        <v>2</v>
      </c>
      <c r="I169">
        <v>0</v>
      </c>
      <c r="J169" t="s">
        <v>34</v>
      </c>
      <c r="K169">
        <v>364</v>
      </c>
      <c r="L169">
        <v>357</v>
      </c>
      <c r="M169">
        <v>213</v>
      </c>
      <c r="N169">
        <v>365</v>
      </c>
      <c r="O169">
        <v>365</v>
      </c>
      <c r="P169">
        <v>22</v>
      </c>
      <c r="Q169">
        <v>337</v>
      </c>
      <c r="R169">
        <v>332</v>
      </c>
      <c r="S169">
        <v>21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</row>
    <row r="170" spans="1:25" hidden="1">
      <c r="A170" t="s">
        <v>25</v>
      </c>
      <c r="B170" t="s">
        <v>26</v>
      </c>
      <c r="C170" t="s">
        <v>27</v>
      </c>
      <c r="D170" s="1">
        <v>41412</v>
      </c>
      <c r="E170" s="2">
        <v>0.72916666666666663</v>
      </c>
      <c r="F170" t="s">
        <v>29</v>
      </c>
      <c r="G170" t="s">
        <v>36</v>
      </c>
      <c r="H170">
        <v>3</v>
      </c>
      <c r="I170">
        <v>1</v>
      </c>
      <c r="J170" t="s">
        <v>34</v>
      </c>
      <c r="K170">
        <v>119</v>
      </c>
      <c r="L170">
        <v>762</v>
      </c>
      <c r="M170">
        <v>1723</v>
      </c>
      <c r="N170">
        <v>12</v>
      </c>
      <c r="O170">
        <v>81</v>
      </c>
      <c r="P170">
        <v>18</v>
      </c>
      <c r="Q170">
        <v>119</v>
      </c>
      <c r="R170">
        <v>647</v>
      </c>
      <c r="S170">
        <v>1315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 t="s">
        <v>31</v>
      </c>
    </row>
    <row r="171" spans="1:25" hidden="1">
      <c r="A171" t="s">
        <v>25</v>
      </c>
      <c r="B171" t="s">
        <v>26</v>
      </c>
      <c r="C171" t="s">
        <v>27</v>
      </c>
      <c r="D171" s="1">
        <v>41413</v>
      </c>
      <c r="E171" s="2">
        <v>0.625</v>
      </c>
      <c r="F171" t="s">
        <v>28</v>
      </c>
      <c r="G171" t="s">
        <v>38</v>
      </c>
      <c r="H171">
        <v>3</v>
      </c>
      <c r="I171">
        <v>1</v>
      </c>
      <c r="J171" t="s">
        <v>34</v>
      </c>
      <c r="K171">
        <v>252</v>
      </c>
      <c r="L171">
        <v>355</v>
      </c>
      <c r="M171">
        <v>288</v>
      </c>
      <c r="N171">
        <v>252</v>
      </c>
      <c r="O171">
        <v>365</v>
      </c>
      <c r="P171">
        <v>3</v>
      </c>
      <c r="Q171">
        <v>236</v>
      </c>
      <c r="R171">
        <v>334</v>
      </c>
      <c r="S171">
        <v>285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</row>
    <row r="172" spans="1:25" hidden="1">
      <c r="A172" t="s">
        <v>25</v>
      </c>
      <c r="B172" t="s">
        <v>26</v>
      </c>
      <c r="C172" t="s">
        <v>27</v>
      </c>
      <c r="D172" s="1">
        <v>41416</v>
      </c>
      <c r="E172" s="2">
        <v>0.8125</v>
      </c>
      <c r="F172" t="s">
        <v>37</v>
      </c>
      <c r="G172" t="s">
        <v>35</v>
      </c>
      <c r="H172">
        <v>0</v>
      </c>
      <c r="I172">
        <v>2</v>
      </c>
      <c r="J172" t="s">
        <v>30</v>
      </c>
      <c r="K172">
        <v>308</v>
      </c>
      <c r="L172">
        <v>346</v>
      </c>
      <c r="M172">
        <v>243</v>
      </c>
      <c r="N172">
        <v>315</v>
      </c>
      <c r="O172">
        <v>357</v>
      </c>
      <c r="P172">
        <v>245</v>
      </c>
      <c r="Q172">
        <v>289</v>
      </c>
      <c r="R172">
        <v>334</v>
      </c>
      <c r="S172">
        <v>234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</row>
    <row r="173" spans="1:25" hidden="1">
      <c r="A173" t="s">
        <v>25</v>
      </c>
      <c r="B173" t="s">
        <v>26</v>
      </c>
      <c r="C173" t="s">
        <v>27</v>
      </c>
      <c r="D173" s="1">
        <v>41416</v>
      </c>
      <c r="E173" s="2">
        <v>0.8125</v>
      </c>
      <c r="F173" t="s">
        <v>40</v>
      </c>
      <c r="G173" t="s">
        <v>32</v>
      </c>
      <c r="H173">
        <v>4</v>
      </c>
      <c r="I173">
        <v>0</v>
      </c>
      <c r="J173" t="s">
        <v>34</v>
      </c>
      <c r="K173">
        <v>133</v>
      </c>
      <c r="L173">
        <v>492</v>
      </c>
      <c r="M173">
        <v>1316</v>
      </c>
      <c r="N173">
        <v>14</v>
      </c>
      <c r="O173">
        <v>54</v>
      </c>
      <c r="P173">
        <v>14</v>
      </c>
      <c r="Q173">
        <v>13</v>
      </c>
      <c r="R173">
        <v>479</v>
      </c>
      <c r="S173">
        <v>1073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</row>
    <row r="174" spans="1:25" hidden="1">
      <c r="A174" t="s">
        <v>25</v>
      </c>
      <c r="B174" t="s">
        <v>26</v>
      </c>
      <c r="C174" t="s">
        <v>27</v>
      </c>
      <c r="D174" s="1">
        <v>41416</v>
      </c>
      <c r="E174" s="2">
        <v>0.8125</v>
      </c>
      <c r="F174" t="s">
        <v>33</v>
      </c>
      <c r="G174" t="s">
        <v>39</v>
      </c>
      <c r="H174">
        <v>2</v>
      </c>
      <c r="I174">
        <v>0</v>
      </c>
      <c r="J174" t="s">
        <v>34</v>
      </c>
      <c r="K174">
        <v>258</v>
      </c>
      <c r="L174">
        <v>351</v>
      </c>
      <c r="M174">
        <v>281</v>
      </c>
      <c r="N174">
        <v>26</v>
      </c>
      <c r="O174">
        <v>37</v>
      </c>
      <c r="P174">
        <v>288</v>
      </c>
      <c r="Q174">
        <v>247</v>
      </c>
      <c r="R174">
        <v>331</v>
      </c>
      <c r="S174">
        <v>272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</row>
    <row r="175" spans="1:25" hidden="1">
      <c r="A175" t="s">
        <v>25</v>
      </c>
      <c r="B175" t="s">
        <v>26</v>
      </c>
      <c r="C175" t="s">
        <v>27</v>
      </c>
      <c r="D175" s="1">
        <v>41416</v>
      </c>
      <c r="E175" s="2">
        <v>0.8125</v>
      </c>
      <c r="F175" t="s">
        <v>38</v>
      </c>
      <c r="G175" t="s">
        <v>29</v>
      </c>
      <c r="H175">
        <v>2</v>
      </c>
      <c r="I175">
        <v>2</v>
      </c>
      <c r="J175" t="s">
        <v>41</v>
      </c>
      <c r="K175">
        <v>451</v>
      </c>
      <c r="L175">
        <v>397</v>
      </c>
      <c r="M175">
        <v>181</v>
      </c>
      <c r="N175">
        <v>5</v>
      </c>
      <c r="O175">
        <v>409</v>
      </c>
      <c r="P175">
        <v>181</v>
      </c>
      <c r="Q175">
        <v>427</v>
      </c>
      <c r="R175">
        <v>372</v>
      </c>
      <c r="S175">
        <v>176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</row>
    <row r="176" spans="1:25" hidden="1">
      <c r="A176" t="s">
        <v>25</v>
      </c>
      <c r="B176" t="s">
        <v>26</v>
      </c>
      <c r="C176" t="s">
        <v>27</v>
      </c>
      <c r="D176" s="1">
        <v>41416</v>
      </c>
      <c r="E176" s="2">
        <v>0.8125</v>
      </c>
      <c r="F176" t="s">
        <v>36</v>
      </c>
      <c r="G176" t="s">
        <v>28</v>
      </c>
      <c r="H176">
        <v>2</v>
      </c>
      <c r="I176">
        <v>1</v>
      </c>
      <c r="J176" t="s">
        <v>34</v>
      </c>
      <c r="K176">
        <v>236</v>
      </c>
      <c r="L176">
        <v>357</v>
      </c>
      <c r="M176">
        <v>311</v>
      </c>
      <c r="N176">
        <v>254</v>
      </c>
      <c r="O176">
        <v>37</v>
      </c>
      <c r="P176">
        <v>311</v>
      </c>
      <c r="Q176">
        <v>234</v>
      </c>
      <c r="R176">
        <v>339</v>
      </c>
      <c r="S176">
        <v>285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</row>
    <row r="177" spans="1:25" hidden="1">
      <c r="A177" t="s">
        <v>25</v>
      </c>
      <c r="B177" t="s">
        <v>26</v>
      </c>
      <c r="C177" t="s">
        <v>27</v>
      </c>
      <c r="D177" s="1">
        <v>41420</v>
      </c>
      <c r="E177" s="2">
        <v>0.625</v>
      </c>
      <c r="F177" t="s">
        <v>39</v>
      </c>
      <c r="G177" t="s">
        <v>36</v>
      </c>
      <c r="H177">
        <v>2</v>
      </c>
      <c r="I177">
        <v>3</v>
      </c>
      <c r="J177" t="s">
        <v>30</v>
      </c>
      <c r="K177">
        <v>237</v>
      </c>
      <c r="L177">
        <v>368</v>
      </c>
      <c r="M177">
        <v>298</v>
      </c>
      <c r="N177">
        <v>245</v>
      </c>
      <c r="O177">
        <v>375</v>
      </c>
      <c r="P177">
        <v>325</v>
      </c>
      <c r="Q177">
        <v>222</v>
      </c>
      <c r="R177">
        <v>352</v>
      </c>
      <c r="S177">
        <v>293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</row>
    <row r="178" spans="1:25" hidden="1">
      <c r="A178" t="s">
        <v>25</v>
      </c>
      <c r="B178" t="s">
        <v>26</v>
      </c>
      <c r="C178" t="s">
        <v>27</v>
      </c>
      <c r="D178" s="1">
        <v>41420</v>
      </c>
      <c r="E178" s="2">
        <v>0.625</v>
      </c>
      <c r="F178" t="s">
        <v>32</v>
      </c>
      <c r="G178" t="s">
        <v>37</v>
      </c>
      <c r="H178">
        <v>0</v>
      </c>
      <c r="I178">
        <v>1</v>
      </c>
      <c r="J178" t="s">
        <v>30</v>
      </c>
      <c r="K178">
        <v>266</v>
      </c>
      <c r="L178">
        <v>349</v>
      </c>
      <c r="M178">
        <v>271</v>
      </c>
      <c r="N178">
        <v>266</v>
      </c>
      <c r="O178">
        <v>35</v>
      </c>
      <c r="P178">
        <v>295</v>
      </c>
      <c r="Q178">
        <v>249</v>
      </c>
      <c r="R178">
        <v>323</v>
      </c>
      <c r="S178">
        <v>272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</row>
    <row r="179" spans="1:25" hidden="1">
      <c r="A179" t="s">
        <v>25</v>
      </c>
      <c r="B179" t="s">
        <v>26</v>
      </c>
      <c r="C179" t="s">
        <v>27</v>
      </c>
      <c r="D179" s="1">
        <v>41420</v>
      </c>
      <c r="E179" s="2">
        <v>0.625</v>
      </c>
      <c r="F179" t="s">
        <v>35</v>
      </c>
      <c r="G179" t="s">
        <v>38</v>
      </c>
      <c r="H179">
        <v>3</v>
      </c>
      <c r="I179">
        <v>0</v>
      </c>
      <c r="J179" t="s">
        <v>34</v>
      </c>
      <c r="K179">
        <v>211</v>
      </c>
      <c r="L179">
        <v>37</v>
      </c>
      <c r="M179">
        <v>348</v>
      </c>
      <c r="N179">
        <v>211</v>
      </c>
      <c r="O179">
        <v>4</v>
      </c>
      <c r="P179">
        <v>348</v>
      </c>
      <c r="Q179">
        <v>205</v>
      </c>
      <c r="R179">
        <v>361</v>
      </c>
      <c r="S179">
        <v>323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</row>
    <row r="180" spans="1:25" hidden="1">
      <c r="A180" t="s">
        <v>25</v>
      </c>
      <c r="B180" t="s">
        <v>26</v>
      </c>
      <c r="C180" t="s">
        <v>27</v>
      </c>
      <c r="D180" s="1">
        <v>41420</v>
      </c>
      <c r="E180" s="2">
        <v>0.625</v>
      </c>
      <c r="F180" t="s">
        <v>29</v>
      </c>
      <c r="G180" t="s">
        <v>40</v>
      </c>
      <c r="H180">
        <v>3</v>
      </c>
      <c r="I180">
        <v>0</v>
      </c>
      <c r="J180" t="s">
        <v>34</v>
      </c>
      <c r="K180">
        <v>168</v>
      </c>
      <c r="L180">
        <v>422</v>
      </c>
      <c r="M180">
        <v>505</v>
      </c>
      <c r="N180">
        <v>185</v>
      </c>
      <c r="O180">
        <v>422</v>
      </c>
      <c r="P180">
        <v>519</v>
      </c>
      <c r="Q180">
        <v>171</v>
      </c>
      <c r="R180">
        <v>382</v>
      </c>
      <c r="S180">
        <v>438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</row>
    <row r="181" spans="1:25" hidden="1">
      <c r="A181" t="s">
        <v>25</v>
      </c>
      <c r="B181" t="s">
        <v>26</v>
      </c>
      <c r="C181" t="s">
        <v>27</v>
      </c>
      <c r="D181" s="1">
        <v>41420</v>
      </c>
      <c r="E181" s="2">
        <v>0.625</v>
      </c>
      <c r="F181" t="s">
        <v>28</v>
      </c>
      <c r="G181" t="s">
        <v>33</v>
      </c>
      <c r="H181">
        <v>0</v>
      </c>
      <c r="I181">
        <v>3</v>
      </c>
      <c r="J181" t="s">
        <v>30</v>
      </c>
      <c r="K181">
        <v>214</v>
      </c>
      <c r="L181">
        <v>365</v>
      </c>
      <c r="M181">
        <v>347</v>
      </c>
      <c r="N181">
        <v>214</v>
      </c>
      <c r="O181">
        <v>39</v>
      </c>
      <c r="P181">
        <v>37</v>
      </c>
      <c r="Q181">
        <v>199</v>
      </c>
      <c r="R181">
        <v>356</v>
      </c>
      <c r="S181">
        <v>343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</row>
    <row r="182" spans="1:25" hidden="1">
      <c r="A182" t="s">
        <v>25</v>
      </c>
      <c r="B182" t="s">
        <v>26</v>
      </c>
      <c r="C182" t="s">
        <v>42</v>
      </c>
      <c r="D182" s="1">
        <v>41475</v>
      </c>
      <c r="E182" s="2">
        <v>0.64583333333333337</v>
      </c>
      <c r="F182" t="s">
        <v>40</v>
      </c>
      <c r="G182" t="s">
        <v>37</v>
      </c>
      <c r="H182">
        <v>2</v>
      </c>
      <c r="I182">
        <v>0</v>
      </c>
      <c r="J182" t="s">
        <v>34</v>
      </c>
      <c r="K182">
        <v>142</v>
      </c>
      <c r="L182">
        <v>509</v>
      </c>
      <c r="M182">
        <v>79</v>
      </c>
      <c r="N182">
        <v>142</v>
      </c>
      <c r="O182">
        <v>56</v>
      </c>
      <c r="P182">
        <v>94</v>
      </c>
      <c r="Q182">
        <v>136</v>
      </c>
      <c r="R182">
        <v>484</v>
      </c>
      <c r="S182">
        <v>773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</row>
    <row r="183" spans="1:25" hidden="1">
      <c r="A183" t="s">
        <v>25</v>
      </c>
      <c r="B183" t="s">
        <v>26</v>
      </c>
      <c r="C183" t="s">
        <v>42</v>
      </c>
      <c r="D183" s="1">
        <v>41475</v>
      </c>
      <c r="E183" s="2">
        <v>0.75</v>
      </c>
      <c r="F183" t="s">
        <v>39</v>
      </c>
      <c r="G183" t="s">
        <v>35</v>
      </c>
      <c r="H183">
        <v>2</v>
      </c>
      <c r="I183">
        <v>2</v>
      </c>
      <c r="J183" t="s">
        <v>41</v>
      </c>
      <c r="K183">
        <v>383</v>
      </c>
      <c r="L183">
        <v>331</v>
      </c>
      <c r="M183">
        <v>216</v>
      </c>
      <c r="N183">
        <v>383</v>
      </c>
      <c r="O183">
        <v>347</v>
      </c>
      <c r="P183">
        <v>25</v>
      </c>
      <c r="Q183">
        <v>312</v>
      </c>
      <c r="R183">
        <v>325</v>
      </c>
      <c r="S183">
        <v>225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</row>
    <row r="184" spans="1:25" hidden="1">
      <c r="A184" t="s">
        <v>25</v>
      </c>
      <c r="B184" t="s">
        <v>26</v>
      </c>
      <c r="C184" t="s">
        <v>42</v>
      </c>
      <c r="D184" s="1">
        <v>41475</v>
      </c>
      <c r="E184" s="2">
        <v>0.75</v>
      </c>
      <c r="F184" t="s">
        <v>43</v>
      </c>
      <c r="G184" t="s">
        <v>38</v>
      </c>
      <c r="H184">
        <v>0</v>
      </c>
      <c r="I184">
        <v>0</v>
      </c>
      <c r="J184" t="s">
        <v>41</v>
      </c>
      <c r="K184">
        <v>269</v>
      </c>
      <c r="L184">
        <v>325</v>
      </c>
      <c r="M184">
        <v>289</v>
      </c>
      <c r="N184">
        <v>269</v>
      </c>
      <c r="O184">
        <v>345</v>
      </c>
      <c r="P184">
        <v>29</v>
      </c>
      <c r="Q184">
        <v>255</v>
      </c>
      <c r="R184">
        <v>323</v>
      </c>
      <c r="S184">
        <v>27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</row>
    <row r="185" spans="1:25" hidden="1">
      <c r="A185" t="s">
        <v>25</v>
      </c>
      <c r="B185" t="s">
        <v>26</v>
      </c>
      <c r="C185" t="s">
        <v>42</v>
      </c>
      <c r="D185" s="1">
        <v>41475</v>
      </c>
      <c r="E185" s="2">
        <v>0.75</v>
      </c>
      <c r="F185" t="s">
        <v>33</v>
      </c>
      <c r="G185" t="s">
        <v>29</v>
      </c>
      <c r="H185">
        <v>1</v>
      </c>
      <c r="I185">
        <v>5</v>
      </c>
      <c r="J185" t="s">
        <v>30</v>
      </c>
      <c r="K185">
        <v>807</v>
      </c>
      <c r="L185">
        <v>505</v>
      </c>
      <c r="M185">
        <v>142</v>
      </c>
      <c r="N185">
        <v>807</v>
      </c>
      <c r="O185">
        <v>505</v>
      </c>
      <c r="P185">
        <v>15</v>
      </c>
      <c r="Q185">
        <v>719</v>
      </c>
      <c r="R185">
        <v>447</v>
      </c>
      <c r="S185">
        <v>141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</row>
    <row r="186" spans="1:25" hidden="1">
      <c r="A186" t="s">
        <v>25</v>
      </c>
      <c r="B186" t="s">
        <v>26</v>
      </c>
      <c r="C186" t="s">
        <v>42</v>
      </c>
      <c r="D186" s="1">
        <v>41476</v>
      </c>
      <c r="E186" s="2">
        <v>0.64583333333333337</v>
      </c>
      <c r="F186" t="s">
        <v>36</v>
      </c>
      <c r="G186" t="s">
        <v>28</v>
      </c>
      <c r="H186">
        <v>2</v>
      </c>
      <c r="I186">
        <v>2</v>
      </c>
      <c r="J186" t="s">
        <v>41</v>
      </c>
      <c r="K186">
        <v>215</v>
      </c>
      <c r="L186">
        <v>352</v>
      </c>
      <c r="M186">
        <v>363</v>
      </c>
      <c r="N186">
        <v>25</v>
      </c>
      <c r="O186">
        <v>352</v>
      </c>
      <c r="P186">
        <v>38</v>
      </c>
      <c r="Q186">
        <v>217</v>
      </c>
      <c r="R186">
        <v>328</v>
      </c>
      <c r="S186">
        <v>326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</row>
    <row r="187" spans="1:25" hidden="1">
      <c r="A187" t="s">
        <v>25</v>
      </c>
      <c r="B187" t="s">
        <v>26</v>
      </c>
      <c r="C187" t="s">
        <v>42</v>
      </c>
      <c r="D187" s="1">
        <v>41482</v>
      </c>
      <c r="E187" s="2">
        <v>0.64583333333333337</v>
      </c>
      <c r="F187" t="s">
        <v>35</v>
      </c>
      <c r="G187" t="s">
        <v>33</v>
      </c>
      <c r="H187">
        <v>4</v>
      </c>
      <c r="I187">
        <v>0</v>
      </c>
      <c r="J187" t="s">
        <v>34</v>
      </c>
      <c r="K187">
        <v>143</v>
      </c>
      <c r="L187">
        <v>484</v>
      </c>
      <c r="M187">
        <v>855</v>
      </c>
      <c r="N187">
        <v>144</v>
      </c>
      <c r="O187">
        <v>56</v>
      </c>
      <c r="P187">
        <v>94</v>
      </c>
      <c r="Q187">
        <v>138</v>
      </c>
      <c r="R187">
        <v>465</v>
      </c>
      <c r="S187">
        <v>766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</row>
    <row r="188" spans="1:25" hidden="1">
      <c r="A188" t="s">
        <v>25</v>
      </c>
      <c r="B188" t="s">
        <v>26</v>
      </c>
      <c r="C188" t="s">
        <v>42</v>
      </c>
      <c r="D188" s="1">
        <v>41482</v>
      </c>
      <c r="E188" s="2">
        <v>0.75</v>
      </c>
      <c r="F188" t="s">
        <v>37</v>
      </c>
      <c r="G188" t="s">
        <v>36</v>
      </c>
      <c r="H188">
        <v>1</v>
      </c>
      <c r="I188">
        <v>2</v>
      </c>
      <c r="J188" t="s">
        <v>30</v>
      </c>
      <c r="K188">
        <v>2</v>
      </c>
      <c r="L188">
        <v>369</v>
      </c>
      <c r="M188">
        <v>389</v>
      </c>
      <c r="N188">
        <v>204</v>
      </c>
      <c r="O188">
        <v>37</v>
      </c>
      <c r="P188">
        <v>445</v>
      </c>
      <c r="Q188">
        <v>195</v>
      </c>
      <c r="R188">
        <v>344</v>
      </c>
      <c r="S188">
        <v>373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</row>
    <row r="189" spans="1:25" hidden="1">
      <c r="A189" t="s">
        <v>25</v>
      </c>
      <c r="B189" t="s">
        <v>26</v>
      </c>
      <c r="C189" t="s">
        <v>42</v>
      </c>
      <c r="D189" s="1">
        <v>41482</v>
      </c>
      <c r="E189" s="2">
        <v>0.75</v>
      </c>
      <c r="F189" t="s">
        <v>38</v>
      </c>
      <c r="G189" t="s">
        <v>39</v>
      </c>
      <c r="H189">
        <v>1</v>
      </c>
      <c r="I189">
        <v>0</v>
      </c>
      <c r="J189" t="s">
        <v>34</v>
      </c>
      <c r="K189">
        <v>171</v>
      </c>
      <c r="L189">
        <v>413</v>
      </c>
      <c r="M189">
        <v>497</v>
      </c>
      <c r="N189">
        <v>18</v>
      </c>
      <c r="O189">
        <v>413</v>
      </c>
      <c r="P189">
        <v>497</v>
      </c>
      <c r="Q189">
        <v>171</v>
      </c>
      <c r="R189">
        <v>382</v>
      </c>
      <c r="S189">
        <v>444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</row>
    <row r="190" spans="1:25" hidden="1">
      <c r="A190" t="s">
        <v>25</v>
      </c>
      <c r="B190" t="s">
        <v>26</v>
      </c>
      <c r="C190" t="s">
        <v>42</v>
      </c>
      <c r="D190" s="1">
        <v>41482</v>
      </c>
      <c r="E190" s="2">
        <v>0.75</v>
      </c>
      <c r="F190" t="s">
        <v>29</v>
      </c>
      <c r="G190" t="s">
        <v>40</v>
      </c>
      <c r="H190">
        <v>5</v>
      </c>
      <c r="I190">
        <v>1</v>
      </c>
      <c r="J190" t="s">
        <v>34</v>
      </c>
      <c r="K190">
        <v>165</v>
      </c>
      <c r="L190">
        <v>394</v>
      </c>
      <c r="M190">
        <v>597</v>
      </c>
      <c r="N190">
        <v>18</v>
      </c>
      <c r="O190">
        <v>395</v>
      </c>
      <c r="P190">
        <v>597</v>
      </c>
      <c r="Q190">
        <v>166</v>
      </c>
      <c r="R190">
        <v>372</v>
      </c>
      <c r="S190">
        <v>495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</row>
    <row r="191" spans="1:25" hidden="1">
      <c r="A191" t="s">
        <v>25</v>
      </c>
      <c r="B191" t="s">
        <v>26</v>
      </c>
      <c r="C191" t="s">
        <v>42</v>
      </c>
      <c r="D191" s="1">
        <v>41483</v>
      </c>
      <c r="E191" s="2">
        <v>0.64583333333333337</v>
      </c>
      <c r="F191" t="s">
        <v>28</v>
      </c>
      <c r="G191" t="s">
        <v>43</v>
      </c>
      <c r="H191">
        <v>0</v>
      </c>
      <c r="I191">
        <v>2</v>
      </c>
      <c r="J191" t="s">
        <v>30</v>
      </c>
      <c r="K191">
        <v>196</v>
      </c>
      <c r="L191">
        <v>367</v>
      </c>
      <c r="M191">
        <v>417</v>
      </c>
      <c r="N191">
        <v>211</v>
      </c>
      <c r="O191">
        <v>385</v>
      </c>
      <c r="P191">
        <v>47</v>
      </c>
      <c r="Q191">
        <v>192</v>
      </c>
      <c r="R191">
        <v>339</v>
      </c>
      <c r="S191">
        <v>393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</row>
    <row r="192" spans="1:25" hidden="1">
      <c r="A192" t="s">
        <v>25</v>
      </c>
      <c r="B192" t="s">
        <v>26</v>
      </c>
      <c r="C192" t="s">
        <v>42</v>
      </c>
      <c r="D192" s="1">
        <v>41489</v>
      </c>
      <c r="E192" s="2">
        <v>0.64583333333333337</v>
      </c>
      <c r="F192" t="s">
        <v>33</v>
      </c>
      <c r="G192" t="s">
        <v>39</v>
      </c>
      <c r="H192">
        <v>2</v>
      </c>
      <c r="I192">
        <v>1</v>
      </c>
      <c r="J192" t="s">
        <v>34</v>
      </c>
      <c r="K192">
        <v>294</v>
      </c>
      <c r="L192">
        <v>332</v>
      </c>
      <c r="M192">
        <v>26</v>
      </c>
      <c r="N192">
        <v>325</v>
      </c>
      <c r="O192">
        <v>332</v>
      </c>
      <c r="P192">
        <v>28</v>
      </c>
      <c r="Q192">
        <v>277</v>
      </c>
      <c r="R192">
        <v>318</v>
      </c>
      <c r="S192">
        <v>248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</row>
    <row r="193" spans="1:25" hidden="1">
      <c r="A193" t="s">
        <v>25</v>
      </c>
      <c r="B193" t="s">
        <v>26</v>
      </c>
      <c r="C193" t="s">
        <v>42</v>
      </c>
      <c r="D193" s="1">
        <v>41489</v>
      </c>
      <c r="E193" s="2">
        <v>0.75</v>
      </c>
      <c r="F193" t="s">
        <v>40</v>
      </c>
      <c r="G193" t="s">
        <v>38</v>
      </c>
      <c r="H193">
        <v>3</v>
      </c>
      <c r="I193">
        <v>3</v>
      </c>
      <c r="J193" t="s">
        <v>41</v>
      </c>
      <c r="K193">
        <v>158</v>
      </c>
      <c r="L193">
        <v>432</v>
      </c>
      <c r="M193">
        <v>616</v>
      </c>
      <c r="N193">
        <v>158</v>
      </c>
      <c r="O193">
        <v>475</v>
      </c>
      <c r="P193">
        <v>616</v>
      </c>
      <c r="Q193">
        <v>154</v>
      </c>
      <c r="R193">
        <v>403</v>
      </c>
      <c r="S193">
        <v>573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</row>
    <row r="194" spans="1:25" hidden="1">
      <c r="A194" t="s">
        <v>25</v>
      </c>
      <c r="B194" t="s">
        <v>26</v>
      </c>
      <c r="C194" t="s">
        <v>42</v>
      </c>
      <c r="D194" s="1">
        <v>41489</v>
      </c>
      <c r="E194" s="2">
        <v>0.75</v>
      </c>
      <c r="F194" t="s">
        <v>43</v>
      </c>
      <c r="G194" t="s">
        <v>37</v>
      </c>
      <c r="H194">
        <v>7</v>
      </c>
      <c r="I194">
        <v>1</v>
      </c>
      <c r="J194" t="s">
        <v>34</v>
      </c>
      <c r="K194">
        <v>212</v>
      </c>
      <c r="L194">
        <v>359</v>
      </c>
      <c r="M194">
        <v>362</v>
      </c>
      <c r="N194">
        <v>215</v>
      </c>
      <c r="O194">
        <v>375</v>
      </c>
      <c r="P194">
        <v>38</v>
      </c>
      <c r="Q194">
        <v>207</v>
      </c>
      <c r="R194">
        <v>335</v>
      </c>
      <c r="S194">
        <v>342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31</v>
      </c>
    </row>
    <row r="195" spans="1:25" hidden="1">
      <c r="A195" t="s">
        <v>25</v>
      </c>
      <c r="B195" t="s">
        <v>26</v>
      </c>
      <c r="C195" t="s">
        <v>42</v>
      </c>
      <c r="D195" s="1">
        <v>41489</v>
      </c>
      <c r="E195" s="2">
        <v>0.75</v>
      </c>
      <c r="F195" t="s">
        <v>36</v>
      </c>
      <c r="G195" t="s">
        <v>29</v>
      </c>
      <c r="H195">
        <v>1</v>
      </c>
      <c r="I195">
        <v>1</v>
      </c>
      <c r="J195" t="s">
        <v>41</v>
      </c>
      <c r="K195">
        <v>656</v>
      </c>
      <c r="L195">
        <v>473</v>
      </c>
      <c r="M195">
        <v>151</v>
      </c>
      <c r="N195">
        <v>7</v>
      </c>
      <c r="O195">
        <v>48</v>
      </c>
      <c r="P195">
        <v>152</v>
      </c>
      <c r="Q195">
        <v>637</v>
      </c>
      <c r="R195">
        <v>438</v>
      </c>
      <c r="S195">
        <v>146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</row>
    <row r="196" spans="1:25" hidden="1">
      <c r="A196" t="s">
        <v>25</v>
      </c>
      <c r="B196" t="s">
        <v>26</v>
      </c>
      <c r="C196" t="s">
        <v>42</v>
      </c>
      <c r="D196" s="1">
        <v>41490</v>
      </c>
      <c r="E196" s="2">
        <v>0.64583333333333337</v>
      </c>
      <c r="F196" t="s">
        <v>28</v>
      </c>
      <c r="G196" t="s">
        <v>35</v>
      </c>
      <c r="H196">
        <v>2</v>
      </c>
      <c r="I196">
        <v>4</v>
      </c>
      <c r="J196" t="s">
        <v>30</v>
      </c>
      <c r="K196">
        <v>365</v>
      </c>
      <c r="L196">
        <v>35</v>
      </c>
      <c r="M196">
        <v>215</v>
      </c>
      <c r="N196">
        <v>38</v>
      </c>
      <c r="O196">
        <v>35</v>
      </c>
      <c r="P196">
        <v>225</v>
      </c>
      <c r="Q196">
        <v>34</v>
      </c>
      <c r="R196">
        <v>332</v>
      </c>
      <c r="S196">
        <v>209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</row>
    <row r="197" spans="1:25" hidden="1">
      <c r="A197" t="s">
        <v>25</v>
      </c>
      <c r="B197" t="s">
        <v>26</v>
      </c>
      <c r="C197" t="s">
        <v>42</v>
      </c>
      <c r="D197" s="1">
        <v>41496</v>
      </c>
      <c r="E197" s="2">
        <v>0.64583333333333337</v>
      </c>
      <c r="F197" t="s">
        <v>39</v>
      </c>
      <c r="G197" t="s">
        <v>36</v>
      </c>
      <c r="H197">
        <v>1</v>
      </c>
      <c r="I197">
        <v>1</v>
      </c>
      <c r="J197" t="s">
        <v>41</v>
      </c>
      <c r="K197">
        <v>256</v>
      </c>
      <c r="L197">
        <v>335</v>
      </c>
      <c r="M197">
        <v>297</v>
      </c>
      <c r="N197">
        <v>256</v>
      </c>
      <c r="O197">
        <v>38</v>
      </c>
      <c r="P197">
        <v>33</v>
      </c>
      <c r="Q197">
        <v>232</v>
      </c>
      <c r="R197">
        <v>325</v>
      </c>
      <c r="S197">
        <v>297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</row>
    <row r="198" spans="1:25" hidden="1">
      <c r="A198" t="s">
        <v>25</v>
      </c>
      <c r="B198" t="s">
        <v>26</v>
      </c>
      <c r="C198" t="s">
        <v>42</v>
      </c>
      <c r="D198" s="1">
        <v>41496</v>
      </c>
      <c r="E198" s="2">
        <v>0.75</v>
      </c>
      <c r="F198" t="s">
        <v>37</v>
      </c>
      <c r="G198" t="s">
        <v>28</v>
      </c>
      <c r="H198">
        <v>1</v>
      </c>
      <c r="I198">
        <v>1</v>
      </c>
      <c r="J198" t="s">
        <v>41</v>
      </c>
      <c r="K198">
        <v>29</v>
      </c>
      <c r="L198">
        <v>357</v>
      </c>
      <c r="M198">
        <v>25</v>
      </c>
      <c r="N198">
        <v>3</v>
      </c>
      <c r="O198">
        <v>36</v>
      </c>
      <c r="P198">
        <v>276</v>
      </c>
      <c r="Q198">
        <v>275</v>
      </c>
      <c r="R198">
        <v>329</v>
      </c>
      <c r="S198">
        <v>247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31</v>
      </c>
    </row>
    <row r="199" spans="1:25" hidden="1">
      <c r="A199" t="s">
        <v>25</v>
      </c>
      <c r="B199" t="s">
        <v>26</v>
      </c>
      <c r="C199" t="s">
        <v>42</v>
      </c>
      <c r="D199" s="1">
        <v>41496</v>
      </c>
      <c r="E199" s="2">
        <v>0.75</v>
      </c>
      <c r="F199" t="s">
        <v>38</v>
      </c>
      <c r="G199" t="s">
        <v>33</v>
      </c>
      <c r="H199">
        <v>1</v>
      </c>
      <c r="I199">
        <v>1</v>
      </c>
      <c r="J199" t="s">
        <v>41</v>
      </c>
      <c r="K199">
        <v>153</v>
      </c>
      <c r="L199">
        <v>438</v>
      </c>
      <c r="M199">
        <v>705</v>
      </c>
      <c r="N199">
        <v>155</v>
      </c>
      <c r="O199">
        <v>445</v>
      </c>
      <c r="P199">
        <v>77</v>
      </c>
      <c r="Q199">
        <v>149</v>
      </c>
      <c r="R199">
        <v>406</v>
      </c>
      <c r="S199">
        <v>647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</row>
    <row r="200" spans="1:25" hidden="1">
      <c r="A200" t="s">
        <v>25</v>
      </c>
      <c r="B200" t="s">
        <v>26</v>
      </c>
      <c r="C200" t="s">
        <v>42</v>
      </c>
      <c r="D200" s="1">
        <v>41496</v>
      </c>
      <c r="E200" s="2">
        <v>0.75</v>
      </c>
      <c r="F200" t="s">
        <v>29</v>
      </c>
      <c r="G200" t="s">
        <v>43</v>
      </c>
      <c r="H200">
        <v>4</v>
      </c>
      <c r="I200">
        <v>1</v>
      </c>
      <c r="J200" t="s">
        <v>34</v>
      </c>
      <c r="K200">
        <v>132</v>
      </c>
      <c r="L200">
        <v>59</v>
      </c>
      <c r="M200">
        <v>101</v>
      </c>
      <c r="N200">
        <v>134</v>
      </c>
      <c r="O200">
        <v>64</v>
      </c>
      <c r="P200">
        <v>11</v>
      </c>
      <c r="Q200">
        <v>13</v>
      </c>
      <c r="R200">
        <v>528</v>
      </c>
      <c r="S200">
        <v>894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</row>
    <row r="201" spans="1:25" hidden="1">
      <c r="A201" t="s">
        <v>25</v>
      </c>
      <c r="B201" t="s">
        <v>26</v>
      </c>
      <c r="C201" t="s">
        <v>42</v>
      </c>
      <c r="D201" s="1">
        <v>41497</v>
      </c>
      <c r="E201" s="2">
        <v>0.64583333333333337</v>
      </c>
      <c r="F201" t="s">
        <v>35</v>
      </c>
      <c r="G201" t="s">
        <v>40</v>
      </c>
      <c r="H201">
        <v>0</v>
      </c>
      <c r="I201">
        <v>0</v>
      </c>
      <c r="J201" t="s">
        <v>41</v>
      </c>
      <c r="K201">
        <v>245</v>
      </c>
      <c r="L201">
        <v>332</v>
      </c>
      <c r="M201">
        <v>316</v>
      </c>
      <c r="N201">
        <v>245</v>
      </c>
      <c r="O201">
        <v>341</v>
      </c>
      <c r="P201">
        <v>32</v>
      </c>
      <c r="Q201">
        <v>234</v>
      </c>
      <c r="R201">
        <v>325</v>
      </c>
      <c r="S201">
        <v>293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</row>
    <row r="202" spans="1:25" hidden="1">
      <c r="A202" t="s">
        <v>25</v>
      </c>
      <c r="B202" t="s">
        <v>26</v>
      </c>
      <c r="C202" t="s">
        <v>42</v>
      </c>
      <c r="D202" s="1">
        <v>41503</v>
      </c>
      <c r="E202" s="2">
        <v>0.64583333333333337</v>
      </c>
      <c r="F202" t="s">
        <v>28</v>
      </c>
      <c r="G202" t="s">
        <v>29</v>
      </c>
      <c r="H202">
        <v>1</v>
      </c>
      <c r="I202">
        <v>1</v>
      </c>
      <c r="J202" t="s">
        <v>41</v>
      </c>
      <c r="K202">
        <v>593</v>
      </c>
      <c r="L202">
        <v>458</v>
      </c>
      <c r="M202">
        <v>157</v>
      </c>
      <c r="N202">
        <v>66</v>
      </c>
      <c r="O202">
        <v>458</v>
      </c>
      <c r="P202">
        <v>16</v>
      </c>
      <c r="Q202">
        <v>597</v>
      </c>
      <c r="R202">
        <v>422</v>
      </c>
      <c r="S202">
        <v>15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</row>
    <row r="203" spans="1:25" hidden="1">
      <c r="A203" t="s">
        <v>25</v>
      </c>
      <c r="B203" t="s">
        <v>26</v>
      </c>
      <c r="C203" t="s">
        <v>42</v>
      </c>
      <c r="D203" s="1">
        <v>41503</v>
      </c>
      <c r="E203" s="2">
        <v>0.75</v>
      </c>
      <c r="F203" t="s">
        <v>40</v>
      </c>
      <c r="G203" t="s">
        <v>33</v>
      </c>
      <c r="H203">
        <v>5</v>
      </c>
      <c r="I203">
        <v>0</v>
      </c>
      <c r="J203" t="s">
        <v>34</v>
      </c>
      <c r="K203">
        <v>14</v>
      </c>
      <c r="L203">
        <v>572</v>
      </c>
      <c r="M203">
        <v>745</v>
      </c>
      <c r="N203">
        <v>145</v>
      </c>
      <c r="O203">
        <v>572</v>
      </c>
      <c r="P203">
        <v>919</v>
      </c>
      <c r="Q203">
        <v>135</v>
      </c>
      <c r="R203">
        <v>491</v>
      </c>
      <c r="S203">
        <v>8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</row>
    <row r="204" spans="1:25" hidden="1">
      <c r="A204" t="s">
        <v>25</v>
      </c>
      <c r="B204" t="s">
        <v>26</v>
      </c>
      <c r="C204" t="s">
        <v>42</v>
      </c>
      <c r="D204" s="1">
        <v>41503</v>
      </c>
      <c r="E204" s="2">
        <v>0.75</v>
      </c>
      <c r="F204" t="s">
        <v>43</v>
      </c>
      <c r="G204" t="s">
        <v>39</v>
      </c>
      <c r="H204">
        <v>4</v>
      </c>
      <c r="I204">
        <v>3</v>
      </c>
      <c r="J204" t="s">
        <v>34</v>
      </c>
      <c r="K204">
        <v>179</v>
      </c>
      <c r="L204">
        <v>398</v>
      </c>
      <c r="M204">
        <v>463</v>
      </c>
      <c r="N204">
        <v>185</v>
      </c>
      <c r="O204">
        <v>398</v>
      </c>
      <c r="P204">
        <v>475</v>
      </c>
      <c r="Q204">
        <v>176</v>
      </c>
      <c r="R204">
        <v>367</v>
      </c>
      <c r="S204">
        <v>431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</row>
    <row r="205" spans="1:25" hidden="1">
      <c r="A205" t="s">
        <v>25</v>
      </c>
      <c r="B205" t="s">
        <v>26</v>
      </c>
      <c r="C205" t="s">
        <v>42</v>
      </c>
      <c r="D205" s="1">
        <v>41503</v>
      </c>
      <c r="E205" s="2">
        <v>0.75</v>
      </c>
      <c r="F205" t="s">
        <v>36</v>
      </c>
      <c r="G205" t="s">
        <v>38</v>
      </c>
      <c r="H205">
        <v>2</v>
      </c>
      <c r="I205">
        <v>3</v>
      </c>
      <c r="J205" t="s">
        <v>30</v>
      </c>
      <c r="K205">
        <v>25</v>
      </c>
      <c r="L205">
        <v>359</v>
      </c>
      <c r="M205">
        <v>288</v>
      </c>
      <c r="N205">
        <v>26</v>
      </c>
      <c r="O205">
        <v>359</v>
      </c>
      <c r="P205">
        <v>305</v>
      </c>
      <c r="Q205">
        <v>246</v>
      </c>
      <c r="R205">
        <v>329</v>
      </c>
      <c r="S205">
        <v>274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</row>
    <row r="206" spans="1:25" hidden="1">
      <c r="A206" t="s">
        <v>25</v>
      </c>
      <c r="B206" t="s">
        <v>26</v>
      </c>
      <c r="C206" t="s">
        <v>42</v>
      </c>
      <c r="D206" s="1">
        <v>41504</v>
      </c>
      <c r="E206" s="2">
        <v>0.64583333333333337</v>
      </c>
      <c r="F206" t="s">
        <v>37</v>
      </c>
      <c r="G206" t="s">
        <v>35</v>
      </c>
      <c r="H206">
        <v>2</v>
      </c>
      <c r="I206">
        <v>0</v>
      </c>
      <c r="J206" t="s">
        <v>34</v>
      </c>
      <c r="K206">
        <v>548</v>
      </c>
      <c r="L206">
        <v>399</v>
      </c>
      <c r="M206">
        <v>169</v>
      </c>
      <c r="N206">
        <v>548</v>
      </c>
      <c r="O206">
        <v>4</v>
      </c>
      <c r="P206">
        <v>175</v>
      </c>
      <c r="Q206">
        <v>486</v>
      </c>
      <c r="R206">
        <v>369</v>
      </c>
      <c r="S206">
        <v>168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</row>
    <row r="207" spans="1:25" hidden="1">
      <c r="A207" t="s">
        <v>25</v>
      </c>
      <c r="B207" t="s">
        <v>26</v>
      </c>
      <c r="C207" t="s">
        <v>42</v>
      </c>
      <c r="D207" s="1">
        <v>41510</v>
      </c>
      <c r="E207" s="2">
        <v>0.64583333333333337</v>
      </c>
      <c r="F207" t="s">
        <v>38</v>
      </c>
      <c r="G207" t="s">
        <v>28</v>
      </c>
      <c r="H207">
        <v>3</v>
      </c>
      <c r="I207">
        <v>0</v>
      </c>
      <c r="J207" t="s">
        <v>34</v>
      </c>
      <c r="K207">
        <v>177</v>
      </c>
      <c r="L207">
        <v>397</v>
      </c>
      <c r="M207">
        <v>478</v>
      </c>
      <c r="N207">
        <v>19</v>
      </c>
      <c r="O207">
        <v>397</v>
      </c>
      <c r="P207">
        <v>495</v>
      </c>
      <c r="Q207">
        <v>175</v>
      </c>
      <c r="R207">
        <v>36</v>
      </c>
      <c r="S207">
        <v>449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</row>
    <row r="208" spans="1:25" hidden="1">
      <c r="A208" t="s">
        <v>25</v>
      </c>
      <c r="B208" t="s">
        <v>26</v>
      </c>
      <c r="C208" t="s">
        <v>42</v>
      </c>
      <c r="D208" s="1">
        <v>41510</v>
      </c>
      <c r="E208" s="2">
        <v>0.75</v>
      </c>
      <c r="F208" t="s">
        <v>39</v>
      </c>
      <c r="G208" t="s">
        <v>40</v>
      </c>
      <c r="H208">
        <v>1</v>
      </c>
      <c r="I208">
        <v>4</v>
      </c>
      <c r="J208" t="s">
        <v>30</v>
      </c>
      <c r="K208">
        <v>43</v>
      </c>
      <c r="L208">
        <v>372</v>
      </c>
      <c r="M208">
        <v>191</v>
      </c>
      <c r="N208">
        <v>45</v>
      </c>
      <c r="O208">
        <v>375</v>
      </c>
      <c r="P208">
        <v>194</v>
      </c>
      <c r="Q208">
        <v>419</v>
      </c>
      <c r="R208">
        <v>348</v>
      </c>
      <c r="S208">
        <v>183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31</v>
      </c>
    </row>
    <row r="209" spans="1:25" hidden="1">
      <c r="A209" t="s">
        <v>25</v>
      </c>
      <c r="B209" t="s">
        <v>26</v>
      </c>
      <c r="C209" t="s">
        <v>42</v>
      </c>
      <c r="D209" s="1">
        <v>41510</v>
      </c>
      <c r="E209" s="2">
        <v>0.75</v>
      </c>
      <c r="F209" t="s">
        <v>33</v>
      </c>
      <c r="G209" t="s">
        <v>36</v>
      </c>
      <c r="H209">
        <v>1</v>
      </c>
      <c r="I209">
        <v>1</v>
      </c>
      <c r="J209" t="s">
        <v>41</v>
      </c>
      <c r="K209">
        <v>342</v>
      </c>
      <c r="L209">
        <v>343</v>
      </c>
      <c r="M209">
        <v>227</v>
      </c>
      <c r="N209">
        <v>342</v>
      </c>
      <c r="O209">
        <v>343</v>
      </c>
      <c r="P209">
        <v>24</v>
      </c>
      <c r="Q209">
        <v>312</v>
      </c>
      <c r="R209">
        <v>326</v>
      </c>
      <c r="S209">
        <v>224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</row>
    <row r="210" spans="1:25" hidden="1">
      <c r="A210" t="s">
        <v>25</v>
      </c>
      <c r="B210" t="s">
        <v>26</v>
      </c>
      <c r="C210" t="s">
        <v>42</v>
      </c>
      <c r="D210" s="1">
        <v>41511</v>
      </c>
      <c r="E210" s="2">
        <v>0.64583333333333337</v>
      </c>
      <c r="F210" t="s">
        <v>35</v>
      </c>
      <c r="G210" t="s">
        <v>43</v>
      </c>
      <c r="H210">
        <v>0</v>
      </c>
      <c r="I210">
        <v>1</v>
      </c>
      <c r="J210" t="s">
        <v>30</v>
      </c>
      <c r="K210">
        <v>171</v>
      </c>
      <c r="L210">
        <v>383</v>
      </c>
      <c r="M210">
        <v>549</v>
      </c>
      <c r="N210">
        <v>173</v>
      </c>
      <c r="O210">
        <v>405</v>
      </c>
      <c r="P210">
        <v>549</v>
      </c>
      <c r="Q210">
        <v>167</v>
      </c>
      <c r="R210">
        <v>371</v>
      </c>
      <c r="S210">
        <v>486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31</v>
      </c>
    </row>
    <row r="211" spans="1:25" hidden="1">
      <c r="A211" t="s">
        <v>25</v>
      </c>
      <c r="B211" t="s">
        <v>26</v>
      </c>
      <c r="C211" t="s">
        <v>42</v>
      </c>
      <c r="D211" s="1">
        <v>41511</v>
      </c>
      <c r="E211" s="2">
        <v>0.75</v>
      </c>
      <c r="F211" t="s">
        <v>29</v>
      </c>
      <c r="G211" t="s">
        <v>37</v>
      </c>
      <c r="H211">
        <v>1</v>
      </c>
      <c r="I211">
        <v>0</v>
      </c>
      <c r="J211" t="s">
        <v>34</v>
      </c>
      <c r="K211">
        <v>115</v>
      </c>
      <c r="L211">
        <v>932</v>
      </c>
      <c r="M211">
        <v>1841</v>
      </c>
      <c r="N211">
        <v>122</v>
      </c>
      <c r="O211">
        <v>932</v>
      </c>
      <c r="P211">
        <v>1841</v>
      </c>
      <c r="Q211">
        <v>117</v>
      </c>
      <c r="R211">
        <v>736</v>
      </c>
      <c r="S211">
        <v>1322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</row>
    <row r="212" spans="1:25" hidden="1">
      <c r="A212" t="s">
        <v>25</v>
      </c>
      <c r="B212" t="s">
        <v>26</v>
      </c>
      <c r="C212" t="s">
        <v>42</v>
      </c>
      <c r="D212" s="1">
        <v>41517</v>
      </c>
      <c r="E212" s="2">
        <v>0.64583333333333337</v>
      </c>
      <c r="F212" t="s">
        <v>28</v>
      </c>
      <c r="G212" t="s">
        <v>39</v>
      </c>
      <c r="H212">
        <v>4</v>
      </c>
      <c r="I212">
        <v>1</v>
      </c>
      <c r="J212" t="s">
        <v>34</v>
      </c>
      <c r="K212">
        <v>217</v>
      </c>
      <c r="L212">
        <v>362</v>
      </c>
      <c r="M212">
        <v>348</v>
      </c>
      <c r="N212">
        <v>218</v>
      </c>
      <c r="O212">
        <v>385</v>
      </c>
      <c r="P212">
        <v>377</v>
      </c>
      <c r="Q212">
        <v>201</v>
      </c>
      <c r="R212">
        <v>344</v>
      </c>
      <c r="S212">
        <v>351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</row>
    <row r="213" spans="1:25" hidden="1">
      <c r="A213" t="s">
        <v>25</v>
      </c>
      <c r="B213" t="s">
        <v>26</v>
      </c>
      <c r="C213" t="s">
        <v>42</v>
      </c>
      <c r="D213" s="1">
        <v>41517</v>
      </c>
      <c r="E213" s="2">
        <v>0.75</v>
      </c>
      <c r="F213" t="s">
        <v>37</v>
      </c>
      <c r="G213" t="s">
        <v>38</v>
      </c>
      <c r="H213">
        <v>1</v>
      </c>
      <c r="I213">
        <v>4</v>
      </c>
      <c r="J213" t="s">
        <v>30</v>
      </c>
      <c r="K213">
        <v>309</v>
      </c>
      <c r="L213">
        <v>362</v>
      </c>
      <c r="M213">
        <v>235</v>
      </c>
      <c r="N213">
        <v>312</v>
      </c>
      <c r="O213">
        <v>365</v>
      </c>
      <c r="P213">
        <v>256</v>
      </c>
      <c r="Q213">
        <v>292</v>
      </c>
      <c r="R213">
        <v>336</v>
      </c>
      <c r="S213">
        <v>231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</row>
    <row r="214" spans="1:25" hidden="1">
      <c r="A214" t="s">
        <v>25</v>
      </c>
      <c r="B214" t="s">
        <v>26</v>
      </c>
      <c r="C214" t="s">
        <v>42</v>
      </c>
      <c r="D214" s="1">
        <v>41517</v>
      </c>
      <c r="E214" s="2">
        <v>0.75</v>
      </c>
      <c r="F214" t="s">
        <v>40</v>
      </c>
      <c r="G214" t="s">
        <v>36</v>
      </c>
      <c r="H214">
        <v>1</v>
      </c>
      <c r="I214">
        <v>1</v>
      </c>
      <c r="J214" t="s">
        <v>41</v>
      </c>
      <c r="K214">
        <v>132</v>
      </c>
      <c r="L214">
        <v>611</v>
      </c>
      <c r="M214">
        <v>988</v>
      </c>
      <c r="N214">
        <v>144</v>
      </c>
      <c r="O214">
        <v>611</v>
      </c>
      <c r="P214">
        <v>11</v>
      </c>
      <c r="Q214">
        <v>133</v>
      </c>
      <c r="R214">
        <v>524</v>
      </c>
      <c r="S214">
        <v>808</v>
      </c>
      <c r="T214" t="s">
        <v>31</v>
      </c>
      <c r="U214" t="s">
        <v>31</v>
      </c>
      <c r="V214" t="s">
        <v>31</v>
      </c>
      <c r="W214" t="s">
        <v>31</v>
      </c>
      <c r="X214" t="s">
        <v>31</v>
      </c>
      <c r="Y214" t="s">
        <v>31</v>
      </c>
    </row>
    <row r="215" spans="1:25" hidden="1">
      <c r="A215" t="s">
        <v>25</v>
      </c>
      <c r="B215" t="s">
        <v>26</v>
      </c>
      <c r="C215" t="s">
        <v>42</v>
      </c>
      <c r="D215" s="1">
        <v>41517</v>
      </c>
      <c r="E215" s="2">
        <v>0.75</v>
      </c>
      <c r="F215" t="s">
        <v>43</v>
      </c>
      <c r="G215" t="s">
        <v>33</v>
      </c>
      <c r="H215">
        <v>3</v>
      </c>
      <c r="I215">
        <v>6</v>
      </c>
      <c r="J215" t="s">
        <v>30</v>
      </c>
      <c r="K215">
        <v>141</v>
      </c>
      <c r="L215">
        <v>483</v>
      </c>
      <c r="M215">
        <v>9</v>
      </c>
      <c r="N215">
        <v>16</v>
      </c>
      <c r="O215">
        <v>5</v>
      </c>
      <c r="P215">
        <v>95</v>
      </c>
      <c r="Q215">
        <v>14</v>
      </c>
      <c r="R215">
        <v>44</v>
      </c>
      <c r="S215">
        <v>773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</row>
    <row r="216" spans="1:25" hidden="1">
      <c r="A216" t="s">
        <v>25</v>
      </c>
      <c r="B216" t="s">
        <v>26</v>
      </c>
      <c r="C216" t="s">
        <v>42</v>
      </c>
      <c r="D216" s="1">
        <v>41518</v>
      </c>
      <c r="E216" s="2">
        <v>0.64583333333333337</v>
      </c>
      <c r="F216" t="s">
        <v>29</v>
      </c>
      <c r="G216" t="s">
        <v>35</v>
      </c>
      <c r="H216">
        <v>1</v>
      </c>
      <c r="I216">
        <v>1</v>
      </c>
      <c r="J216" t="s">
        <v>41</v>
      </c>
      <c r="K216">
        <v>143</v>
      </c>
      <c r="L216">
        <v>475</v>
      </c>
      <c r="M216">
        <v>879</v>
      </c>
      <c r="N216">
        <v>155</v>
      </c>
      <c r="O216">
        <v>5</v>
      </c>
      <c r="P216">
        <v>91</v>
      </c>
      <c r="Q216">
        <v>139</v>
      </c>
      <c r="R216">
        <v>454</v>
      </c>
      <c r="S216">
        <v>781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 t="s">
        <v>31</v>
      </c>
    </row>
    <row r="217" spans="1:25" hidden="1">
      <c r="A217" t="s">
        <v>25</v>
      </c>
      <c r="B217" t="s">
        <v>26</v>
      </c>
      <c r="C217" t="s">
        <v>42</v>
      </c>
      <c r="D217" s="1">
        <v>41531</v>
      </c>
      <c r="E217" s="2">
        <v>0.64583333333333337</v>
      </c>
      <c r="F217" t="s">
        <v>36</v>
      </c>
      <c r="G217" t="s">
        <v>35</v>
      </c>
      <c r="H217">
        <v>0</v>
      </c>
      <c r="I217">
        <v>4</v>
      </c>
      <c r="J217" t="s">
        <v>30</v>
      </c>
      <c r="K217">
        <v>298</v>
      </c>
      <c r="L217">
        <v>351</v>
      </c>
      <c r="M217">
        <v>248</v>
      </c>
      <c r="N217">
        <v>31</v>
      </c>
      <c r="O217">
        <v>357</v>
      </c>
      <c r="P217">
        <v>248</v>
      </c>
      <c r="Q217">
        <v>289</v>
      </c>
      <c r="R217">
        <v>327</v>
      </c>
      <c r="S217">
        <v>236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31</v>
      </c>
    </row>
    <row r="218" spans="1:25" hidden="1">
      <c r="A218" t="s">
        <v>25</v>
      </c>
      <c r="B218" t="s">
        <v>26</v>
      </c>
      <c r="C218" t="s">
        <v>42</v>
      </c>
      <c r="D218" s="1">
        <v>41531</v>
      </c>
      <c r="E218" s="2">
        <v>0.75</v>
      </c>
      <c r="F218" t="s">
        <v>39</v>
      </c>
      <c r="G218" t="s">
        <v>37</v>
      </c>
      <c r="H218">
        <v>3</v>
      </c>
      <c r="I218">
        <v>1</v>
      </c>
      <c r="J218" t="s">
        <v>34</v>
      </c>
      <c r="K218">
        <v>209</v>
      </c>
      <c r="L218">
        <v>361</v>
      </c>
      <c r="M218">
        <v>37</v>
      </c>
      <c r="N218">
        <v>215</v>
      </c>
      <c r="O218">
        <v>361</v>
      </c>
      <c r="P218">
        <v>385</v>
      </c>
      <c r="Q218">
        <v>204</v>
      </c>
      <c r="R218">
        <v>337</v>
      </c>
      <c r="S218">
        <v>349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</row>
    <row r="219" spans="1:25" hidden="1">
      <c r="A219" t="s">
        <v>25</v>
      </c>
      <c r="B219" t="s">
        <v>26</v>
      </c>
      <c r="C219" t="s">
        <v>42</v>
      </c>
      <c r="D219" s="1">
        <v>41531</v>
      </c>
      <c r="E219" s="2">
        <v>0.75</v>
      </c>
      <c r="F219" t="s">
        <v>40</v>
      </c>
      <c r="G219" t="s">
        <v>43</v>
      </c>
      <c r="H219">
        <v>2</v>
      </c>
      <c r="I219">
        <v>3</v>
      </c>
      <c r="J219" t="s">
        <v>30</v>
      </c>
      <c r="K219">
        <v>15</v>
      </c>
      <c r="L219">
        <v>458</v>
      </c>
      <c r="M219">
        <v>72</v>
      </c>
      <c r="N219">
        <v>158</v>
      </c>
      <c r="O219">
        <v>458</v>
      </c>
      <c r="P219">
        <v>72</v>
      </c>
      <c r="Q219">
        <v>152</v>
      </c>
      <c r="R219">
        <v>404</v>
      </c>
      <c r="S219">
        <v>6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</row>
    <row r="220" spans="1:25" hidden="1">
      <c r="A220" t="s">
        <v>25</v>
      </c>
      <c r="B220" t="s">
        <v>26</v>
      </c>
      <c r="C220" t="s">
        <v>42</v>
      </c>
      <c r="D220" s="1">
        <v>41531</v>
      </c>
      <c r="E220" s="2">
        <v>0.75</v>
      </c>
      <c r="F220" t="s">
        <v>33</v>
      </c>
      <c r="G220" t="s">
        <v>28</v>
      </c>
      <c r="H220">
        <v>1</v>
      </c>
      <c r="I220">
        <v>3</v>
      </c>
      <c r="J220" t="s">
        <v>30</v>
      </c>
      <c r="K220">
        <v>305</v>
      </c>
      <c r="L220">
        <v>349</v>
      </c>
      <c r="M220">
        <v>243</v>
      </c>
      <c r="N220">
        <v>32</v>
      </c>
      <c r="O220">
        <v>349</v>
      </c>
      <c r="P220">
        <v>25</v>
      </c>
      <c r="Q220">
        <v>295</v>
      </c>
      <c r="R220">
        <v>325</v>
      </c>
      <c r="S220">
        <v>234</v>
      </c>
      <c r="T220" t="s">
        <v>31</v>
      </c>
      <c r="U220" t="s">
        <v>31</v>
      </c>
      <c r="V220" t="s">
        <v>31</v>
      </c>
      <c r="W220" t="s">
        <v>31</v>
      </c>
      <c r="X220" t="s">
        <v>31</v>
      </c>
      <c r="Y220" t="s">
        <v>31</v>
      </c>
    </row>
    <row r="221" spans="1:25" hidden="1">
      <c r="A221" t="s">
        <v>25</v>
      </c>
      <c r="B221" t="s">
        <v>26</v>
      </c>
      <c r="C221" t="s">
        <v>42</v>
      </c>
      <c r="D221" s="1">
        <v>41532</v>
      </c>
      <c r="E221" s="2">
        <v>0.64583333333333337</v>
      </c>
      <c r="F221" t="s">
        <v>38</v>
      </c>
      <c r="G221" t="s">
        <v>29</v>
      </c>
      <c r="H221">
        <v>0</v>
      </c>
      <c r="I221">
        <v>5</v>
      </c>
      <c r="J221" t="s">
        <v>30</v>
      </c>
      <c r="K221">
        <v>534</v>
      </c>
      <c r="L221">
        <v>419</v>
      </c>
      <c r="M221">
        <v>167</v>
      </c>
      <c r="N221">
        <v>55</v>
      </c>
      <c r="O221">
        <v>433</v>
      </c>
      <c r="P221">
        <v>17</v>
      </c>
      <c r="Q221">
        <v>501</v>
      </c>
      <c r="R221">
        <v>387</v>
      </c>
      <c r="S221">
        <v>163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</row>
    <row r="222" spans="1:25" hidden="1">
      <c r="A222" t="s">
        <v>25</v>
      </c>
      <c r="B222" t="s">
        <v>26</v>
      </c>
      <c r="C222" t="s">
        <v>42</v>
      </c>
      <c r="D222" s="1">
        <v>41538</v>
      </c>
      <c r="E222" s="2">
        <v>0.64583333333333337</v>
      </c>
      <c r="F222" t="s">
        <v>28</v>
      </c>
      <c r="G222" t="s">
        <v>40</v>
      </c>
      <c r="H222">
        <v>1</v>
      </c>
      <c r="I222">
        <v>2</v>
      </c>
      <c r="J222" t="s">
        <v>30</v>
      </c>
      <c r="K222">
        <v>404</v>
      </c>
      <c r="L222">
        <v>373</v>
      </c>
      <c r="M222">
        <v>196</v>
      </c>
      <c r="N222">
        <v>41</v>
      </c>
      <c r="O222">
        <v>373</v>
      </c>
      <c r="P222">
        <v>224</v>
      </c>
      <c r="Q222">
        <v>345</v>
      </c>
      <c r="R222">
        <v>338</v>
      </c>
      <c r="S222">
        <v>206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 t="s">
        <v>31</v>
      </c>
    </row>
    <row r="223" spans="1:25" hidden="1">
      <c r="A223" t="s">
        <v>25</v>
      </c>
      <c r="B223" t="s">
        <v>26</v>
      </c>
      <c r="C223" t="s">
        <v>42</v>
      </c>
      <c r="D223" s="1">
        <v>41538</v>
      </c>
      <c r="E223" s="2">
        <v>0.75</v>
      </c>
      <c r="F223" t="s">
        <v>37</v>
      </c>
      <c r="G223" t="s">
        <v>33</v>
      </c>
      <c r="H223">
        <v>0</v>
      </c>
      <c r="I223">
        <v>3</v>
      </c>
      <c r="J223" t="s">
        <v>30</v>
      </c>
      <c r="K223">
        <v>168</v>
      </c>
      <c r="L223">
        <v>409</v>
      </c>
      <c r="M223">
        <v>541</v>
      </c>
      <c r="N223">
        <v>192</v>
      </c>
      <c r="O223">
        <v>41</v>
      </c>
      <c r="P223">
        <v>541</v>
      </c>
      <c r="Q223">
        <v>172</v>
      </c>
      <c r="R223">
        <v>37</v>
      </c>
      <c r="S223">
        <v>455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</row>
    <row r="224" spans="1:25" hidden="1">
      <c r="A224" t="s">
        <v>25</v>
      </c>
      <c r="B224" t="s">
        <v>26</v>
      </c>
      <c r="C224" t="s">
        <v>42</v>
      </c>
      <c r="D224" s="1">
        <v>41538</v>
      </c>
      <c r="E224" s="2">
        <v>0.75</v>
      </c>
      <c r="F224" t="s">
        <v>43</v>
      </c>
      <c r="G224" t="s">
        <v>36</v>
      </c>
      <c r="H224">
        <v>3</v>
      </c>
      <c r="I224">
        <v>3</v>
      </c>
      <c r="J224" t="s">
        <v>41</v>
      </c>
      <c r="K224">
        <v>185</v>
      </c>
      <c r="L224">
        <v>385</v>
      </c>
      <c r="M224">
        <v>446</v>
      </c>
      <c r="N224">
        <v>19</v>
      </c>
      <c r="O224">
        <v>39</v>
      </c>
      <c r="P224">
        <v>488</v>
      </c>
      <c r="Q224">
        <v>177</v>
      </c>
      <c r="R224">
        <v>361</v>
      </c>
      <c r="S224">
        <v>432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</row>
    <row r="225" spans="1:25" hidden="1">
      <c r="A225" t="s">
        <v>25</v>
      </c>
      <c r="B225" t="s">
        <v>26</v>
      </c>
      <c r="C225" t="s">
        <v>42</v>
      </c>
      <c r="D225" s="1">
        <v>41539</v>
      </c>
      <c r="E225" s="2">
        <v>0.64583333333333337</v>
      </c>
      <c r="F225" t="s">
        <v>35</v>
      </c>
      <c r="G225" t="s">
        <v>38</v>
      </c>
      <c r="H225">
        <v>2</v>
      </c>
      <c r="I225">
        <v>0</v>
      </c>
      <c r="J225" t="s">
        <v>34</v>
      </c>
      <c r="K225">
        <v>178</v>
      </c>
      <c r="L225">
        <v>391</v>
      </c>
      <c r="M225">
        <v>486</v>
      </c>
      <c r="N225">
        <v>184</v>
      </c>
      <c r="O225">
        <v>391</v>
      </c>
      <c r="P225">
        <v>5</v>
      </c>
      <c r="Q225">
        <v>176</v>
      </c>
      <c r="R225">
        <v>36</v>
      </c>
      <c r="S225">
        <v>438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31</v>
      </c>
    </row>
    <row r="226" spans="1:25" hidden="1">
      <c r="A226" t="s">
        <v>25</v>
      </c>
      <c r="B226" t="s">
        <v>26</v>
      </c>
      <c r="C226" t="s">
        <v>42</v>
      </c>
      <c r="D226" s="1">
        <v>41539</v>
      </c>
      <c r="E226" s="2">
        <v>0.75</v>
      </c>
      <c r="F226" t="s">
        <v>29</v>
      </c>
      <c r="G226" t="s">
        <v>39</v>
      </c>
      <c r="H226">
        <v>2</v>
      </c>
      <c r="I226">
        <v>2</v>
      </c>
      <c r="J226" t="s">
        <v>41</v>
      </c>
      <c r="K226">
        <v>116</v>
      </c>
      <c r="L226">
        <v>856</v>
      </c>
      <c r="M226">
        <v>1846</v>
      </c>
      <c r="N226">
        <v>118</v>
      </c>
      <c r="O226">
        <v>856</v>
      </c>
      <c r="P226">
        <v>20</v>
      </c>
      <c r="Q226">
        <v>115</v>
      </c>
      <c r="R226">
        <v>743</v>
      </c>
      <c r="S226">
        <v>1447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  <c r="Y226" t="s">
        <v>31</v>
      </c>
    </row>
    <row r="227" spans="1:25" hidden="1">
      <c r="A227" t="s">
        <v>25</v>
      </c>
      <c r="B227" t="s">
        <v>26</v>
      </c>
      <c r="C227" t="s">
        <v>42</v>
      </c>
      <c r="D227" s="1">
        <v>41545</v>
      </c>
      <c r="E227" s="2">
        <v>0.64583333333333337</v>
      </c>
      <c r="F227" t="s">
        <v>38</v>
      </c>
      <c r="G227" t="s">
        <v>43</v>
      </c>
      <c r="H227">
        <v>4</v>
      </c>
      <c r="I227">
        <v>2</v>
      </c>
      <c r="J227" t="s">
        <v>34</v>
      </c>
      <c r="K227">
        <v>203</v>
      </c>
      <c r="L227">
        <v>368</v>
      </c>
      <c r="M227">
        <v>382</v>
      </c>
      <c r="N227">
        <v>21</v>
      </c>
      <c r="O227">
        <v>39</v>
      </c>
      <c r="P227">
        <v>382</v>
      </c>
      <c r="Q227">
        <v>201</v>
      </c>
      <c r="R227">
        <v>348</v>
      </c>
      <c r="S227">
        <v>35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</row>
    <row r="228" spans="1:25" hidden="1">
      <c r="A228" t="s">
        <v>25</v>
      </c>
      <c r="B228" t="s">
        <v>26</v>
      </c>
      <c r="C228" t="s">
        <v>42</v>
      </c>
      <c r="D228" s="1">
        <v>41545</v>
      </c>
      <c r="E228" s="2">
        <v>0.75</v>
      </c>
      <c r="F228" t="s">
        <v>37</v>
      </c>
      <c r="G228" t="s">
        <v>40</v>
      </c>
      <c r="H228">
        <v>1</v>
      </c>
      <c r="I228">
        <v>0</v>
      </c>
      <c r="J228" t="s">
        <v>34</v>
      </c>
      <c r="K228">
        <v>502</v>
      </c>
      <c r="L228">
        <v>41</v>
      </c>
      <c r="M228">
        <v>172</v>
      </c>
      <c r="N228">
        <v>502</v>
      </c>
      <c r="O228">
        <v>42</v>
      </c>
      <c r="P228">
        <v>175</v>
      </c>
      <c r="Q228">
        <v>467</v>
      </c>
      <c r="R228">
        <v>377</v>
      </c>
      <c r="S228">
        <v>169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</row>
    <row r="229" spans="1:25" hidden="1">
      <c r="A229" t="s">
        <v>25</v>
      </c>
      <c r="B229" t="s">
        <v>26</v>
      </c>
      <c r="C229" t="s">
        <v>42</v>
      </c>
      <c r="D229" s="1">
        <v>41545</v>
      </c>
      <c r="E229" s="2">
        <v>0.75</v>
      </c>
      <c r="F229" t="s">
        <v>35</v>
      </c>
      <c r="G229" t="s">
        <v>39</v>
      </c>
      <c r="H229">
        <v>2</v>
      </c>
      <c r="I229">
        <v>4</v>
      </c>
      <c r="J229" t="s">
        <v>30</v>
      </c>
      <c r="K229">
        <v>149</v>
      </c>
      <c r="L229">
        <v>467</v>
      </c>
      <c r="M229">
        <v>727</v>
      </c>
      <c r="N229">
        <v>155</v>
      </c>
      <c r="O229">
        <v>485</v>
      </c>
      <c r="P229">
        <v>79</v>
      </c>
      <c r="Q229">
        <v>148</v>
      </c>
      <c r="R229">
        <v>419</v>
      </c>
      <c r="S229">
        <v>633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 t="s">
        <v>31</v>
      </c>
    </row>
    <row r="230" spans="1:25" hidden="1">
      <c r="A230" t="s">
        <v>25</v>
      </c>
      <c r="B230" t="s">
        <v>26</v>
      </c>
      <c r="C230" t="s">
        <v>42</v>
      </c>
      <c r="D230" s="1">
        <v>41545</v>
      </c>
      <c r="E230" s="2">
        <v>0.75</v>
      </c>
      <c r="F230" t="s">
        <v>28</v>
      </c>
      <c r="G230" t="s">
        <v>36</v>
      </c>
      <c r="H230">
        <v>1</v>
      </c>
      <c r="I230">
        <v>0</v>
      </c>
      <c r="J230" t="s">
        <v>34</v>
      </c>
      <c r="K230">
        <v>189</v>
      </c>
      <c r="L230">
        <v>374</v>
      </c>
      <c r="M230">
        <v>437</v>
      </c>
      <c r="N230">
        <v>21</v>
      </c>
      <c r="O230">
        <v>38</v>
      </c>
      <c r="P230">
        <v>45</v>
      </c>
      <c r="Q230">
        <v>187</v>
      </c>
      <c r="R230">
        <v>35</v>
      </c>
      <c r="S230">
        <v>401</v>
      </c>
      <c r="T230" t="s">
        <v>31</v>
      </c>
      <c r="U230" t="s">
        <v>31</v>
      </c>
      <c r="V230" t="s">
        <v>31</v>
      </c>
      <c r="W230" t="s">
        <v>31</v>
      </c>
      <c r="X230" t="s">
        <v>31</v>
      </c>
      <c r="Y230" t="s">
        <v>31</v>
      </c>
    </row>
    <row r="231" spans="1:25" hidden="1">
      <c r="A231" t="s">
        <v>25</v>
      </c>
      <c r="B231" t="s">
        <v>26</v>
      </c>
      <c r="C231" t="s">
        <v>42</v>
      </c>
      <c r="D231" s="1">
        <v>41546</v>
      </c>
      <c r="E231" s="2">
        <v>0.64583333333333337</v>
      </c>
      <c r="F231" t="s">
        <v>29</v>
      </c>
      <c r="G231" t="s">
        <v>33</v>
      </c>
      <c r="H231">
        <v>8</v>
      </c>
      <c r="I231">
        <v>1</v>
      </c>
      <c r="J231" t="s">
        <v>34</v>
      </c>
      <c r="K231">
        <v>115</v>
      </c>
      <c r="L231">
        <v>97</v>
      </c>
      <c r="M231">
        <v>18</v>
      </c>
      <c r="N231">
        <v>117</v>
      </c>
      <c r="O231">
        <v>11</v>
      </c>
      <c r="P231">
        <v>19</v>
      </c>
      <c r="Q231">
        <v>112</v>
      </c>
      <c r="R231">
        <v>914</v>
      </c>
      <c r="S231">
        <v>1534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</row>
    <row r="232" spans="1:25" hidden="1">
      <c r="A232" t="s">
        <v>25</v>
      </c>
      <c r="B232" t="s">
        <v>26</v>
      </c>
      <c r="C232" t="s">
        <v>42</v>
      </c>
      <c r="D232" s="1">
        <v>41552</v>
      </c>
      <c r="E232" s="2">
        <v>0.64583333333333337</v>
      </c>
      <c r="F232" t="s">
        <v>39</v>
      </c>
      <c r="G232" t="s">
        <v>38</v>
      </c>
      <c r="H232">
        <v>1</v>
      </c>
      <c r="I232">
        <v>1</v>
      </c>
      <c r="J232" t="s">
        <v>41</v>
      </c>
      <c r="K232">
        <v>273</v>
      </c>
      <c r="L232">
        <v>353</v>
      </c>
      <c r="M232">
        <v>267</v>
      </c>
      <c r="N232">
        <v>28</v>
      </c>
      <c r="O232">
        <v>36</v>
      </c>
      <c r="P232">
        <v>276</v>
      </c>
      <c r="Q232">
        <v>263</v>
      </c>
      <c r="R232">
        <v>334</v>
      </c>
      <c r="S232">
        <v>255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</row>
    <row r="233" spans="1:25" hidden="1">
      <c r="A233" t="s">
        <v>25</v>
      </c>
      <c r="B233" t="s">
        <v>26</v>
      </c>
      <c r="C233" t="s">
        <v>42</v>
      </c>
      <c r="D233" s="1">
        <v>41552</v>
      </c>
      <c r="E233" s="2">
        <v>0.75</v>
      </c>
      <c r="F233" t="s">
        <v>43</v>
      </c>
      <c r="G233" t="s">
        <v>28</v>
      </c>
      <c r="H233">
        <v>0</v>
      </c>
      <c r="I233">
        <v>1</v>
      </c>
      <c r="J233" t="s">
        <v>30</v>
      </c>
      <c r="K233">
        <v>209</v>
      </c>
      <c r="L233">
        <v>362</v>
      </c>
      <c r="M233">
        <v>37</v>
      </c>
      <c r="N233">
        <v>225</v>
      </c>
      <c r="O233">
        <v>362</v>
      </c>
      <c r="P233">
        <v>38</v>
      </c>
      <c r="Q233">
        <v>206</v>
      </c>
      <c r="R233">
        <v>339</v>
      </c>
      <c r="S233">
        <v>344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</row>
    <row r="234" spans="1:25" hidden="1">
      <c r="A234" t="s">
        <v>25</v>
      </c>
      <c r="B234" t="s">
        <v>26</v>
      </c>
      <c r="C234" t="s">
        <v>42</v>
      </c>
      <c r="D234" s="1">
        <v>41552</v>
      </c>
      <c r="E234" s="2">
        <v>0.75</v>
      </c>
      <c r="F234" t="s">
        <v>36</v>
      </c>
      <c r="G234" t="s">
        <v>37</v>
      </c>
      <c r="H234">
        <v>3</v>
      </c>
      <c r="I234">
        <v>3</v>
      </c>
      <c r="J234" t="s">
        <v>41</v>
      </c>
      <c r="K234">
        <v>205</v>
      </c>
      <c r="L234">
        <v>352</v>
      </c>
      <c r="M234">
        <v>391</v>
      </c>
      <c r="N234">
        <v>21</v>
      </c>
      <c r="O234">
        <v>37</v>
      </c>
      <c r="P234">
        <v>391</v>
      </c>
      <c r="Q234">
        <v>2</v>
      </c>
      <c r="R234">
        <v>343</v>
      </c>
      <c r="S234">
        <v>353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31</v>
      </c>
    </row>
    <row r="235" spans="1:25" hidden="1">
      <c r="A235" t="s">
        <v>25</v>
      </c>
      <c r="B235" t="s">
        <v>26</v>
      </c>
      <c r="C235" t="s">
        <v>42</v>
      </c>
      <c r="D235" s="1">
        <v>41553</v>
      </c>
      <c r="E235" s="2">
        <v>0.64583333333333337</v>
      </c>
      <c r="F235" t="s">
        <v>40</v>
      </c>
      <c r="G235" t="s">
        <v>29</v>
      </c>
      <c r="H235">
        <v>1</v>
      </c>
      <c r="I235">
        <v>2</v>
      </c>
      <c r="J235" t="s">
        <v>30</v>
      </c>
      <c r="K235">
        <v>426</v>
      </c>
      <c r="L235">
        <v>364</v>
      </c>
      <c r="M235">
        <v>194</v>
      </c>
      <c r="N235">
        <v>426</v>
      </c>
      <c r="O235">
        <v>39</v>
      </c>
      <c r="P235">
        <v>21</v>
      </c>
      <c r="Q235">
        <v>377</v>
      </c>
      <c r="R235">
        <v>35</v>
      </c>
      <c r="S235">
        <v>192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</row>
    <row r="236" spans="1:25" hidden="1">
      <c r="A236" t="s">
        <v>25</v>
      </c>
      <c r="B236" t="s">
        <v>26</v>
      </c>
      <c r="C236" t="s">
        <v>42</v>
      </c>
      <c r="D236" s="1">
        <v>41553</v>
      </c>
      <c r="E236" s="2">
        <v>0.75</v>
      </c>
      <c r="F236" t="s">
        <v>33</v>
      </c>
      <c r="G236" t="s">
        <v>35</v>
      </c>
      <c r="H236">
        <v>0</v>
      </c>
      <c r="I236">
        <v>0</v>
      </c>
      <c r="J236" t="s">
        <v>41</v>
      </c>
      <c r="K236">
        <v>633</v>
      </c>
      <c r="L236">
        <v>434</v>
      </c>
      <c r="M236">
        <v>157</v>
      </c>
      <c r="N236">
        <v>65</v>
      </c>
      <c r="O236">
        <v>434</v>
      </c>
      <c r="P236">
        <v>17</v>
      </c>
      <c r="Q236">
        <v>532</v>
      </c>
      <c r="R236">
        <v>384</v>
      </c>
      <c r="S236">
        <v>161</v>
      </c>
      <c r="T236" t="s">
        <v>31</v>
      </c>
      <c r="U236" t="s">
        <v>31</v>
      </c>
      <c r="V236" t="s">
        <v>31</v>
      </c>
      <c r="W236" t="s">
        <v>31</v>
      </c>
      <c r="X236" t="s">
        <v>31</v>
      </c>
      <c r="Y236" t="s">
        <v>31</v>
      </c>
    </row>
    <row r="237" spans="1:25" hidden="1">
      <c r="A237" t="s">
        <v>25</v>
      </c>
      <c r="B237" t="s">
        <v>26</v>
      </c>
      <c r="C237" t="s">
        <v>42</v>
      </c>
      <c r="D237" s="1">
        <v>41566</v>
      </c>
      <c r="E237" s="2">
        <v>0.64583333333333337</v>
      </c>
      <c r="F237" t="s">
        <v>29</v>
      </c>
      <c r="G237" t="s">
        <v>36</v>
      </c>
      <c r="H237">
        <v>6</v>
      </c>
      <c r="I237">
        <v>0</v>
      </c>
      <c r="J237" t="s">
        <v>34</v>
      </c>
      <c r="K237">
        <v>118</v>
      </c>
      <c r="L237">
        <v>874</v>
      </c>
      <c r="M237">
        <v>1643</v>
      </c>
      <c r="N237">
        <v>119</v>
      </c>
      <c r="O237">
        <v>94</v>
      </c>
      <c r="P237">
        <v>19</v>
      </c>
      <c r="Q237">
        <v>114</v>
      </c>
      <c r="R237">
        <v>789</v>
      </c>
      <c r="S237">
        <v>1517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</row>
    <row r="238" spans="1:25" hidden="1">
      <c r="A238" t="s">
        <v>25</v>
      </c>
      <c r="B238" t="s">
        <v>26</v>
      </c>
      <c r="C238" t="s">
        <v>42</v>
      </c>
      <c r="D238" s="1">
        <v>41566</v>
      </c>
      <c r="E238" s="2">
        <v>0.75</v>
      </c>
      <c r="F238" t="s">
        <v>39</v>
      </c>
      <c r="G238" t="s">
        <v>33</v>
      </c>
      <c r="H238">
        <v>1</v>
      </c>
      <c r="I238">
        <v>1</v>
      </c>
      <c r="J238" t="s">
        <v>41</v>
      </c>
      <c r="K238">
        <v>156</v>
      </c>
      <c r="L238">
        <v>452</v>
      </c>
      <c r="M238">
        <v>616</v>
      </c>
      <c r="N238">
        <v>169</v>
      </c>
      <c r="O238">
        <v>452</v>
      </c>
      <c r="P238">
        <v>616</v>
      </c>
      <c r="Q238">
        <v>156</v>
      </c>
      <c r="R238">
        <v>4</v>
      </c>
      <c r="S238">
        <v>548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</row>
    <row r="239" spans="1:25" hidden="1">
      <c r="A239" t="s">
        <v>25</v>
      </c>
      <c r="B239" t="s">
        <v>26</v>
      </c>
      <c r="C239" t="s">
        <v>42</v>
      </c>
      <c r="D239" s="1">
        <v>41566</v>
      </c>
      <c r="E239" s="2">
        <v>0.75</v>
      </c>
      <c r="F239" t="s">
        <v>37</v>
      </c>
      <c r="G239" t="s">
        <v>43</v>
      </c>
      <c r="H239">
        <v>0</v>
      </c>
      <c r="I239">
        <v>4</v>
      </c>
      <c r="J239" t="s">
        <v>30</v>
      </c>
      <c r="K239">
        <v>256</v>
      </c>
      <c r="L239">
        <v>364</v>
      </c>
      <c r="M239">
        <v>279</v>
      </c>
      <c r="N239">
        <v>265</v>
      </c>
      <c r="O239">
        <v>375</v>
      </c>
      <c r="P239">
        <v>3</v>
      </c>
      <c r="Q239">
        <v>246</v>
      </c>
      <c r="R239">
        <v>337</v>
      </c>
      <c r="S239">
        <v>271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</row>
    <row r="240" spans="1:25" hidden="1">
      <c r="A240" t="s">
        <v>25</v>
      </c>
      <c r="B240" t="s">
        <v>26</v>
      </c>
      <c r="C240" t="s">
        <v>42</v>
      </c>
      <c r="D240" s="1">
        <v>41566</v>
      </c>
      <c r="E240" s="2">
        <v>0.75</v>
      </c>
      <c r="F240" t="s">
        <v>38</v>
      </c>
      <c r="G240" t="s">
        <v>40</v>
      </c>
      <c r="H240">
        <v>1</v>
      </c>
      <c r="I240">
        <v>1</v>
      </c>
      <c r="J240" t="s">
        <v>41</v>
      </c>
      <c r="K240">
        <v>333</v>
      </c>
      <c r="L240">
        <v>366</v>
      </c>
      <c r="M240">
        <v>221</v>
      </c>
      <c r="N240">
        <v>35</v>
      </c>
      <c r="O240">
        <v>366</v>
      </c>
      <c r="P240">
        <v>23</v>
      </c>
      <c r="Q240">
        <v>312</v>
      </c>
      <c r="R240">
        <v>339</v>
      </c>
      <c r="S240">
        <v>219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</row>
    <row r="241" spans="1:25" hidden="1">
      <c r="A241" t="s">
        <v>25</v>
      </c>
      <c r="B241" t="s">
        <v>26</v>
      </c>
      <c r="C241" t="s">
        <v>42</v>
      </c>
      <c r="D241" s="1">
        <v>41567</v>
      </c>
      <c r="E241" s="2">
        <v>0.64583333333333337</v>
      </c>
      <c r="F241" t="s">
        <v>35</v>
      </c>
      <c r="G241" t="s">
        <v>28</v>
      </c>
      <c r="H241">
        <v>2</v>
      </c>
      <c r="I241">
        <v>2</v>
      </c>
      <c r="J241" t="s">
        <v>41</v>
      </c>
      <c r="K241">
        <v>185</v>
      </c>
      <c r="L241">
        <v>372</v>
      </c>
      <c r="M241">
        <v>462</v>
      </c>
      <c r="N241">
        <v>185</v>
      </c>
      <c r="O241">
        <v>4</v>
      </c>
      <c r="P241">
        <v>525</v>
      </c>
      <c r="Q241">
        <v>172</v>
      </c>
      <c r="R241">
        <v>362</v>
      </c>
      <c r="S241">
        <v>47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</row>
    <row r="242" spans="1:25" hidden="1">
      <c r="A242" t="s">
        <v>25</v>
      </c>
      <c r="B242" t="s">
        <v>26</v>
      </c>
      <c r="C242" t="s">
        <v>42</v>
      </c>
      <c r="D242" s="1">
        <v>41573</v>
      </c>
      <c r="E242" s="2">
        <v>0.64583333333333337</v>
      </c>
      <c r="F242" t="s">
        <v>36</v>
      </c>
      <c r="G242" t="s">
        <v>39</v>
      </c>
      <c r="H242">
        <v>1</v>
      </c>
      <c r="I242">
        <v>2</v>
      </c>
      <c r="J242" t="s">
        <v>30</v>
      </c>
      <c r="K242">
        <v>233</v>
      </c>
      <c r="L242">
        <v>369</v>
      </c>
      <c r="M242">
        <v>309</v>
      </c>
      <c r="N242">
        <v>242</v>
      </c>
      <c r="O242">
        <v>375</v>
      </c>
      <c r="P242">
        <v>309</v>
      </c>
      <c r="Q242">
        <v>229</v>
      </c>
      <c r="R242">
        <v>34</v>
      </c>
      <c r="S242">
        <v>291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</row>
    <row r="243" spans="1:25" hidden="1">
      <c r="A243" t="s">
        <v>25</v>
      </c>
      <c r="B243" t="s">
        <v>26</v>
      </c>
      <c r="C243" t="s">
        <v>42</v>
      </c>
      <c r="D243" s="1">
        <v>41573</v>
      </c>
      <c r="E243" s="2">
        <v>0.75</v>
      </c>
      <c r="F243" t="s">
        <v>33</v>
      </c>
      <c r="G243" t="s">
        <v>38</v>
      </c>
      <c r="H243">
        <v>3</v>
      </c>
      <c r="I243">
        <v>3</v>
      </c>
      <c r="J243" t="s">
        <v>41</v>
      </c>
      <c r="K243">
        <v>447</v>
      </c>
      <c r="L243">
        <v>382</v>
      </c>
      <c r="M243">
        <v>185</v>
      </c>
      <c r="N243">
        <v>447</v>
      </c>
      <c r="O243">
        <v>382</v>
      </c>
      <c r="P243">
        <v>196</v>
      </c>
      <c r="Q243">
        <v>396</v>
      </c>
      <c r="R243">
        <v>353</v>
      </c>
      <c r="S243">
        <v>186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</row>
    <row r="244" spans="1:25" hidden="1">
      <c r="A244" t="s">
        <v>25</v>
      </c>
      <c r="B244" t="s">
        <v>26</v>
      </c>
      <c r="C244" t="s">
        <v>42</v>
      </c>
      <c r="D244" s="1">
        <v>41573</v>
      </c>
      <c r="E244" s="2">
        <v>0.75</v>
      </c>
      <c r="F244" t="s">
        <v>28</v>
      </c>
      <c r="G244" t="s">
        <v>37</v>
      </c>
      <c r="H244">
        <v>0</v>
      </c>
      <c r="I244">
        <v>2</v>
      </c>
      <c r="J244" t="s">
        <v>30</v>
      </c>
      <c r="K244">
        <v>174</v>
      </c>
      <c r="L244">
        <v>406</v>
      </c>
      <c r="M244">
        <v>488</v>
      </c>
      <c r="N244">
        <v>175</v>
      </c>
      <c r="O244">
        <v>406</v>
      </c>
      <c r="P244">
        <v>61</v>
      </c>
      <c r="Q244">
        <v>166</v>
      </c>
      <c r="R244">
        <v>377</v>
      </c>
      <c r="S244">
        <v>493</v>
      </c>
      <c r="T244" t="s">
        <v>31</v>
      </c>
      <c r="U244" t="s">
        <v>31</v>
      </c>
      <c r="V244" t="s">
        <v>31</v>
      </c>
      <c r="W244" t="s">
        <v>31</v>
      </c>
      <c r="X244" t="s">
        <v>31</v>
      </c>
      <c r="Y244" t="s">
        <v>31</v>
      </c>
    </row>
    <row r="245" spans="1:25" hidden="1">
      <c r="A245" t="s">
        <v>25</v>
      </c>
      <c r="B245" t="s">
        <v>26</v>
      </c>
      <c r="C245" t="s">
        <v>42</v>
      </c>
      <c r="D245" s="1">
        <v>41574</v>
      </c>
      <c r="E245" s="2">
        <v>0.64583333333333337</v>
      </c>
      <c r="F245" t="s">
        <v>40</v>
      </c>
      <c r="G245" t="s">
        <v>35</v>
      </c>
      <c r="H245">
        <v>0</v>
      </c>
      <c r="I245">
        <v>1</v>
      </c>
      <c r="J245" t="s">
        <v>30</v>
      </c>
      <c r="K245">
        <v>224</v>
      </c>
      <c r="L245">
        <v>351</v>
      </c>
      <c r="M245">
        <v>341</v>
      </c>
      <c r="N245">
        <v>224</v>
      </c>
      <c r="O245">
        <v>36</v>
      </c>
      <c r="P245">
        <v>385</v>
      </c>
      <c r="Q245">
        <v>207</v>
      </c>
      <c r="R245">
        <v>335</v>
      </c>
      <c r="S245">
        <v>342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31</v>
      </c>
    </row>
    <row r="246" spans="1:25" hidden="1">
      <c r="A246" t="s">
        <v>25</v>
      </c>
      <c r="B246" t="s">
        <v>26</v>
      </c>
      <c r="C246" t="s">
        <v>42</v>
      </c>
      <c r="D246" s="1">
        <v>41574</v>
      </c>
      <c r="E246" s="2">
        <v>0.75</v>
      </c>
      <c r="F246" t="s">
        <v>43</v>
      </c>
      <c r="G246" t="s">
        <v>29</v>
      </c>
      <c r="H246">
        <v>0</v>
      </c>
      <c r="I246">
        <v>3</v>
      </c>
      <c r="J246" t="s">
        <v>30</v>
      </c>
      <c r="K246">
        <v>83</v>
      </c>
      <c r="L246">
        <v>529</v>
      </c>
      <c r="M246">
        <v>14</v>
      </c>
      <c r="N246">
        <v>832</v>
      </c>
      <c r="O246">
        <v>53</v>
      </c>
      <c r="P246">
        <v>145</v>
      </c>
      <c r="Q246">
        <v>739</v>
      </c>
      <c r="R246">
        <v>486</v>
      </c>
      <c r="S246">
        <v>137</v>
      </c>
      <c r="T246" t="s">
        <v>31</v>
      </c>
      <c r="U246" t="s">
        <v>31</v>
      </c>
      <c r="V246" t="s">
        <v>31</v>
      </c>
      <c r="W246" t="s">
        <v>31</v>
      </c>
      <c r="X246" t="s">
        <v>31</v>
      </c>
      <c r="Y246" t="s">
        <v>31</v>
      </c>
    </row>
    <row r="247" spans="1:25" hidden="1">
      <c r="A247" t="s">
        <v>25</v>
      </c>
      <c r="B247" t="s">
        <v>26</v>
      </c>
      <c r="C247" t="s">
        <v>42</v>
      </c>
      <c r="D247" s="1">
        <v>41580</v>
      </c>
      <c r="E247" s="2">
        <v>0.64583333333333337</v>
      </c>
      <c r="F247" t="s">
        <v>35</v>
      </c>
      <c r="G247" t="s">
        <v>37</v>
      </c>
      <c r="H247">
        <v>4</v>
      </c>
      <c r="I247">
        <v>2</v>
      </c>
      <c r="J247" t="s">
        <v>34</v>
      </c>
      <c r="K247">
        <v>145</v>
      </c>
      <c r="L247">
        <v>473</v>
      </c>
      <c r="M247">
        <v>795</v>
      </c>
      <c r="N247">
        <v>148</v>
      </c>
      <c r="O247">
        <v>53</v>
      </c>
      <c r="P247">
        <v>795</v>
      </c>
      <c r="Q247">
        <v>143</v>
      </c>
      <c r="R247">
        <v>437</v>
      </c>
      <c r="S247">
        <v>707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</row>
    <row r="248" spans="1:25" hidden="1">
      <c r="A248" t="s">
        <v>25</v>
      </c>
      <c r="B248" t="s">
        <v>26</v>
      </c>
      <c r="C248" t="s">
        <v>42</v>
      </c>
      <c r="D248" s="1">
        <v>41580</v>
      </c>
      <c r="E248" s="2">
        <v>0.75</v>
      </c>
      <c r="F248" t="s">
        <v>39</v>
      </c>
      <c r="G248" t="s">
        <v>43</v>
      </c>
      <c r="H248">
        <v>1</v>
      </c>
      <c r="I248">
        <v>1</v>
      </c>
      <c r="J248" t="s">
        <v>41</v>
      </c>
      <c r="K248">
        <v>235</v>
      </c>
      <c r="L248">
        <v>366</v>
      </c>
      <c r="M248">
        <v>306</v>
      </c>
      <c r="N248">
        <v>24</v>
      </c>
      <c r="O248">
        <v>38</v>
      </c>
      <c r="P248">
        <v>325</v>
      </c>
      <c r="Q248">
        <v>227</v>
      </c>
      <c r="R248">
        <v>337</v>
      </c>
      <c r="S248">
        <v>298</v>
      </c>
      <c r="T248" t="s">
        <v>31</v>
      </c>
      <c r="U248" t="s">
        <v>31</v>
      </c>
      <c r="V248" t="s">
        <v>31</v>
      </c>
      <c r="W248" t="s">
        <v>31</v>
      </c>
      <c r="X248" t="s">
        <v>31</v>
      </c>
      <c r="Y248" t="s">
        <v>31</v>
      </c>
    </row>
    <row r="249" spans="1:25" hidden="1">
      <c r="A249" t="s">
        <v>25</v>
      </c>
      <c r="B249" t="s">
        <v>26</v>
      </c>
      <c r="C249" t="s">
        <v>42</v>
      </c>
      <c r="D249" s="1">
        <v>41580</v>
      </c>
      <c r="E249" s="2">
        <v>0.75</v>
      </c>
      <c r="F249" t="s">
        <v>38</v>
      </c>
      <c r="G249" t="s">
        <v>36</v>
      </c>
      <c r="H249">
        <v>4</v>
      </c>
      <c r="I249">
        <v>0</v>
      </c>
      <c r="J249" t="s">
        <v>34</v>
      </c>
      <c r="K249">
        <v>162</v>
      </c>
      <c r="L249">
        <v>427</v>
      </c>
      <c r="M249">
        <v>58</v>
      </c>
      <c r="N249">
        <v>165</v>
      </c>
      <c r="O249">
        <v>433</v>
      </c>
      <c r="P249">
        <v>67</v>
      </c>
      <c r="Q249">
        <v>159</v>
      </c>
      <c r="R249">
        <v>393</v>
      </c>
      <c r="S249">
        <v>531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</row>
    <row r="250" spans="1:25" hidden="1">
      <c r="A250" t="s">
        <v>25</v>
      </c>
      <c r="B250" t="s">
        <v>26</v>
      </c>
      <c r="C250" t="s">
        <v>42</v>
      </c>
      <c r="D250" s="1">
        <v>41580</v>
      </c>
      <c r="E250" s="2">
        <v>0.75</v>
      </c>
      <c r="F250" t="s">
        <v>29</v>
      </c>
      <c r="G250" t="s">
        <v>28</v>
      </c>
      <c r="H250">
        <v>1</v>
      </c>
      <c r="I250">
        <v>0</v>
      </c>
      <c r="J250" t="s">
        <v>34</v>
      </c>
      <c r="K250">
        <v>119</v>
      </c>
      <c r="L250">
        <v>79</v>
      </c>
      <c r="M250">
        <v>166</v>
      </c>
      <c r="N250">
        <v>123</v>
      </c>
      <c r="O250">
        <v>79</v>
      </c>
      <c r="P250">
        <v>166</v>
      </c>
      <c r="Q250">
        <v>119</v>
      </c>
      <c r="R250">
        <v>677</v>
      </c>
      <c r="S250">
        <v>1228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</row>
    <row r="251" spans="1:25" hidden="1">
      <c r="A251" t="s">
        <v>25</v>
      </c>
      <c r="B251" t="s">
        <v>26</v>
      </c>
      <c r="C251" t="s">
        <v>42</v>
      </c>
      <c r="D251" s="1">
        <v>41581</v>
      </c>
      <c r="E251" s="2">
        <v>0.64583333333333337</v>
      </c>
      <c r="F251" t="s">
        <v>33</v>
      </c>
      <c r="G251" t="s">
        <v>40</v>
      </c>
      <c r="H251">
        <v>0</v>
      </c>
      <c r="I251">
        <v>3</v>
      </c>
      <c r="J251" t="s">
        <v>30</v>
      </c>
      <c r="K251">
        <v>612</v>
      </c>
      <c r="L251">
        <v>423</v>
      </c>
      <c r="M251">
        <v>16</v>
      </c>
      <c r="N251">
        <v>612</v>
      </c>
      <c r="O251">
        <v>425</v>
      </c>
      <c r="P251">
        <v>165</v>
      </c>
      <c r="Q251">
        <v>551</v>
      </c>
      <c r="R251">
        <v>39</v>
      </c>
      <c r="S251">
        <v>158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</row>
    <row r="252" spans="1:25" hidden="1">
      <c r="A252" t="s">
        <v>25</v>
      </c>
      <c r="B252" t="s">
        <v>26</v>
      </c>
      <c r="C252" t="s">
        <v>42</v>
      </c>
      <c r="D252" s="1">
        <v>41587</v>
      </c>
      <c r="E252" s="2">
        <v>0.64583333333333337</v>
      </c>
      <c r="F252" t="s">
        <v>36</v>
      </c>
      <c r="G252" t="s">
        <v>33</v>
      </c>
      <c r="H252">
        <v>4</v>
      </c>
      <c r="I252">
        <v>0</v>
      </c>
      <c r="J252" t="s">
        <v>34</v>
      </c>
      <c r="K252">
        <v>184</v>
      </c>
      <c r="L252">
        <v>398</v>
      </c>
      <c r="M252">
        <v>434</v>
      </c>
      <c r="N252">
        <v>192</v>
      </c>
      <c r="O252">
        <v>4</v>
      </c>
      <c r="P252">
        <v>452</v>
      </c>
      <c r="Q252">
        <v>177</v>
      </c>
      <c r="R252">
        <v>365</v>
      </c>
      <c r="S252">
        <v>429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</row>
    <row r="253" spans="1:25" hidden="1">
      <c r="A253" t="s">
        <v>25</v>
      </c>
      <c r="B253" t="s">
        <v>26</v>
      </c>
      <c r="C253" t="s">
        <v>42</v>
      </c>
      <c r="D253" s="1">
        <v>41587</v>
      </c>
      <c r="E253" s="2">
        <v>0.75</v>
      </c>
      <c r="F253" t="s">
        <v>40</v>
      </c>
      <c r="G253" t="s">
        <v>39</v>
      </c>
      <c r="H253">
        <v>1</v>
      </c>
      <c r="I253">
        <v>0</v>
      </c>
      <c r="J253" t="s">
        <v>34</v>
      </c>
      <c r="K253">
        <v>156</v>
      </c>
      <c r="L253">
        <v>452</v>
      </c>
      <c r="M253">
        <v>605</v>
      </c>
      <c r="N253">
        <v>158</v>
      </c>
      <c r="O253">
        <v>495</v>
      </c>
      <c r="P253">
        <v>7</v>
      </c>
      <c r="Q253">
        <v>15</v>
      </c>
      <c r="R253">
        <v>43</v>
      </c>
      <c r="S253">
        <v>574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</row>
    <row r="254" spans="1:25" hidden="1">
      <c r="A254" t="s">
        <v>25</v>
      </c>
      <c r="B254" t="s">
        <v>26</v>
      </c>
      <c r="C254" t="s">
        <v>42</v>
      </c>
      <c r="D254" s="1">
        <v>41588</v>
      </c>
      <c r="E254" s="2">
        <v>0.64583333333333337</v>
      </c>
      <c r="F254" t="s">
        <v>43</v>
      </c>
      <c r="G254" t="s">
        <v>35</v>
      </c>
      <c r="H254">
        <v>2</v>
      </c>
      <c r="I254">
        <v>2</v>
      </c>
      <c r="J254" t="s">
        <v>41</v>
      </c>
      <c r="K254">
        <v>292</v>
      </c>
      <c r="L254">
        <v>345</v>
      </c>
      <c r="M254">
        <v>255</v>
      </c>
      <c r="N254">
        <v>302</v>
      </c>
      <c r="O254">
        <v>36</v>
      </c>
      <c r="P254">
        <v>255</v>
      </c>
      <c r="Q254">
        <v>278</v>
      </c>
      <c r="R254">
        <v>331</v>
      </c>
      <c r="S254">
        <v>243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</row>
    <row r="255" spans="1:25" hidden="1">
      <c r="A255" t="s">
        <v>25</v>
      </c>
      <c r="B255" t="s">
        <v>26</v>
      </c>
      <c r="C255" t="s">
        <v>42</v>
      </c>
      <c r="D255" s="1">
        <v>41588</v>
      </c>
      <c r="E255" s="2">
        <v>0.75</v>
      </c>
      <c r="F255" t="s">
        <v>37</v>
      </c>
      <c r="G255" t="s">
        <v>29</v>
      </c>
      <c r="H255">
        <v>3</v>
      </c>
      <c r="I255">
        <v>1</v>
      </c>
      <c r="J255" t="s">
        <v>34</v>
      </c>
      <c r="K255">
        <v>1092</v>
      </c>
      <c r="L255">
        <v>62</v>
      </c>
      <c r="M255">
        <v>13</v>
      </c>
      <c r="N255">
        <v>12</v>
      </c>
      <c r="O255">
        <v>62</v>
      </c>
      <c r="P255">
        <v>13</v>
      </c>
      <c r="Q255">
        <v>1032</v>
      </c>
      <c r="R255">
        <v>563</v>
      </c>
      <c r="S255">
        <v>126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</row>
    <row r="256" spans="1:25" hidden="1">
      <c r="A256" t="s">
        <v>25</v>
      </c>
      <c r="B256" t="s">
        <v>26</v>
      </c>
      <c r="C256" t="s">
        <v>42</v>
      </c>
      <c r="D256" s="1">
        <v>41601</v>
      </c>
      <c r="E256" s="2">
        <v>0.75</v>
      </c>
      <c r="F256" t="s">
        <v>33</v>
      </c>
      <c r="G256" t="s">
        <v>43</v>
      </c>
      <c r="H256">
        <v>0</v>
      </c>
      <c r="I256">
        <v>2</v>
      </c>
      <c r="J256" t="s">
        <v>30</v>
      </c>
      <c r="K256">
        <v>44</v>
      </c>
      <c r="L256">
        <v>391</v>
      </c>
      <c r="M256">
        <v>184</v>
      </c>
      <c r="N256">
        <v>44</v>
      </c>
      <c r="O256">
        <v>391</v>
      </c>
      <c r="P256">
        <v>2</v>
      </c>
      <c r="Q256">
        <v>402</v>
      </c>
      <c r="R256">
        <v>357</v>
      </c>
      <c r="S256">
        <v>185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</row>
    <row r="257" spans="1:25" hidden="1">
      <c r="A257" t="s">
        <v>25</v>
      </c>
      <c r="B257" t="s">
        <v>26</v>
      </c>
      <c r="C257" t="s">
        <v>42</v>
      </c>
      <c r="D257" s="1">
        <v>41601</v>
      </c>
      <c r="E257" s="2">
        <v>0.75</v>
      </c>
      <c r="F257" t="s">
        <v>38</v>
      </c>
      <c r="G257" t="s">
        <v>37</v>
      </c>
      <c r="H257">
        <v>2</v>
      </c>
      <c r="I257">
        <v>2</v>
      </c>
      <c r="J257" t="s">
        <v>41</v>
      </c>
      <c r="K257">
        <v>176</v>
      </c>
      <c r="L257">
        <v>389</v>
      </c>
      <c r="M257">
        <v>5</v>
      </c>
      <c r="N257">
        <v>183</v>
      </c>
      <c r="O257">
        <v>42</v>
      </c>
      <c r="P257">
        <v>65</v>
      </c>
      <c r="Q257">
        <v>167</v>
      </c>
      <c r="R257">
        <v>379</v>
      </c>
      <c r="S257">
        <v>482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</row>
    <row r="258" spans="1:25" hidden="1">
      <c r="A258" t="s">
        <v>25</v>
      </c>
      <c r="B258" t="s">
        <v>26</v>
      </c>
      <c r="C258" t="s">
        <v>42</v>
      </c>
      <c r="D258" s="1">
        <v>41601</v>
      </c>
      <c r="E258" s="2">
        <v>0.75</v>
      </c>
      <c r="F258" t="s">
        <v>36</v>
      </c>
      <c r="G258" t="s">
        <v>40</v>
      </c>
      <c r="H258">
        <v>0</v>
      </c>
      <c r="I258">
        <v>5</v>
      </c>
      <c r="J258" t="s">
        <v>30</v>
      </c>
      <c r="K258">
        <v>351</v>
      </c>
      <c r="L258">
        <v>382</v>
      </c>
      <c r="M258">
        <v>209</v>
      </c>
      <c r="N258">
        <v>38</v>
      </c>
      <c r="O258">
        <v>39</v>
      </c>
      <c r="P258">
        <v>211</v>
      </c>
      <c r="Q258">
        <v>344</v>
      </c>
      <c r="R258">
        <v>345</v>
      </c>
      <c r="S258">
        <v>203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</row>
    <row r="259" spans="1:25" hidden="1">
      <c r="A259" t="s">
        <v>25</v>
      </c>
      <c r="B259" t="s">
        <v>26</v>
      </c>
      <c r="C259" t="s">
        <v>42</v>
      </c>
      <c r="D259" s="1">
        <v>41602</v>
      </c>
      <c r="E259" s="2">
        <v>0.64583333333333337</v>
      </c>
      <c r="F259" t="s">
        <v>35</v>
      </c>
      <c r="G259" t="s">
        <v>29</v>
      </c>
      <c r="H259">
        <v>2</v>
      </c>
      <c r="I259">
        <v>1</v>
      </c>
      <c r="J259" t="s">
        <v>34</v>
      </c>
      <c r="K259">
        <v>535</v>
      </c>
      <c r="L259">
        <v>383</v>
      </c>
      <c r="M259">
        <v>174</v>
      </c>
      <c r="N259">
        <v>535</v>
      </c>
      <c r="O259">
        <v>383</v>
      </c>
      <c r="P259">
        <v>186</v>
      </c>
      <c r="Q259">
        <v>462</v>
      </c>
      <c r="R259">
        <v>357</v>
      </c>
      <c r="S259">
        <v>174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</row>
    <row r="260" spans="1:25" hidden="1">
      <c r="A260" t="s">
        <v>25</v>
      </c>
      <c r="B260" t="s">
        <v>26</v>
      </c>
      <c r="C260" t="s">
        <v>42</v>
      </c>
      <c r="D260" s="1">
        <v>41605</v>
      </c>
      <c r="E260" s="2">
        <v>0.72916666666666663</v>
      </c>
      <c r="F260" t="s">
        <v>28</v>
      </c>
      <c r="G260" t="s">
        <v>38</v>
      </c>
      <c r="H260">
        <v>2</v>
      </c>
      <c r="I260">
        <v>0</v>
      </c>
      <c r="J260" t="s">
        <v>34</v>
      </c>
      <c r="K260">
        <v>21</v>
      </c>
      <c r="L260">
        <v>368</v>
      </c>
      <c r="M260">
        <v>36</v>
      </c>
      <c r="N260">
        <v>23</v>
      </c>
      <c r="O260">
        <v>368</v>
      </c>
      <c r="P260">
        <v>36</v>
      </c>
      <c r="Q260">
        <v>214</v>
      </c>
      <c r="R260">
        <v>338</v>
      </c>
      <c r="S260">
        <v>326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</row>
    <row r="261" spans="1:25" hidden="1">
      <c r="A261" t="s">
        <v>25</v>
      </c>
      <c r="B261" t="s">
        <v>26</v>
      </c>
      <c r="C261" t="s">
        <v>42</v>
      </c>
      <c r="D261" s="1">
        <v>41608</v>
      </c>
      <c r="E261" s="2">
        <v>0.64583333333333337</v>
      </c>
      <c r="F261" t="s">
        <v>43</v>
      </c>
      <c r="G261" t="s">
        <v>40</v>
      </c>
      <c r="H261">
        <v>1</v>
      </c>
      <c r="I261">
        <v>0</v>
      </c>
      <c r="J261" t="s">
        <v>34</v>
      </c>
      <c r="K261">
        <v>287</v>
      </c>
      <c r="L261">
        <v>375</v>
      </c>
      <c r="M261">
        <v>244</v>
      </c>
      <c r="N261">
        <v>34</v>
      </c>
      <c r="O261">
        <v>375</v>
      </c>
      <c r="P261">
        <v>245</v>
      </c>
      <c r="Q261">
        <v>293</v>
      </c>
      <c r="R261">
        <v>343</v>
      </c>
      <c r="S261">
        <v>228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</row>
    <row r="262" spans="1:25" hidden="1">
      <c r="A262" t="s">
        <v>25</v>
      </c>
      <c r="B262" t="s">
        <v>26</v>
      </c>
      <c r="C262" t="s">
        <v>42</v>
      </c>
      <c r="D262" s="1">
        <v>41608</v>
      </c>
      <c r="E262" s="2">
        <v>0.75</v>
      </c>
      <c r="F262" t="s">
        <v>37</v>
      </c>
      <c r="G262" t="s">
        <v>39</v>
      </c>
      <c r="H262">
        <v>3</v>
      </c>
      <c r="I262">
        <v>0</v>
      </c>
      <c r="J262" t="s">
        <v>34</v>
      </c>
      <c r="K262">
        <v>234</v>
      </c>
      <c r="L262">
        <v>344</v>
      </c>
      <c r="M262">
        <v>283</v>
      </c>
      <c r="N262">
        <v>236</v>
      </c>
      <c r="O262">
        <v>375</v>
      </c>
      <c r="P262">
        <v>35</v>
      </c>
      <c r="Q262">
        <v>216</v>
      </c>
      <c r="R262">
        <v>339</v>
      </c>
      <c r="S262">
        <v>316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</row>
    <row r="263" spans="1:25" hidden="1">
      <c r="A263" t="s">
        <v>25</v>
      </c>
      <c r="B263" t="s">
        <v>26</v>
      </c>
      <c r="C263" t="s">
        <v>42</v>
      </c>
      <c r="D263" s="1">
        <v>41608</v>
      </c>
      <c r="E263" s="2">
        <v>0.75</v>
      </c>
      <c r="F263" t="s">
        <v>28</v>
      </c>
      <c r="G263" t="s">
        <v>33</v>
      </c>
      <c r="H263">
        <v>2</v>
      </c>
      <c r="I263">
        <v>3</v>
      </c>
      <c r="J263" t="s">
        <v>30</v>
      </c>
      <c r="K263">
        <v>154</v>
      </c>
      <c r="L263">
        <v>381</v>
      </c>
      <c r="M263">
        <v>622</v>
      </c>
      <c r="N263">
        <v>16</v>
      </c>
      <c r="O263">
        <v>455</v>
      </c>
      <c r="P263">
        <v>71</v>
      </c>
      <c r="Q263">
        <v>149</v>
      </c>
      <c r="R263">
        <v>409</v>
      </c>
      <c r="S263">
        <v>641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</row>
    <row r="264" spans="1:25" hidden="1">
      <c r="A264" t="s">
        <v>25</v>
      </c>
      <c r="B264" t="s">
        <v>26</v>
      </c>
      <c r="C264" t="s">
        <v>42</v>
      </c>
      <c r="D264" s="1">
        <v>41609</v>
      </c>
      <c r="E264" s="2">
        <v>0.64583333333333337</v>
      </c>
      <c r="F264" t="s">
        <v>29</v>
      </c>
      <c r="G264" t="s">
        <v>38</v>
      </c>
      <c r="H264">
        <v>4</v>
      </c>
      <c r="I264">
        <v>0</v>
      </c>
      <c r="J264" t="s">
        <v>34</v>
      </c>
      <c r="K264">
        <v>128</v>
      </c>
      <c r="L264">
        <v>595</v>
      </c>
      <c r="M264">
        <v>128</v>
      </c>
      <c r="N264">
        <v>133</v>
      </c>
      <c r="O264">
        <v>7</v>
      </c>
      <c r="P264">
        <v>13</v>
      </c>
      <c r="Q264">
        <v>124</v>
      </c>
      <c r="R264">
        <v>587</v>
      </c>
      <c r="S264">
        <v>1053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</row>
    <row r="265" spans="1:25" hidden="1">
      <c r="A265" t="s">
        <v>25</v>
      </c>
      <c r="B265" t="s">
        <v>26</v>
      </c>
      <c r="C265" t="s">
        <v>42</v>
      </c>
      <c r="D265" s="1">
        <v>41609</v>
      </c>
      <c r="E265" s="2">
        <v>0.75</v>
      </c>
      <c r="F265" t="s">
        <v>35</v>
      </c>
      <c r="G265" t="s">
        <v>36</v>
      </c>
      <c r="H265">
        <v>3</v>
      </c>
      <c r="I265">
        <v>0</v>
      </c>
      <c r="J265" t="s">
        <v>34</v>
      </c>
      <c r="K265">
        <v>139</v>
      </c>
      <c r="L265">
        <v>519</v>
      </c>
      <c r="M265">
        <v>885</v>
      </c>
      <c r="N265">
        <v>14</v>
      </c>
      <c r="O265">
        <v>59</v>
      </c>
      <c r="P265">
        <v>94</v>
      </c>
      <c r="Q265">
        <v>136</v>
      </c>
      <c r="R265">
        <v>485</v>
      </c>
      <c r="S265">
        <v>765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</row>
    <row r="266" spans="1:25" hidden="1">
      <c r="A266" t="s">
        <v>25</v>
      </c>
      <c r="B266" t="s">
        <v>26</v>
      </c>
      <c r="C266" t="s">
        <v>42</v>
      </c>
      <c r="D266" s="1">
        <v>41611</v>
      </c>
      <c r="E266" s="2">
        <v>0.8125</v>
      </c>
      <c r="F266" t="s">
        <v>40</v>
      </c>
      <c r="G266" t="s">
        <v>28</v>
      </c>
      <c r="H266">
        <v>3</v>
      </c>
      <c r="I266">
        <v>2</v>
      </c>
      <c r="J266" t="s">
        <v>34</v>
      </c>
      <c r="K266">
        <v>186</v>
      </c>
      <c r="L266">
        <v>359</v>
      </c>
      <c r="M266">
        <v>477</v>
      </c>
      <c r="N266">
        <v>19</v>
      </c>
      <c r="O266">
        <v>4</v>
      </c>
      <c r="P266">
        <v>55</v>
      </c>
      <c r="Q266">
        <v>18</v>
      </c>
      <c r="R266">
        <v>351</v>
      </c>
      <c r="S266">
        <v>439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</row>
    <row r="267" spans="1:25" hidden="1">
      <c r="A267" t="s">
        <v>25</v>
      </c>
      <c r="B267" t="s">
        <v>26</v>
      </c>
      <c r="C267" t="s">
        <v>42</v>
      </c>
      <c r="D267" s="1">
        <v>41612</v>
      </c>
      <c r="E267" s="2">
        <v>0.8125</v>
      </c>
      <c r="F267" t="s">
        <v>39</v>
      </c>
      <c r="G267" t="s">
        <v>29</v>
      </c>
      <c r="H267">
        <v>1</v>
      </c>
      <c r="I267">
        <v>2</v>
      </c>
      <c r="J267" t="s">
        <v>30</v>
      </c>
      <c r="K267">
        <v>907</v>
      </c>
      <c r="L267">
        <v>524</v>
      </c>
      <c r="M267">
        <v>13</v>
      </c>
      <c r="N267">
        <v>10</v>
      </c>
      <c r="O267">
        <v>575</v>
      </c>
      <c r="P267">
        <v>139</v>
      </c>
      <c r="Q267">
        <v>808</v>
      </c>
      <c r="R267">
        <v>53</v>
      </c>
      <c r="S267">
        <v>132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</row>
    <row r="268" spans="1:25" hidden="1">
      <c r="A268" t="s">
        <v>25</v>
      </c>
      <c r="B268" t="s">
        <v>26</v>
      </c>
      <c r="C268" t="s">
        <v>42</v>
      </c>
      <c r="D268" s="1">
        <v>41612</v>
      </c>
      <c r="E268" s="2">
        <v>0.8125</v>
      </c>
      <c r="F268" t="s">
        <v>33</v>
      </c>
      <c r="G268" t="s">
        <v>37</v>
      </c>
      <c r="H268">
        <v>1</v>
      </c>
      <c r="I268">
        <v>0</v>
      </c>
      <c r="J268" t="s">
        <v>34</v>
      </c>
      <c r="K268">
        <v>333</v>
      </c>
      <c r="L268">
        <v>34</v>
      </c>
      <c r="M268">
        <v>209</v>
      </c>
      <c r="N268">
        <v>35</v>
      </c>
      <c r="O268">
        <v>36</v>
      </c>
      <c r="P268">
        <v>235</v>
      </c>
      <c r="Q268">
        <v>317</v>
      </c>
      <c r="R268">
        <v>339</v>
      </c>
      <c r="S268">
        <v>216</v>
      </c>
      <c r="T268" t="s">
        <v>31</v>
      </c>
      <c r="U268" t="s">
        <v>31</v>
      </c>
      <c r="V268" t="s">
        <v>31</v>
      </c>
      <c r="W268" t="s">
        <v>31</v>
      </c>
      <c r="X268" t="s">
        <v>31</v>
      </c>
      <c r="Y268" t="s">
        <v>31</v>
      </c>
    </row>
    <row r="269" spans="1:25" hidden="1">
      <c r="A269" t="s">
        <v>25</v>
      </c>
      <c r="B269" t="s">
        <v>26</v>
      </c>
      <c r="C269" t="s">
        <v>42</v>
      </c>
      <c r="D269" s="1">
        <v>41612</v>
      </c>
      <c r="E269" s="2">
        <v>0.8125</v>
      </c>
      <c r="F269" t="s">
        <v>38</v>
      </c>
      <c r="G269" t="s">
        <v>35</v>
      </c>
      <c r="H269">
        <v>2</v>
      </c>
      <c r="I269">
        <v>0</v>
      </c>
      <c r="J269" t="s">
        <v>34</v>
      </c>
      <c r="K269">
        <v>369</v>
      </c>
      <c r="L269">
        <v>347</v>
      </c>
      <c r="M269">
        <v>195</v>
      </c>
      <c r="N269">
        <v>397</v>
      </c>
      <c r="O269">
        <v>365</v>
      </c>
      <c r="P269">
        <v>24</v>
      </c>
      <c r="Q269">
        <v>35</v>
      </c>
      <c r="R269">
        <v>342</v>
      </c>
      <c r="S269">
        <v>202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</row>
    <row r="270" spans="1:25" hidden="1">
      <c r="A270" t="s">
        <v>25</v>
      </c>
      <c r="B270" t="s">
        <v>26</v>
      </c>
      <c r="C270" t="s">
        <v>42</v>
      </c>
      <c r="D270" s="1">
        <v>41612</v>
      </c>
      <c r="E270" s="2">
        <v>0.8125</v>
      </c>
      <c r="F270" t="s">
        <v>36</v>
      </c>
      <c r="G270" t="s">
        <v>43</v>
      </c>
      <c r="H270">
        <v>5</v>
      </c>
      <c r="I270">
        <v>3</v>
      </c>
      <c r="J270" t="s">
        <v>34</v>
      </c>
      <c r="K270">
        <v>313</v>
      </c>
      <c r="L270">
        <v>361</v>
      </c>
      <c r="M270">
        <v>211</v>
      </c>
      <c r="N270">
        <v>34</v>
      </c>
      <c r="O270">
        <v>38</v>
      </c>
      <c r="P270">
        <v>24</v>
      </c>
      <c r="Q270">
        <v>31</v>
      </c>
      <c r="R270">
        <v>338</v>
      </c>
      <c r="S270">
        <v>22</v>
      </c>
      <c r="T270" t="s">
        <v>31</v>
      </c>
      <c r="U270" t="s">
        <v>31</v>
      </c>
      <c r="V270" t="s">
        <v>31</v>
      </c>
      <c r="W270" t="s">
        <v>31</v>
      </c>
      <c r="X270" t="s">
        <v>31</v>
      </c>
      <c r="Y270" t="s">
        <v>31</v>
      </c>
    </row>
    <row r="271" spans="1:25" hidden="1">
      <c r="A271" t="s">
        <v>25</v>
      </c>
      <c r="B271" t="s">
        <v>26</v>
      </c>
      <c r="C271" t="s">
        <v>42</v>
      </c>
      <c r="D271" s="1">
        <v>41615</v>
      </c>
      <c r="E271" s="2">
        <v>0.75</v>
      </c>
      <c r="F271" t="s">
        <v>40</v>
      </c>
      <c r="G271" t="s">
        <v>37</v>
      </c>
      <c r="H271">
        <v>2</v>
      </c>
      <c r="I271">
        <v>2</v>
      </c>
      <c r="J271" t="s">
        <v>41</v>
      </c>
      <c r="K271">
        <v>152</v>
      </c>
      <c r="L271">
        <v>459</v>
      </c>
      <c r="M271">
        <v>675</v>
      </c>
      <c r="N271">
        <v>155</v>
      </c>
      <c r="O271">
        <v>51</v>
      </c>
      <c r="P271">
        <v>7</v>
      </c>
      <c r="Q271">
        <v>149</v>
      </c>
      <c r="R271">
        <v>41</v>
      </c>
      <c r="S271">
        <v>64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</row>
    <row r="272" spans="1:25" hidden="1">
      <c r="A272" t="s">
        <v>25</v>
      </c>
      <c r="B272" t="s">
        <v>26</v>
      </c>
      <c r="C272" t="s">
        <v>42</v>
      </c>
      <c r="D272" s="1">
        <v>41615</v>
      </c>
      <c r="E272" s="2">
        <v>0.75</v>
      </c>
      <c r="F272" t="s">
        <v>43</v>
      </c>
      <c r="G272" t="s">
        <v>38</v>
      </c>
      <c r="H272">
        <v>3</v>
      </c>
      <c r="I272">
        <v>0</v>
      </c>
      <c r="J272" t="s">
        <v>34</v>
      </c>
      <c r="K272">
        <v>278</v>
      </c>
      <c r="L272">
        <v>356</v>
      </c>
      <c r="M272">
        <v>26</v>
      </c>
      <c r="N272">
        <v>3</v>
      </c>
      <c r="O272">
        <v>357</v>
      </c>
      <c r="P272">
        <v>265</v>
      </c>
      <c r="Q272">
        <v>271</v>
      </c>
      <c r="R272">
        <v>336</v>
      </c>
      <c r="S272">
        <v>246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</row>
    <row r="273" spans="1:25" hidden="1">
      <c r="A273" t="s">
        <v>25</v>
      </c>
      <c r="B273" t="s">
        <v>26</v>
      </c>
      <c r="C273" t="s">
        <v>42</v>
      </c>
      <c r="D273" s="1">
        <v>41615</v>
      </c>
      <c r="E273" s="2">
        <v>0.75</v>
      </c>
      <c r="F273" t="s">
        <v>36</v>
      </c>
      <c r="G273" t="s">
        <v>28</v>
      </c>
      <c r="H273">
        <v>0</v>
      </c>
      <c r="I273">
        <v>1</v>
      </c>
      <c r="J273" t="s">
        <v>30</v>
      </c>
      <c r="K273">
        <v>261</v>
      </c>
      <c r="L273">
        <v>33</v>
      </c>
      <c r="M273">
        <v>295</v>
      </c>
      <c r="N273">
        <v>29</v>
      </c>
      <c r="O273">
        <v>34</v>
      </c>
      <c r="P273">
        <v>295</v>
      </c>
      <c r="Q273">
        <v>255</v>
      </c>
      <c r="R273">
        <v>325</v>
      </c>
      <c r="S273">
        <v>268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 t="s">
        <v>31</v>
      </c>
    </row>
    <row r="274" spans="1:25" hidden="1">
      <c r="A274" t="s">
        <v>25</v>
      </c>
      <c r="B274" t="s">
        <v>26</v>
      </c>
      <c r="C274" t="s">
        <v>42</v>
      </c>
      <c r="D274" s="1">
        <v>41616</v>
      </c>
      <c r="E274" s="2">
        <v>0.64583333333333337</v>
      </c>
      <c r="F274" t="s">
        <v>39</v>
      </c>
      <c r="G274" t="s">
        <v>35</v>
      </c>
      <c r="H274">
        <v>2</v>
      </c>
      <c r="I274">
        <v>1</v>
      </c>
      <c r="J274" t="s">
        <v>34</v>
      </c>
      <c r="K274">
        <v>374</v>
      </c>
      <c r="L274">
        <v>36</v>
      </c>
      <c r="M274">
        <v>209</v>
      </c>
      <c r="N274">
        <v>374</v>
      </c>
      <c r="O274">
        <v>365</v>
      </c>
      <c r="P274">
        <v>22</v>
      </c>
      <c r="Q274">
        <v>339</v>
      </c>
      <c r="R274">
        <v>339</v>
      </c>
      <c r="S274">
        <v>207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 t="s">
        <v>31</v>
      </c>
    </row>
    <row r="275" spans="1:25" hidden="1">
      <c r="A275" t="s">
        <v>25</v>
      </c>
      <c r="B275" t="s">
        <v>26</v>
      </c>
      <c r="C275" t="s">
        <v>42</v>
      </c>
      <c r="D275" s="1">
        <v>41619</v>
      </c>
      <c r="E275" s="2">
        <v>0.72916666666666663</v>
      </c>
      <c r="F275" t="s">
        <v>39</v>
      </c>
      <c r="G275" t="s">
        <v>28</v>
      </c>
      <c r="H275">
        <v>2</v>
      </c>
      <c r="I275">
        <v>1</v>
      </c>
      <c r="J275" t="s">
        <v>34</v>
      </c>
      <c r="K275">
        <v>248</v>
      </c>
      <c r="L275">
        <v>336</v>
      </c>
      <c r="M275">
        <v>308</v>
      </c>
      <c r="N275">
        <v>248</v>
      </c>
      <c r="O275">
        <v>342</v>
      </c>
      <c r="P275">
        <v>34</v>
      </c>
      <c r="Q275">
        <v>235</v>
      </c>
      <c r="R275">
        <v>324</v>
      </c>
      <c r="S275">
        <v>297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</row>
    <row r="276" spans="1:25" hidden="1">
      <c r="A276" t="s">
        <v>25</v>
      </c>
      <c r="B276" t="s">
        <v>26</v>
      </c>
      <c r="C276" t="s">
        <v>42</v>
      </c>
      <c r="D276" s="1">
        <v>41622</v>
      </c>
      <c r="E276" s="2">
        <v>0.64583333333333337</v>
      </c>
      <c r="F276" t="s">
        <v>37</v>
      </c>
      <c r="G276" t="s">
        <v>36</v>
      </c>
      <c r="H276">
        <v>3</v>
      </c>
      <c r="I276">
        <v>0</v>
      </c>
      <c r="J276" t="s">
        <v>34</v>
      </c>
      <c r="K276">
        <v>18</v>
      </c>
      <c r="L276">
        <v>4</v>
      </c>
      <c r="M276">
        <v>454</v>
      </c>
      <c r="N276">
        <v>2</v>
      </c>
      <c r="O276">
        <v>4</v>
      </c>
      <c r="P276">
        <v>455</v>
      </c>
      <c r="Q276">
        <v>182</v>
      </c>
      <c r="R276">
        <v>36</v>
      </c>
      <c r="S276">
        <v>412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 t="s">
        <v>31</v>
      </c>
    </row>
    <row r="277" spans="1:25" hidden="1">
      <c r="A277" t="s">
        <v>25</v>
      </c>
      <c r="B277" t="s">
        <v>26</v>
      </c>
      <c r="C277" t="s">
        <v>42</v>
      </c>
      <c r="D277" s="1">
        <v>41622</v>
      </c>
      <c r="E277" s="2">
        <v>0.75</v>
      </c>
      <c r="F277" t="s">
        <v>38</v>
      </c>
      <c r="G277" t="s">
        <v>39</v>
      </c>
      <c r="H277">
        <v>1</v>
      </c>
      <c r="I277">
        <v>3</v>
      </c>
      <c r="J277" t="s">
        <v>30</v>
      </c>
      <c r="K277">
        <v>231</v>
      </c>
      <c r="L277">
        <v>34</v>
      </c>
      <c r="M277">
        <v>336</v>
      </c>
      <c r="N277">
        <v>232</v>
      </c>
      <c r="O277">
        <v>375</v>
      </c>
      <c r="P277">
        <v>41</v>
      </c>
      <c r="Q277">
        <v>205</v>
      </c>
      <c r="R277">
        <v>339</v>
      </c>
      <c r="S277">
        <v>352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</row>
    <row r="278" spans="1:25" hidden="1">
      <c r="A278" t="s">
        <v>25</v>
      </c>
      <c r="B278" t="s">
        <v>26</v>
      </c>
      <c r="C278" t="s">
        <v>42</v>
      </c>
      <c r="D278" s="1">
        <v>41622</v>
      </c>
      <c r="E278" s="2">
        <v>0.75</v>
      </c>
      <c r="F278" t="s">
        <v>28</v>
      </c>
      <c r="G278" t="s">
        <v>43</v>
      </c>
      <c r="H278">
        <v>2</v>
      </c>
      <c r="I278">
        <v>2</v>
      </c>
      <c r="J278" t="s">
        <v>41</v>
      </c>
      <c r="K278">
        <v>247</v>
      </c>
      <c r="L278">
        <v>341</v>
      </c>
      <c r="M278">
        <v>305</v>
      </c>
      <c r="N278">
        <v>247</v>
      </c>
      <c r="O278">
        <v>35</v>
      </c>
      <c r="P278">
        <v>325</v>
      </c>
      <c r="Q278">
        <v>231</v>
      </c>
      <c r="R278">
        <v>327</v>
      </c>
      <c r="S278">
        <v>3</v>
      </c>
      <c r="T278" t="s">
        <v>31</v>
      </c>
      <c r="U278" t="s">
        <v>31</v>
      </c>
      <c r="V278" t="s">
        <v>31</v>
      </c>
      <c r="W278" t="s">
        <v>31</v>
      </c>
      <c r="X278" t="s">
        <v>31</v>
      </c>
      <c r="Y278" t="s">
        <v>31</v>
      </c>
    </row>
    <row r="279" spans="1:25" hidden="1">
      <c r="A279" t="s">
        <v>25</v>
      </c>
      <c r="B279" t="s">
        <v>26</v>
      </c>
      <c r="C279" t="s">
        <v>42</v>
      </c>
      <c r="D279" s="1">
        <v>41623</v>
      </c>
      <c r="E279" s="2">
        <v>0.64583333333333337</v>
      </c>
      <c r="F279" t="s">
        <v>29</v>
      </c>
      <c r="G279" t="s">
        <v>40</v>
      </c>
      <c r="H279">
        <v>4</v>
      </c>
      <c r="I279">
        <v>0</v>
      </c>
      <c r="J279" t="s">
        <v>34</v>
      </c>
      <c r="K279">
        <v>14</v>
      </c>
      <c r="L279">
        <v>521</v>
      </c>
      <c r="M279">
        <v>846</v>
      </c>
      <c r="N279">
        <v>145</v>
      </c>
      <c r="O279">
        <v>57</v>
      </c>
      <c r="P279">
        <v>875</v>
      </c>
      <c r="Q279">
        <v>137</v>
      </c>
      <c r="R279">
        <v>492</v>
      </c>
      <c r="S279">
        <v>755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31</v>
      </c>
    </row>
    <row r="280" spans="1:25" hidden="1">
      <c r="A280" t="s">
        <v>25</v>
      </c>
      <c r="B280" t="s">
        <v>26</v>
      </c>
      <c r="C280" t="s">
        <v>42</v>
      </c>
      <c r="D280" s="1">
        <v>41623</v>
      </c>
      <c r="E280" s="2">
        <v>0.75</v>
      </c>
      <c r="F280" t="s">
        <v>35</v>
      </c>
      <c r="G280" t="s">
        <v>33</v>
      </c>
      <c r="H280">
        <v>0</v>
      </c>
      <c r="I280">
        <v>0</v>
      </c>
      <c r="J280" t="s">
        <v>41</v>
      </c>
      <c r="K280">
        <v>132</v>
      </c>
      <c r="L280">
        <v>559</v>
      </c>
      <c r="M280">
        <v>1133</v>
      </c>
      <c r="N280">
        <v>135</v>
      </c>
      <c r="O280">
        <v>6</v>
      </c>
      <c r="P280">
        <v>115</v>
      </c>
      <c r="Q280">
        <v>129</v>
      </c>
      <c r="R280">
        <v>532</v>
      </c>
      <c r="S280">
        <v>977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 t="s">
        <v>31</v>
      </c>
    </row>
    <row r="281" spans="1:25" hidden="1">
      <c r="A281" t="s">
        <v>25</v>
      </c>
      <c r="B281" t="s">
        <v>26</v>
      </c>
      <c r="C281" t="s">
        <v>42</v>
      </c>
      <c r="D281" s="1">
        <v>41625</v>
      </c>
      <c r="E281" s="2">
        <v>0.8125</v>
      </c>
      <c r="F281" t="s">
        <v>43</v>
      </c>
      <c r="G281" t="s">
        <v>37</v>
      </c>
      <c r="H281">
        <v>2</v>
      </c>
      <c r="I281">
        <v>1</v>
      </c>
      <c r="J281" t="s">
        <v>34</v>
      </c>
      <c r="K281">
        <v>197</v>
      </c>
      <c r="L281">
        <v>368</v>
      </c>
      <c r="M281">
        <v>342</v>
      </c>
      <c r="N281">
        <v>205</v>
      </c>
      <c r="O281">
        <v>397</v>
      </c>
      <c r="P281">
        <v>39</v>
      </c>
      <c r="Q281">
        <v>195</v>
      </c>
      <c r="R281">
        <v>361</v>
      </c>
      <c r="S281">
        <v>356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31</v>
      </c>
    </row>
    <row r="282" spans="1:25" hidden="1">
      <c r="A282" t="s">
        <v>25</v>
      </c>
      <c r="B282" t="s">
        <v>26</v>
      </c>
      <c r="C282" t="s">
        <v>42</v>
      </c>
      <c r="D282" s="1">
        <v>41626</v>
      </c>
      <c r="E282" s="2">
        <v>0.8125</v>
      </c>
      <c r="F282" t="s">
        <v>40</v>
      </c>
      <c r="G282" t="s">
        <v>38</v>
      </c>
      <c r="H282">
        <v>1</v>
      </c>
      <c r="I282">
        <v>1</v>
      </c>
      <c r="J282" t="s">
        <v>41</v>
      </c>
      <c r="K282">
        <v>156</v>
      </c>
      <c r="L282">
        <v>464</v>
      </c>
      <c r="M282">
        <v>6</v>
      </c>
      <c r="N282">
        <v>167</v>
      </c>
      <c r="O282">
        <v>465</v>
      </c>
      <c r="P282">
        <v>625</v>
      </c>
      <c r="Q282">
        <v>156</v>
      </c>
      <c r="R282">
        <v>411</v>
      </c>
      <c r="S282">
        <v>539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31</v>
      </c>
    </row>
    <row r="283" spans="1:25" hidden="1">
      <c r="A283" t="s">
        <v>25</v>
      </c>
      <c r="B283" t="s">
        <v>26</v>
      </c>
      <c r="C283" t="s">
        <v>42</v>
      </c>
      <c r="D283" s="1">
        <v>41626</v>
      </c>
      <c r="E283" s="2">
        <v>0.8125</v>
      </c>
      <c r="F283" t="s">
        <v>33</v>
      </c>
      <c r="G283" t="s">
        <v>39</v>
      </c>
      <c r="H283">
        <v>1</v>
      </c>
      <c r="I283">
        <v>1</v>
      </c>
      <c r="J283" t="s">
        <v>41</v>
      </c>
      <c r="K283">
        <v>411</v>
      </c>
      <c r="L283">
        <v>374</v>
      </c>
      <c r="M283">
        <v>194</v>
      </c>
      <c r="N283">
        <v>433</v>
      </c>
      <c r="O283">
        <v>374</v>
      </c>
      <c r="P283">
        <v>21</v>
      </c>
      <c r="Q283">
        <v>386</v>
      </c>
      <c r="R283">
        <v>344</v>
      </c>
      <c r="S283">
        <v>191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</row>
    <row r="284" spans="1:25" hidden="1">
      <c r="A284" t="s">
        <v>25</v>
      </c>
      <c r="B284" t="s">
        <v>26</v>
      </c>
      <c r="C284" t="s">
        <v>42</v>
      </c>
      <c r="D284" s="1">
        <v>41626</v>
      </c>
      <c r="E284" s="2">
        <v>0.8125</v>
      </c>
      <c r="F284" t="s">
        <v>28</v>
      </c>
      <c r="G284" t="s">
        <v>35</v>
      </c>
      <c r="H284">
        <v>2</v>
      </c>
      <c r="I284">
        <v>0</v>
      </c>
      <c r="J284" t="s">
        <v>34</v>
      </c>
      <c r="K284">
        <v>337</v>
      </c>
      <c r="L284">
        <v>341</v>
      </c>
      <c r="M284">
        <v>229</v>
      </c>
      <c r="N284">
        <v>337</v>
      </c>
      <c r="O284">
        <v>345</v>
      </c>
      <c r="P284">
        <v>233</v>
      </c>
      <c r="Q284">
        <v>315</v>
      </c>
      <c r="R284">
        <v>324</v>
      </c>
      <c r="S284">
        <v>225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31</v>
      </c>
    </row>
    <row r="285" spans="1:25" hidden="1">
      <c r="A285" t="s">
        <v>25</v>
      </c>
      <c r="B285" t="s">
        <v>26</v>
      </c>
      <c r="C285" t="s">
        <v>42</v>
      </c>
      <c r="D285" s="1">
        <v>41626</v>
      </c>
      <c r="E285" s="2">
        <v>0.8125</v>
      </c>
      <c r="F285" t="s">
        <v>36</v>
      </c>
      <c r="G285" t="s">
        <v>29</v>
      </c>
      <c r="H285">
        <v>0</v>
      </c>
      <c r="I285">
        <v>1</v>
      </c>
      <c r="J285" t="s">
        <v>30</v>
      </c>
      <c r="K285">
        <v>137</v>
      </c>
      <c r="L285">
        <v>68</v>
      </c>
      <c r="M285">
        <v>124</v>
      </c>
      <c r="N285">
        <v>15</v>
      </c>
      <c r="O285">
        <v>7</v>
      </c>
      <c r="P285">
        <v>125</v>
      </c>
      <c r="Q285">
        <v>1156</v>
      </c>
      <c r="R285">
        <v>65</v>
      </c>
      <c r="S285">
        <v>121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31</v>
      </c>
    </row>
    <row r="286" spans="1:25" hidden="1">
      <c r="A286" t="s">
        <v>25</v>
      </c>
      <c r="B286" t="s">
        <v>26</v>
      </c>
      <c r="C286" t="s">
        <v>42</v>
      </c>
      <c r="D286" s="1">
        <v>41672</v>
      </c>
      <c r="E286" s="2">
        <v>0.54166666666666663</v>
      </c>
      <c r="F286" t="s">
        <v>33</v>
      </c>
      <c r="G286" t="s">
        <v>29</v>
      </c>
      <c r="H286">
        <v>1</v>
      </c>
      <c r="I286">
        <v>5</v>
      </c>
      <c r="J286" t="s">
        <v>30</v>
      </c>
      <c r="K286">
        <v>13</v>
      </c>
      <c r="L286">
        <v>688</v>
      </c>
      <c r="M286">
        <v>124</v>
      </c>
      <c r="N286">
        <v>17</v>
      </c>
      <c r="O286">
        <v>77</v>
      </c>
      <c r="P286">
        <v>124</v>
      </c>
      <c r="Q286">
        <v>1311</v>
      </c>
      <c r="R286">
        <v>662</v>
      </c>
      <c r="S286">
        <v>119</v>
      </c>
      <c r="T286" t="s">
        <v>31</v>
      </c>
      <c r="U286" t="s">
        <v>31</v>
      </c>
      <c r="V286" t="s">
        <v>31</v>
      </c>
      <c r="W286" t="s">
        <v>31</v>
      </c>
      <c r="X286" t="s">
        <v>31</v>
      </c>
      <c r="Y286" t="s">
        <v>31</v>
      </c>
    </row>
    <row r="287" spans="1:25" hidden="1">
      <c r="A287" t="s">
        <v>25</v>
      </c>
      <c r="B287" t="s">
        <v>26</v>
      </c>
      <c r="C287" t="s">
        <v>42</v>
      </c>
      <c r="D287" s="1">
        <v>41678</v>
      </c>
      <c r="E287" s="2">
        <v>0.64583333333333337</v>
      </c>
      <c r="F287" t="s">
        <v>29</v>
      </c>
      <c r="G287" t="s">
        <v>43</v>
      </c>
      <c r="H287">
        <v>6</v>
      </c>
      <c r="I287">
        <v>0</v>
      </c>
      <c r="J287" t="s">
        <v>34</v>
      </c>
      <c r="K287">
        <v>12</v>
      </c>
      <c r="L287">
        <v>75</v>
      </c>
      <c r="M287">
        <v>1591</v>
      </c>
      <c r="N287">
        <v>122</v>
      </c>
      <c r="O287">
        <v>81</v>
      </c>
      <c r="P287">
        <v>18</v>
      </c>
      <c r="Q287">
        <v>119</v>
      </c>
      <c r="R287">
        <v>69</v>
      </c>
      <c r="S287">
        <v>1278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31</v>
      </c>
    </row>
    <row r="288" spans="1:25" hidden="1">
      <c r="A288" t="s">
        <v>25</v>
      </c>
      <c r="B288" t="s">
        <v>26</v>
      </c>
      <c r="C288" t="s">
        <v>42</v>
      </c>
      <c r="D288" s="1">
        <v>41678</v>
      </c>
      <c r="E288" s="2">
        <v>0.75</v>
      </c>
      <c r="F288" t="s">
        <v>39</v>
      </c>
      <c r="G288" t="s">
        <v>36</v>
      </c>
      <c r="H288">
        <v>3</v>
      </c>
      <c r="I288">
        <v>2</v>
      </c>
      <c r="J288" t="s">
        <v>34</v>
      </c>
      <c r="K288">
        <v>191</v>
      </c>
      <c r="L288">
        <v>368</v>
      </c>
      <c r="M288">
        <v>435</v>
      </c>
      <c r="N288">
        <v>192</v>
      </c>
      <c r="O288">
        <v>375</v>
      </c>
      <c r="P288">
        <v>455</v>
      </c>
      <c r="Q288">
        <v>182</v>
      </c>
      <c r="R288">
        <v>351</v>
      </c>
      <c r="S288">
        <v>425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</row>
    <row r="289" spans="1:25" hidden="1">
      <c r="A289" t="s">
        <v>25</v>
      </c>
      <c r="B289" t="s">
        <v>26</v>
      </c>
      <c r="C289" t="s">
        <v>42</v>
      </c>
      <c r="D289" s="1">
        <v>41678</v>
      </c>
      <c r="E289" s="2">
        <v>0.75</v>
      </c>
      <c r="F289" t="s">
        <v>37</v>
      </c>
      <c r="G289" t="s">
        <v>28</v>
      </c>
      <c r="H289">
        <v>1</v>
      </c>
      <c r="I289">
        <v>1</v>
      </c>
      <c r="J289" t="s">
        <v>41</v>
      </c>
      <c r="K289">
        <v>234</v>
      </c>
      <c r="L289">
        <v>344</v>
      </c>
      <c r="M289">
        <v>325</v>
      </c>
      <c r="N289">
        <v>25</v>
      </c>
      <c r="O289">
        <v>35</v>
      </c>
      <c r="P289">
        <v>325</v>
      </c>
      <c r="Q289">
        <v>232</v>
      </c>
      <c r="R289">
        <v>327</v>
      </c>
      <c r="S289">
        <v>3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31</v>
      </c>
    </row>
    <row r="290" spans="1:25" hidden="1">
      <c r="A290" t="s">
        <v>25</v>
      </c>
      <c r="B290" t="s">
        <v>26</v>
      </c>
      <c r="C290" t="s">
        <v>42</v>
      </c>
      <c r="D290" s="1">
        <v>41678</v>
      </c>
      <c r="E290" s="2">
        <v>0.75</v>
      </c>
      <c r="F290" t="s">
        <v>38</v>
      </c>
      <c r="G290" t="s">
        <v>33</v>
      </c>
      <c r="H290">
        <v>2</v>
      </c>
      <c r="I290">
        <v>1</v>
      </c>
      <c r="J290" t="s">
        <v>34</v>
      </c>
      <c r="K290">
        <v>161</v>
      </c>
      <c r="L290">
        <v>417</v>
      </c>
      <c r="M290">
        <v>615</v>
      </c>
      <c r="N290">
        <v>165</v>
      </c>
      <c r="O290">
        <v>42</v>
      </c>
      <c r="P290">
        <v>615</v>
      </c>
      <c r="Q290">
        <v>156</v>
      </c>
      <c r="R290">
        <v>401</v>
      </c>
      <c r="S290">
        <v>558</v>
      </c>
      <c r="T290" t="s">
        <v>31</v>
      </c>
      <c r="U290" t="s">
        <v>31</v>
      </c>
      <c r="V290" t="s">
        <v>31</v>
      </c>
      <c r="W290" t="s">
        <v>31</v>
      </c>
      <c r="X290" t="s">
        <v>31</v>
      </c>
      <c r="Y290" t="s">
        <v>31</v>
      </c>
    </row>
    <row r="291" spans="1:25" hidden="1">
      <c r="A291" t="s">
        <v>25</v>
      </c>
      <c r="B291" t="s">
        <v>26</v>
      </c>
      <c r="C291" t="s">
        <v>42</v>
      </c>
      <c r="D291" s="1">
        <v>41679</v>
      </c>
      <c r="E291" s="2">
        <v>0.64583333333333337</v>
      </c>
      <c r="F291" t="s">
        <v>35</v>
      </c>
      <c r="G291" t="s">
        <v>40</v>
      </c>
      <c r="H291">
        <v>3</v>
      </c>
      <c r="I291">
        <v>1</v>
      </c>
      <c r="J291" t="s">
        <v>34</v>
      </c>
      <c r="K291">
        <v>263</v>
      </c>
      <c r="L291">
        <v>351</v>
      </c>
      <c r="M291">
        <v>278</v>
      </c>
      <c r="N291">
        <v>268</v>
      </c>
      <c r="O291">
        <v>351</v>
      </c>
      <c r="P291">
        <v>29</v>
      </c>
      <c r="Q291">
        <v>247</v>
      </c>
      <c r="R291">
        <v>327</v>
      </c>
      <c r="S291">
        <v>276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 t="s">
        <v>31</v>
      </c>
    </row>
    <row r="292" spans="1:25" hidden="1">
      <c r="A292" t="s">
        <v>25</v>
      </c>
      <c r="B292" t="s">
        <v>26</v>
      </c>
      <c r="C292" t="s">
        <v>42</v>
      </c>
      <c r="D292" s="1">
        <v>41685</v>
      </c>
      <c r="E292" s="2">
        <v>0.64583333333333337</v>
      </c>
      <c r="F292" t="s">
        <v>28</v>
      </c>
      <c r="G292" t="s">
        <v>29</v>
      </c>
      <c r="H292">
        <v>1</v>
      </c>
      <c r="I292">
        <v>4</v>
      </c>
      <c r="J292" t="s">
        <v>30</v>
      </c>
      <c r="K292">
        <v>641</v>
      </c>
      <c r="L292">
        <v>474</v>
      </c>
      <c r="M292">
        <v>152</v>
      </c>
      <c r="N292">
        <v>8</v>
      </c>
      <c r="O292">
        <v>5</v>
      </c>
      <c r="P292">
        <v>154</v>
      </c>
      <c r="Q292">
        <v>673</v>
      </c>
      <c r="R292">
        <v>446</v>
      </c>
      <c r="S292">
        <v>144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  <c r="Y292" t="s">
        <v>31</v>
      </c>
    </row>
    <row r="293" spans="1:25" hidden="1">
      <c r="A293" t="s">
        <v>25</v>
      </c>
      <c r="B293" t="s">
        <v>26</v>
      </c>
      <c r="C293" t="s">
        <v>42</v>
      </c>
      <c r="D293" s="1">
        <v>41685</v>
      </c>
      <c r="E293" s="2">
        <v>0.75</v>
      </c>
      <c r="F293" t="s">
        <v>40</v>
      </c>
      <c r="G293" t="s">
        <v>33</v>
      </c>
      <c r="H293">
        <v>1</v>
      </c>
      <c r="I293">
        <v>1</v>
      </c>
      <c r="J293" t="s">
        <v>41</v>
      </c>
      <c r="K293">
        <v>142</v>
      </c>
      <c r="L293">
        <v>514</v>
      </c>
      <c r="M293">
        <v>782</v>
      </c>
      <c r="N293">
        <v>144</v>
      </c>
      <c r="O293">
        <v>514</v>
      </c>
      <c r="P293">
        <v>9</v>
      </c>
      <c r="Q293">
        <v>138</v>
      </c>
      <c r="R293">
        <v>466</v>
      </c>
      <c r="S293">
        <v>767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 t="s">
        <v>31</v>
      </c>
    </row>
    <row r="294" spans="1:25" hidden="1">
      <c r="A294" t="s">
        <v>25</v>
      </c>
      <c r="B294" t="s">
        <v>26</v>
      </c>
      <c r="C294" t="s">
        <v>42</v>
      </c>
      <c r="D294" s="1">
        <v>41685</v>
      </c>
      <c r="E294" s="2">
        <v>0.75</v>
      </c>
      <c r="F294" t="s">
        <v>43</v>
      </c>
      <c r="G294" t="s">
        <v>39</v>
      </c>
      <c r="H294">
        <v>3</v>
      </c>
      <c r="I294">
        <v>0</v>
      </c>
      <c r="J294" t="s">
        <v>34</v>
      </c>
      <c r="K294">
        <v>202</v>
      </c>
      <c r="L294">
        <v>379</v>
      </c>
      <c r="M294">
        <v>375</v>
      </c>
      <c r="N294">
        <v>22</v>
      </c>
      <c r="O294">
        <v>379</v>
      </c>
      <c r="P294">
        <v>375</v>
      </c>
      <c r="Q294">
        <v>204</v>
      </c>
      <c r="R294">
        <v>348</v>
      </c>
      <c r="S294">
        <v>342</v>
      </c>
      <c r="T294" t="s">
        <v>31</v>
      </c>
      <c r="U294" t="s">
        <v>31</v>
      </c>
      <c r="V294" t="s">
        <v>31</v>
      </c>
      <c r="W294" t="s">
        <v>31</v>
      </c>
      <c r="X294" t="s">
        <v>31</v>
      </c>
      <c r="Y294" t="s">
        <v>31</v>
      </c>
    </row>
    <row r="295" spans="1:25" hidden="1">
      <c r="A295" t="s">
        <v>25</v>
      </c>
      <c r="B295" t="s">
        <v>26</v>
      </c>
      <c r="C295" t="s">
        <v>42</v>
      </c>
      <c r="D295" s="1">
        <v>41685</v>
      </c>
      <c r="E295" s="2">
        <v>0.75</v>
      </c>
      <c r="F295" t="s">
        <v>36</v>
      </c>
      <c r="G295" t="s">
        <v>38</v>
      </c>
      <c r="H295">
        <v>1</v>
      </c>
      <c r="I295">
        <v>1</v>
      </c>
      <c r="J295" t="s">
        <v>41</v>
      </c>
      <c r="K295">
        <v>24</v>
      </c>
      <c r="L295">
        <v>345</v>
      </c>
      <c r="M295">
        <v>314</v>
      </c>
      <c r="N295">
        <v>265</v>
      </c>
      <c r="O295">
        <v>35</v>
      </c>
      <c r="P295">
        <v>325</v>
      </c>
      <c r="Q295">
        <v>243</v>
      </c>
      <c r="R295">
        <v>324</v>
      </c>
      <c r="S295">
        <v>285</v>
      </c>
      <c r="T295" t="s">
        <v>31</v>
      </c>
      <c r="U295" t="s">
        <v>31</v>
      </c>
      <c r="V295" t="s">
        <v>31</v>
      </c>
      <c r="W295" t="s">
        <v>31</v>
      </c>
      <c r="X295" t="s">
        <v>31</v>
      </c>
      <c r="Y295" t="s">
        <v>31</v>
      </c>
    </row>
    <row r="296" spans="1:25" hidden="1">
      <c r="A296" t="s">
        <v>25</v>
      </c>
      <c r="B296" t="s">
        <v>26</v>
      </c>
      <c r="C296" t="s">
        <v>42</v>
      </c>
      <c r="D296" s="1">
        <v>41686</v>
      </c>
      <c r="E296" s="2">
        <v>0.66666666666666663</v>
      </c>
      <c r="F296" t="s">
        <v>37</v>
      </c>
      <c r="G296" t="s">
        <v>35</v>
      </c>
      <c r="H296">
        <v>2</v>
      </c>
      <c r="I296">
        <v>1</v>
      </c>
      <c r="J296" t="s">
        <v>34</v>
      </c>
      <c r="K296">
        <v>336</v>
      </c>
      <c r="L296">
        <v>352</v>
      </c>
      <c r="M296">
        <v>224</v>
      </c>
      <c r="N296">
        <v>36</v>
      </c>
      <c r="O296">
        <v>352</v>
      </c>
      <c r="P296">
        <v>232</v>
      </c>
      <c r="Q296">
        <v>323</v>
      </c>
      <c r="R296">
        <v>327</v>
      </c>
      <c r="S296">
        <v>219</v>
      </c>
      <c r="T296" t="s">
        <v>31</v>
      </c>
      <c r="U296" t="s">
        <v>31</v>
      </c>
      <c r="V296" t="s">
        <v>31</v>
      </c>
      <c r="W296" t="s">
        <v>31</v>
      </c>
      <c r="X296" t="s">
        <v>31</v>
      </c>
      <c r="Y296" t="s">
        <v>31</v>
      </c>
    </row>
    <row r="297" spans="1:25" hidden="1">
      <c r="A297" t="s">
        <v>25</v>
      </c>
      <c r="B297" t="s">
        <v>26</v>
      </c>
      <c r="C297" t="s">
        <v>42</v>
      </c>
      <c r="D297" s="1">
        <v>41692</v>
      </c>
      <c r="E297" s="2">
        <v>0.64583333333333337</v>
      </c>
      <c r="F297" t="s">
        <v>38</v>
      </c>
      <c r="G297" t="s">
        <v>28</v>
      </c>
      <c r="H297">
        <v>2</v>
      </c>
      <c r="I297">
        <v>2</v>
      </c>
      <c r="J297" t="s">
        <v>41</v>
      </c>
      <c r="K297">
        <v>252</v>
      </c>
      <c r="L297">
        <v>332</v>
      </c>
      <c r="M297">
        <v>305</v>
      </c>
      <c r="N297">
        <v>252</v>
      </c>
      <c r="O297">
        <v>345</v>
      </c>
      <c r="P297">
        <v>33</v>
      </c>
      <c r="Q297">
        <v>235</v>
      </c>
      <c r="R297">
        <v>321</v>
      </c>
      <c r="S297">
        <v>299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</row>
    <row r="298" spans="1:25" hidden="1">
      <c r="A298" t="s">
        <v>25</v>
      </c>
      <c r="B298" t="s">
        <v>26</v>
      </c>
      <c r="C298" t="s">
        <v>42</v>
      </c>
      <c r="D298" s="1">
        <v>41692</v>
      </c>
      <c r="E298" s="2">
        <v>0.75</v>
      </c>
      <c r="F298" t="s">
        <v>39</v>
      </c>
      <c r="G298" t="s">
        <v>40</v>
      </c>
      <c r="H298">
        <v>0</v>
      </c>
      <c r="I298">
        <v>0</v>
      </c>
      <c r="J298" t="s">
        <v>41</v>
      </c>
      <c r="K298">
        <v>301</v>
      </c>
      <c r="L298">
        <v>351</v>
      </c>
      <c r="M298">
        <v>246</v>
      </c>
      <c r="N298">
        <v>34</v>
      </c>
      <c r="O298">
        <v>36</v>
      </c>
      <c r="P298">
        <v>246</v>
      </c>
      <c r="Q298">
        <v>306</v>
      </c>
      <c r="R298">
        <v>329</v>
      </c>
      <c r="S298">
        <v>227</v>
      </c>
      <c r="T298" t="s">
        <v>31</v>
      </c>
      <c r="U298" t="s">
        <v>31</v>
      </c>
      <c r="V298" t="s">
        <v>31</v>
      </c>
      <c r="W298" t="s">
        <v>31</v>
      </c>
      <c r="X298" t="s">
        <v>31</v>
      </c>
      <c r="Y298" t="s">
        <v>31</v>
      </c>
    </row>
    <row r="299" spans="1:25" hidden="1">
      <c r="A299" t="s">
        <v>25</v>
      </c>
      <c r="B299" t="s">
        <v>26</v>
      </c>
      <c r="C299" t="s">
        <v>42</v>
      </c>
      <c r="D299" s="1">
        <v>41692</v>
      </c>
      <c r="E299" s="2">
        <v>0.75</v>
      </c>
      <c r="F299" t="s">
        <v>33</v>
      </c>
      <c r="G299" t="s">
        <v>36</v>
      </c>
      <c r="H299">
        <v>1</v>
      </c>
      <c r="I299">
        <v>0</v>
      </c>
      <c r="J299" t="s">
        <v>34</v>
      </c>
      <c r="K299">
        <v>237</v>
      </c>
      <c r="L299">
        <v>34</v>
      </c>
      <c r="M299">
        <v>324</v>
      </c>
      <c r="N299">
        <v>238</v>
      </c>
      <c r="O299">
        <v>355</v>
      </c>
      <c r="P299">
        <v>325</v>
      </c>
      <c r="Q299">
        <v>229</v>
      </c>
      <c r="R299">
        <v>326</v>
      </c>
      <c r="S299">
        <v>304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31</v>
      </c>
    </row>
    <row r="300" spans="1:25" hidden="1">
      <c r="A300" t="s">
        <v>25</v>
      </c>
      <c r="B300" t="s">
        <v>26</v>
      </c>
      <c r="C300" t="s">
        <v>42</v>
      </c>
      <c r="D300" s="1">
        <v>41692</v>
      </c>
      <c r="E300" s="2">
        <v>0.75</v>
      </c>
      <c r="F300" t="s">
        <v>35</v>
      </c>
      <c r="G300" t="s">
        <v>43</v>
      </c>
      <c r="H300">
        <v>0</v>
      </c>
      <c r="I300">
        <v>0</v>
      </c>
      <c r="J300" t="s">
        <v>41</v>
      </c>
      <c r="K300">
        <v>181</v>
      </c>
      <c r="L300">
        <v>38</v>
      </c>
      <c r="M300">
        <v>478</v>
      </c>
      <c r="N300">
        <v>183</v>
      </c>
      <c r="O300">
        <v>4</v>
      </c>
      <c r="P300">
        <v>478</v>
      </c>
      <c r="Q300">
        <v>176</v>
      </c>
      <c r="R300">
        <v>365</v>
      </c>
      <c r="S300">
        <v>437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  <c r="Y300" t="s">
        <v>31</v>
      </c>
    </row>
    <row r="301" spans="1:25" hidden="1">
      <c r="A301" t="s">
        <v>25</v>
      </c>
      <c r="B301" t="s">
        <v>26</v>
      </c>
      <c r="C301" t="s">
        <v>42</v>
      </c>
      <c r="D301" s="1">
        <v>41693</v>
      </c>
      <c r="E301" s="2">
        <v>0.64583333333333337</v>
      </c>
      <c r="F301" t="s">
        <v>29</v>
      </c>
      <c r="G301" t="s">
        <v>37</v>
      </c>
      <c r="H301">
        <v>6</v>
      </c>
      <c r="I301">
        <v>1</v>
      </c>
      <c r="J301" t="s">
        <v>34</v>
      </c>
      <c r="K301">
        <v>119</v>
      </c>
      <c r="L301">
        <v>789</v>
      </c>
      <c r="M301">
        <v>1763</v>
      </c>
      <c r="N301">
        <v>119</v>
      </c>
      <c r="O301">
        <v>803</v>
      </c>
      <c r="P301">
        <v>19</v>
      </c>
      <c r="Q301">
        <v>115</v>
      </c>
      <c r="R301">
        <v>756</v>
      </c>
      <c r="S301">
        <v>1518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 t="s">
        <v>31</v>
      </c>
    </row>
    <row r="302" spans="1:25" hidden="1">
      <c r="A302" t="s">
        <v>25</v>
      </c>
      <c r="B302" t="s">
        <v>26</v>
      </c>
      <c r="C302" t="s">
        <v>42</v>
      </c>
      <c r="D302" s="1">
        <v>41699</v>
      </c>
      <c r="E302" s="2">
        <v>0.64583333333333337</v>
      </c>
      <c r="F302" t="s">
        <v>40</v>
      </c>
      <c r="G302" t="s">
        <v>36</v>
      </c>
      <c r="H302">
        <v>2</v>
      </c>
      <c r="I302">
        <v>1</v>
      </c>
      <c r="J302" t="s">
        <v>34</v>
      </c>
      <c r="K302">
        <v>147</v>
      </c>
      <c r="L302">
        <v>481</v>
      </c>
      <c r="M302">
        <v>724</v>
      </c>
      <c r="N302">
        <v>149</v>
      </c>
      <c r="O302">
        <v>481</v>
      </c>
      <c r="P302">
        <v>8</v>
      </c>
      <c r="Q302">
        <v>144</v>
      </c>
      <c r="R302">
        <v>437</v>
      </c>
      <c r="S302">
        <v>685</v>
      </c>
      <c r="T302" t="s">
        <v>31</v>
      </c>
      <c r="U302" t="s">
        <v>31</v>
      </c>
      <c r="V302" t="s">
        <v>31</v>
      </c>
      <c r="W302" t="s">
        <v>31</v>
      </c>
      <c r="X302" t="s">
        <v>31</v>
      </c>
      <c r="Y302" t="s">
        <v>31</v>
      </c>
    </row>
    <row r="303" spans="1:25" hidden="1">
      <c r="A303" t="s">
        <v>25</v>
      </c>
      <c r="B303" t="s">
        <v>26</v>
      </c>
      <c r="C303" t="s">
        <v>42</v>
      </c>
      <c r="D303" s="1">
        <v>41699</v>
      </c>
      <c r="E303" s="2">
        <v>0.75</v>
      </c>
      <c r="F303" t="s">
        <v>37</v>
      </c>
      <c r="G303" t="s">
        <v>38</v>
      </c>
      <c r="H303">
        <v>2</v>
      </c>
      <c r="I303">
        <v>2</v>
      </c>
      <c r="J303" t="s">
        <v>41</v>
      </c>
      <c r="K303">
        <v>211</v>
      </c>
      <c r="L303">
        <v>366</v>
      </c>
      <c r="M303">
        <v>362</v>
      </c>
      <c r="N303">
        <v>22</v>
      </c>
      <c r="O303">
        <v>366</v>
      </c>
      <c r="P303">
        <v>362</v>
      </c>
      <c r="Q303">
        <v>21</v>
      </c>
      <c r="R303">
        <v>338</v>
      </c>
      <c r="S303">
        <v>334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31</v>
      </c>
    </row>
    <row r="304" spans="1:25" hidden="1">
      <c r="A304" t="s">
        <v>25</v>
      </c>
      <c r="B304" t="s">
        <v>26</v>
      </c>
      <c r="C304" t="s">
        <v>42</v>
      </c>
      <c r="D304" s="1">
        <v>41699</v>
      </c>
      <c r="E304" s="2">
        <v>0.75</v>
      </c>
      <c r="F304" t="s">
        <v>43</v>
      </c>
      <c r="G304" t="s">
        <v>33</v>
      </c>
      <c r="H304">
        <v>1</v>
      </c>
      <c r="I304">
        <v>2</v>
      </c>
      <c r="J304" t="s">
        <v>30</v>
      </c>
      <c r="K304">
        <v>164</v>
      </c>
      <c r="L304">
        <v>422</v>
      </c>
      <c r="M304">
        <v>564</v>
      </c>
      <c r="N304">
        <v>164</v>
      </c>
      <c r="O304">
        <v>425</v>
      </c>
      <c r="P304">
        <v>61</v>
      </c>
      <c r="Q304">
        <v>157</v>
      </c>
      <c r="R304">
        <v>39</v>
      </c>
      <c r="S304">
        <v>557</v>
      </c>
      <c r="T304" t="s">
        <v>31</v>
      </c>
      <c r="U304" t="s">
        <v>31</v>
      </c>
      <c r="V304" t="s">
        <v>31</v>
      </c>
      <c r="W304" t="s">
        <v>31</v>
      </c>
      <c r="X304" t="s">
        <v>31</v>
      </c>
      <c r="Y304" t="s">
        <v>31</v>
      </c>
    </row>
    <row r="305" spans="1:25" hidden="1">
      <c r="A305" t="s">
        <v>25</v>
      </c>
      <c r="B305" t="s">
        <v>26</v>
      </c>
      <c r="C305" t="s">
        <v>42</v>
      </c>
      <c r="D305" s="1">
        <v>41699</v>
      </c>
      <c r="E305" s="2">
        <v>0.75</v>
      </c>
      <c r="F305" t="s">
        <v>28</v>
      </c>
      <c r="G305" t="s">
        <v>39</v>
      </c>
      <c r="H305">
        <v>1</v>
      </c>
      <c r="I305">
        <v>4</v>
      </c>
      <c r="J305" t="s">
        <v>30</v>
      </c>
      <c r="K305">
        <v>195</v>
      </c>
      <c r="L305">
        <v>36</v>
      </c>
      <c r="M305">
        <v>423</v>
      </c>
      <c r="N305">
        <v>204</v>
      </c>
      <c r="O305">
        <v>363</v>
      </c>
      <c r="P305">
        <v>423</v>
      </c>
      <c r="Q305">
        <v>194</v>
      </c>
      <c r="R305">
        <v>339</v>
      </c>
      <c r="S305">
        <v>384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</row>
    <row r="306" spans="1:25" hidden="1">
      <c r="A306" t="s">
        <v>25</v>
      </c>
      <c r="B306" t="s">
        <v>26</v>
      </c>
      <c r="C306" t="s">
        <v>42</v>
      </c>
      <c r="D306" s="1">
        <v>41700</v>
      </c>
      <c r="E306" s="2">
        <v>0.64583333333333337</v>
      </c>
      <c r="F306" t="s">
        <v>29</v>
      </c>
      <c r="G306" t="s">
        <v>35</v>
      </c>
      <c r="H306">
        <v>6</v>
      </c>
      <c r="I306">
        <v>3</v>
      </c>
      <c r="J306" t="s">
        <v>34</v>
      </c>
      <c r="K306">
        <v>128</v>
      </c>
      <c r="L306">
        <v>622</v>
      </c>
      <c r="M306">
        <v>123</v>
      </c>
      <c r="N306">
        <v>13</v>
      </c>
      <c r="O306">
        <v>64</v>
      </c>
      <c r="P306">
        <v>13</v>
      </c>
      <c r="Q306">
        <v>126</v>
      </c>
      <c r="R306">
        <v>574</v>
      </c>
      <c r="S306">
        <v>1025</v>
      </c>
      <c r="T306" t="s">
        <v>31</v>
      </c>
      <c r="U306" t="s">
        <v>31</v>
      </c>
      <c r="V306" t="s">
        <v>31</v>
      </c>
      <c r="W306" t="s">
        <v>31</v>
      </c>
      <c r="X306" t="s">
        <v>31</v>
      </c>
      <c r="Y306" t="s">
        <v>31</v>
      </c>
    </row>
    <row r="307" spans="1:25" hidden="1">
      <c r="A307" t="s">
        <v>25</v>
      </c>
      <c r="B307" t="s">
        <v>26</v>
      </c>
      <c r="C307" t="s">
        <v>42</v>
      </c>
      <c r="D307" s="1">
        <v>41706</v>
      </c>
      <c r="E307" s="2">
        <v>0.64583333333333337</v>
      </c>
      <c r="F307" t="s">
        <v>39</v>
      </c>
      <c r="G307" t="s">
        <v>37</v>
      </c>
      <c r="H307">
        <v>2</v>
      </c>
      <c r="I307">
        <v>3</v>
      </c>
      <c r="J307" t="s">
        <v>30</v>
      </c>
      <c r="K307">
        <v>213</v>
      </c>
      <c r="L307">
        <v>357</v>
      </c>
      <c r="M307">
        <v>362</v>
      </c>
      <c r="N307">
        <v>218</v>
      </c>
      <c r="O307">
        <v>36</v>
      </c>
      <c r="P307">
        <v>365</v>
      </c>
      <c r="Q307">
        <v>206</v>
      </c>
      <c r="R307">
        <v>336</v>
      </c>
      <c r="S307">
        <v>342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</row>
    <row r="308" spans="1:25" hidden="1">
      <c r="A308" t="s">
        <v>25</v>
      </c>
      <c r="B308" t="s">
        <v>26</v>
      </c>
      <c r="C308" t="s">
        <v>42</v>
      </c>
      <c r="D308" s="1">
        <v>41706</v>
      </c>
      <c r="E308" s="2">
        <v>0.75</v>
      </c>
      <c r="F308" t="s">
        <v>40</v>
      </c>
      <c r="G308" t="s">
        <v>43</v>
      </c>
      <c r="H308">
        <v>2</v>
      </c>
      <c r="I308">
        <v>0</v>
      </c>
      <c r="J308" t="s">
        <v>34</v>
      </c>
      <c r="K308">
        <v>176</v>
      </c>
      <c r="L308">
        <v>4</v>
      </c>
      <c r="M308">
        <v>487</v>
      </c>
      <c r="N308">
        <v>18</v>
      </c>
      <c r="O308">
        <v>4</v>
      </c>
      <c r="P308">
        <v>495</v>
      </c>
      <c r="Q308">
        <v>173</v>
      </c>
      <c r="R308">
        <v>372</v>
      </c>
      <c r="S308">
        <v>445</v>
      </c>
      <c r="T308" t="s">
        <v>31</v>
      </c>
      <c r="U308" t="s">
        <v>31</v>
      </c>
      <c r="V308" t="s">
        <v>31</v>
      </c>
      <c r="W308" t="s">
        <v>31</v>
      </c>
      <c r="X308" t="s">
        <v>31</v>
      </c>
      <c r="Y308" t="s">
        <v>31</v>
      </c>
    </row>
    <row r="309" spans="1:25" hidden="1">
      <c r="A309" t="s">
        <v>25</v>
      </c>
      <c r="B309" t="s">
        <v>26</v>
      </c>
      <c r="C309" t="s">
        <v>42</v>
      </c>
      <c r="D309" s="1">
        <v>41706</v>
      </c>
      <c r="E309" s="2">
        <v>0.75</v>
      </c>
      <c r="F309" t="s">
        <v>33</v>
      </c>
      <c r="G309" t="s">
        <v>28</v>
      </c>
      <c r="H309">
        <v>2</v>
      </c>
      <c r="I309">
        <v>1</v>
      </c>
      <c r="J309" t="s">
        <v>34</v>
      </c>
      <c r="K309">
        <v>295</v>
      </c>
      <c r="L309">
        <v>326</v>
      </c>
      <c r="M309">
        <v>264</v>
      </c>
      <c r="N309">
        <v>3</v>
      </c>
      <c r="O309">
        <v>36</v>
      </c>
      <c r="P309">
        <v>264</v>
      </c>
      <c r="Q309">
        <v>283</v>
      </c>
      <c r="R309">
        <v>317</v>
      </c>
      <c r="S309">
        <v>248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31</v>
      </c>
    </row>
    <row r="310" spans="1:25" hidden="1">
      <c r="A310" t="s">
        <v>25</v>
      </c>
      <c r="B310" t="s">
        <v>26</v>
      </c>
      <c r="C310" t="s">
        <v>42</v>
      </c>
      <c r="D310" s="1">
        <v>41706</v>
      </c>
      <c r="E310" s="2">
        <v>0.75</v>
      </c>
      <c r="F310" t="s">
        <v>38</v>
      </c>
      <c r="G310" t="s">
        <v>29</v>
      </c>
      <c r="H310">
        <v>1</v>
      </c>
      <c r="I310">
        <v>3</v>
      </c>
      <c r="J310" t="s">
        <v>30</v>
      </c>
      <c r="K310">
        <v>959</v>
      </c>
      <c r="L310">
        <v>552</v>
      </c>
      <c r="M310">
        <v>135</v>
      </c>
      <c r="N310">
        <v>10</v>
      </c>
      <c r="O310">
        <v>552</v>
      </c>
      <c r="P310">
        <v>137</v>
      </c>
      <c r="Q310">
        <v>844</v>
      </c>
      <c r="R310">
        <v>516</v>
      </c>
      <c r="S310">
        <v>132</v>
      </c>
      <c r="T310" t="s">
        <v>31</v>
      </c>
      <c r="U310" t="s">
        <v>31</v>
      </c>
      <c r="V310" t="s">
        <v>31</v>
      </c>
      <c r="W310" t="s">
        <v>31</v>
      </c>
      <c r="X310" t="s">
        <v>31</v>
      </c>
      <c r="Y310" t="s">
        <v>31</v>
      </c>
    </row>
    <row r="311" spans="1:25" hidden="1">
      <c r="A311" t="s">
        <v>25</v>
      </c>
      <c r="B311" t="s">
        <v>26</v>
      </c>
      <c r="C311" t="s">
        <v>42</v>
      </c>
      <c r="D311" s="1">
        <v>41707</v>
      </c>
      <c r="E311" s="2">
        <v>0.64583333333333337</v>
      </c>
      <c r="F311" t="s">
        <v>36</v>
      </c>
      <c r="G311" t="s">
        <v>35</v>
      </c>
      <c r="H311">
        <v>1</v>
      </c>
      <c r="I311">
        <v>1</v>
      </c>
      <c r="J311" t="s">
        <v>41</v>
      </c>
      <c r="K311">
        <v>398</v>
      </c>
      <c r="L311">
        <v>36</v>
      </c>
      <c r="M311">
        <v>202</v>
      </c>
      <c r="N311">
        <v>398</v>
      </c>
      <c r="O311">
        <v>36</v>
      </c>
      <c r="P311">
        <v>21</v>
      </c>
      <c r="Q311">
        <v>368</v>
      </c>
      <c r="R311">
        <v>337</v>
      </c>
      <c r="S311">
        <v>199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</row>
    <row r="312" spans="1:25" hidden="1">
      <c r="A312" t="s">
        <v>25</v>
      </c>
      <c r="B312" t="s">
        <v>26</v>
      </c>
      <c r="C312" t="s">
        <v>42</v>
      </c>
      <c r="D312" s="1">
        <v>41713</v>
      </c>
      <c r="E312" s="2">
        <v>0.64583333333333337</v>
      </c>
      <c r="F312" t="s">
        <v>43</v>
      </c>
      <c r="G312" t="s">
        <v>36</v>
      </c>
      <c r="H312">
        <v>1</v>
      </c>
      <c r="I312">
        <v>1</v>
      </c>
      <c r="J312" t="s">
        <v>41</v>
      </c>
      <c r="K312">
        <v>177</v>
      </c>
      <c r="L312">
        <v>393</v>
      </c>
      <c r="M312">
        <v>485</v>
      </c>
      <c r="N312">
        <v>18</v>
      </c>
      <c r="O312">
        <v>393</v>
      </c>
      <c r="P312">
        <v>5</v>
      </c>
      <c r="Q312">
        <v>172</v>
      </c>
      <c r="R312">
        <v>37</v>
      </c>
      <c r="S312">
        <v>457</v>
      </c>
      <c r="T312" t="s">
        <v>31</v>
      </c>
      <c r="U312" t="s">
        <v>31</v>
      </c>
      <c r="V312" t="s">
        <v>31</v>
      </c>
      <c r="W312" t="s">
        <v>31</v>
      </c>
      <c r="X312" t="s">
        <v>31</v>
      </c>
      <c r="Y312" t="s">
        <v>31</v>
      </c>
    </row>
    <row r="313" spans="1:25" hidden="1">
      <c r="A313" t="s">
        <v>25</v>
      </c>
      <c r="B313" t="s">
        <v>26</v>
      </c>
      <c r="C313" t="s">
        <v>42</v>
      </c>
      <c r="D313" s="1">
        <v>41713</v>
      </c>
      <c r="E313" s="2">
        <v>0.75</v>
      </c>
      <c r="F313" t="s">
        <v>37</v>
      </c>
      <c r="G313" t="s">
        <v>33</v>
      </c>
      <c r="H313">
        <v>3</v>
      </c>
      <c r="I313">
        <v>0</v>
      </c>
      <c r="J313" t="s">
        <v>34</v>
      </c>
      <c r="K313">
        <v>185</v>
      </c>
      <c r="L313">
        <v>38</v>
      </c>
      <c r="M313">
        <v>449</v>
      </c>
      <c r="N313">
        <v>19</v>
      </c>
      <c r="O313">
        <v>38</v>
      </c>
      <c r="P313">
        <v>45</v>
      </c>
      <c r="Q313">
        <v>182</v>
      </c>
      <c r="R313">
        <v>357</v>
      </c>
      <c r="S313">
        <v>412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</row>
    <row r="314" spans="1:25" hidden="1">
      <c r="A314" t="s">
        <v>25</v>
      </c>
      <c r="B314" t="s">
        <v>26</v>
      </c>
      <c r="C314" t="s">
        <v>42</v>
      </c>
      <c r="D314" s="1">
        <v>41713</v>
      </c>
      <c r="E314" s="2">
        <v>0.75</v>
      </c>
      <c r="F314" t="s">
        <v>35</v>
      </c>
      <c r="G314" t="s">
        <v>38</v>
      </c>
      <c r="H314">
        <v>1</v>
      </c>
      <c r="I314">
        <v>0</v>
      </c>
      <c r="J314" t="s">
        <v>34</v>
      </c>
      <c r="K314">
        <v>157</v>
      </c>
      <c r="L314">
        <v>435</v>
      </c>
      <c r="M314">
        <v>633</v>
      </c>
      <c r="N314">
        <v>17</v>
      </c>
      <c r="O314">
        <v>435</v>
      </c>
      <c r="P314">
        <v>633</v>
      </c>
      <c r="Q314">
        <v>158</v>
      </c>
      <c r="R314">
        <v>391</v>
      </c>
      <c r="S314">
        <v>551</v>
      </c>
      <c r="T314" t="s">
        <v>31</v>
      </c>
      <c r="U314" t="s">
        <v>31</v>
      </c>
      <c r="V314" t="s">
        <v>31</v>
      </c>
      <c r="W314" t="s">
        <v>31</v>
      </c>
      <c r="X314" t="s">
        <v>31</v>
      </c>
      <c r="Y314" t="s">
        <v>31</v>
      </c>
    </row>
    <row r="315" spans="1:25" hidden="1">
      <c r="A315" t="s">
        <v>25</v>
      </c>
      <c r="B315" t="s">
        <v>26</v>
      </c>
      <c r="C315" t="s">
        <v>42</v>
      </c>
      <c r="D315" s="1">
        <v>41713</v>
      </c>
      <c r="E315" s="2">
        <v>0.75</v>
      </c>
      <c r="F315" t="s">
        <v>28</v>
      </c>
      <c r="G315" t="s">
        <v>40</v>
      </c>
      <c r="H315">
        <v>1</v>
      </c>
      <c r="I315">
        <v>1</v>
      </c>
      <c r="J315" t="s">
        <v>41</v>
      </c>
      <c r="K315">
        <v>305</v>
      </c>
      <c r="L315">
        <v>347</v>
      </c>
      <c r="M315">
        <v>244</v>
      </c>
      <c r="N315">
        <v>31</v>
      </c>
      <c r="O315">
        <v>35</v>
      </c>
      <c r="P315">
        <v>252</v>
      </c>
      <c r="Q315">
        <v>291</v>
      </c>
      <c r="R315">
        <v>323</v>
      </c>
      <c r="S315">
        <v>238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</row>
    <row r="316" spans="1:25" hidden="1">
      <c r="A316" t="s">
        <v>25</v>
      </c>
      <c r="B316" t="s">
        <v>26</v>
      </c>
      <c r="C316" t="s">
        <v>42</v>
      </c>
      <c r="D316" s="1">
        <v>41714</v>
      </c>
      <c r="E316" s="2">
        <v>0.64583333333333337</v>
      </c>
      <c r="F316" t="s">
        <v>29</v>
      </c>
      <c r="G316" t="s">
        <v>39</v>
      </c>
      <c r="H316">
        <v>5</v>
      </c>
      <c r="I316">
        <v>0</v>
      </c>
      <c r="J316" t="s">
        <v>34</v>
      </c>
      <c r="K316">
        <v>12</v>
      </c>
      <c r="L316">
        <v>748</v>
      </c>
      <c r="M316">
        <v>164</v>
      </c>
      <c r="N316">
        <v>12</v>
      </c>
      <c r="O316">
        <v>855</v>
      </c>
      <c r="P316">
        <v>164</v>
      </c>
      <c r="Q316">
        <v>117</v>
      </c>
      <c r="R316">
        <v>732</v>
      </c>
      <c r="S316">
        <v>136</v>
      </c>
      <c r="T316" t="s">
        <v>31</v>
      </c>
      <c r="U316" t="s">
        <v>31</v>
      </c>
      <c r="V316" t="s">
        <v>31</v>
      </c>
      <c r="W316" t="s">
        <v>31</v>
      </c>
      <c r="X316" t="s">
        <v>31</v>
      </c>
      <c r="Y316" t="s">
        <v>31</v>
      </c>
    </row>
    <row r="317" spans="1:25" hidden="1">
      <c r="A317" t="s">
        <v>25</v>
      </c>
      <c r="B317" t="s">
        <v>26</v>
      </c>
      <c r="C317" t="s">
        <v>42</v>
      </c>
      <c r="D317" s="1">
        <v>41720</v>
      </c>
      <c r="E317" s="2">
        <v>0.64583333333333337</v>
      </c>
      <c r="F317" t="s">
        <v>37</v>
      </c>
      <c r="G317" t="s">
        <v>40</v>
      </c>
      <c r="H317">
        <v>0</v>
      </c>
      <c r="I317">
        <v>1</v>
      </c>
      <c r="J317" t="s">
        <v>30</v>
      </c>
      <c r="K317">
        <v>268</v>
      </c>
      <c r="L317">
        <v>333</v>
      </c>
      <c r="M317">
        <v>284</v>
      </c>
      <c r="N317">
        <v>29</v>
      </c>
      <c r="O317">
        <v>35</v>
      </c>
      <c r="P317">
        <v>284</v>
      </c>
      <c r="Q317">
        <v>267</v>
      </c>
      <c r="R317">
        <v>328</v>
      </c>
      <c r="S317">
        <v>255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 t="s">
        <v>31</v>
      </c>
    </row>
    <row r="318" spans="1:25" hidden="1">
      <c r="A318" t="s">
        <v>25</v>
      </c>
      <c r="B318" t="s">
        <v>26</v>
      </c>
      <c r="C318" t="s">
        <v>42</v>
      </c>
      <c r="D318" s="1">
        <v>41720</v>
      </c>
      <c r="E318" s="2">
        <v>0.75</v>
      </c>
      <c r="F318" t="s">
        <v>35</v>
      </c>
      <c r="G318" t="s">
        <v>39</v>
      </c>
      <c r="H318">
        <v>3</v>
      </c>
      <c r="I318">
        <v>0</v>
      </c>
      <c r="J318" t="s">
        <v>34</v>
      </c>
      <c r="K318">
        <v>165</v>
      </c>
      <c r="L318">
        <v>408</v>
      </c>
      <c r="M318">
        <v>57</v>
      </c>
      <c r="N318">
        <v>165</v>
      </c>
      <c r="O318">
        <v>425</v>
      </c>
      <c r="P318">
        <v>6</v>
      </c>
      <c r="Q318">
        <v>159</v>
      </c>
      <c r="R318">
        <v>383</v>
      </c>
      <c r="S318">
        <v>553</v>
      </c>
      <c r="T318" t="s">
        <v>31</v>
      </c>
      <c r="U318" t="s">
        <v>31</v>
      </c>
      <c r="V318" t="s">
        <v>31</v>
      </c>
      <c r="W318" t="s">
        <v>31</v>
      </c>
      <c r="X318" t="s">
        <v>31</v>
      </c>
      <c r="Y318" t="s">
        <v>31</v>
      </c>
    </row>
    <row r="319" spans="1:25" hidden="1">
      <c r="A319" t="s">
        <v>25</v>
      </c>
      <c r="B319" t="s">
        <v>26</v>
      </c>
      <c r="C319" t="s">
        <v>42</v>
      </c>
      <c r="D319" s="1">
        <v>41720</v>
      </c>
      <c r="E319" s="2">
        <v>0.75</v>
      </c>
      <c r="F319" t="s">
        <v>38</v>
      </c>
      <c r="G319" t="s">
        <v>43</v>
      </c>
      <c r="H319">
        <v>1</v>
      </c>
      <c r="I319">
        <v>4</v>
      </c>
      <c r="J319" t="s">
        <v>30</v>
      </c>
      <c r="K319">
        <v>272</v>
      </c>
      <c r="L319">
        <v>349</v>
      </c>
      <c r="M319">
        <v>271</v>
      </c>
      <c r="N319">
        <v>275</v>
      </c>
      <c r="O319">
        <v>36</v>
      </c>
      <c r="P319">
        <v>31</v>
      </c>
      <c r="Q319">
        <v>253</v>
      </c>
      <c r="R319">
        <v>334</v>
      </c>
      <c r="S319">
        <v>266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</row>
    <row r="320" spans="1:25" hidden="1">
      <c r="A320" t="s">
        <v>25</v>
      </c>
      <c r="B320" t="s">
        <v>26</v>
      </c>
      <c r="C320" t="s">
        <v>42</v>
      </c>
      <c r="D320" s="1">
        <v>41720</v>
      </c>
      <c r="E320" s="2">
        <v>0.75</v>
      </c>
      <c r="F320" t="s">
        <v>28</v>
      </c>
      <c r="G320" t="s">
        <v>36</v>
      </c>
      <c r="H320">
        <v>3</v>
      </c>
      <c r="I320">
        <v>1</v>
      </c>
      <c r="J320" t="s">
        <v>34</v>
      </c>
      <c r="K320">
        <v>186</v>
      </c>
      <c r="L320">
        <v>356</v>
      </c>
      <c r="M320">
        <v>484</v>
      </c>
      <c r="N320">
        <v>19</v>
      </c>
      <c r="O320">
        <v>375</v>
      </c>
      <c r="P320">
        <v>49</v>
      </c>
      <c r="Q320">
        <v>183</v>
      </c>
      <c r="R320">
        <v>343</v>
      </c>
      <c r="S320">
        <v>427</v>
      </c>
      <c r="T320" t="s">
        <v>31</v>
      </c>
      <c r="U320" t="s">
        <v>31</v>
      </c>
      <c r="V320" t="s">
        <v>31</v>
      </c>
      <c r="W320" t="s">
        <v>31</v>
      </c>
      <c r="X320" t="s">
        <v>31</v>
      </c>
      <c r="Y320" t="s">
        <v>31</v>
      </c>
    </row>
    <row r="321" spans="1:25" hidden="1">
      <c r="A321" t="s">
        <v>25</v>
      </c>
      <c r="B321" t="s">
        <v>26</v>
      </c>
      <c r="C321" t="s">
        <v>42</v>
      </c>
      <c r="D321" s="1">
        <v>41721</v>
      </c>
      <c r="E321" s="2">
        <v>0.64583333333333337</v>
      </c>
      <c r="F321" t="s">
        <v>29</v>
      </c>
      <c r="G321" t="s">
        <v>33</v>
      </c>
      <c r="H321">
        <v>5</v>
      </c>
      <c r="I321">
        <v>0</v>
      </c>
      <c r="J321" t="s">
        <v>34</v>
      </c>
      <c r="K321">
        <v>113</v>
      </c>
      <c r="L321">
        <v>1012</v>
      </c>
      <c r="M321">
        <v>27</v>
      </c>
      <c r="N321">
        <v>113</v>
      </c>
      <c r="O321">
        <v>13</v>
      </c>
      <c r="P321">
        <v>34</v>
      </c>
      <c r="Q321">
        <v>109</v>
      </c>
      <c r="R321">
        <v>998</v>
      </c>
      <c r="S321">
        <v>2009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</row>
    <row r="322" spans="1:25" hidden="1">
      <c r="A322" t="s">
        <v>25</v>
      </c>
      <c r="B322" t="s">
        <v>26</v>
      </c>
      <c r="C322" t="s">
        <v>42</v>
      </c>
      <c r="D322" s="1">
        <v>41723</v>
      </c>
      <c r="E322" s="2">
        <v>0.8125</v>
      </c>
      <c r="F322" t="s">
        <v>36</v>
      </c>
      <c r="G322" t="s">
        <v>37</v>
      </c>
      <c r="H322">
        <v>0</v>
      </c>
      <c r="I322">
        <v>0</v>
      </c>
      <c r="J322" t="s">
        <v>41</v>
      </c>
      <c r="K322">
        <v>288</v>
      </c>
      <c r="L322">
        <v>349</v>
      </c>
      <c r="M322">
        <v>257</v>
      </c>
      <c r="N322">
        <v>288</v>
      </c>
      <c r="O322">
        <v>357</v>
      </c>
      <c r="P322">
        <v>275</v>
      </c>
      <c r="Q322">
        <v>268</v>
      </c>
      <c r="R322">
        <v>329</v>
      </c>
      <c r="S322">
        <v>254</v>
      </c>
      <c r="T322" t="s">
        <v>31</v>
      </c>
      <c r="U322" t="s">
        <v>31</v>
      </c>
      <c r="V322" t="s">
        <v>31</v>
      </c>
      <c r="W322" t="s">
        <v>31</v>
      </c>
      <c r="X322" t="s">
        <v>31</v>
      </c>
      <c r="Y322" t="s">
        <v>31</v>
      </c>
    </row>
    <row r="323" spans="1:25" hidden="1">
      <c r="A323" t="s">
        <v>25</v>
      </c>
      <c r="B323" t="s">
        <v>26</v>
      </c>
      <c r="C323" t="s">
        <v>42</v>
      </c>
      <c r="D323" s="1">
        <v>41724</v>
      </c>
      <c r="E323" s="2">
        <v>0.8125</v>
      </c>
      <c r="F323" t="s">
        <v>39</v>
      </c>
      <c r="G323" t="s">
        <v>38</v>
      </c>
      <c r="H323">
        <v>0</v>
      </c>
      <c r="I323">
        <v>2</v>
      </c>
      <c r="J323" t="s">
        <v>30</v>
      </c>
      <c r="K323">
        <v>203</v>
      </c>
      <c r="L323">
        <v>371</v>
      </c>
      <c r="M323">
        <v>382</v>
      </c>
      <c r="N323">
        <v>203</v>
      </c>
      <c r="O323">
        <v>38</v>
      </c>
      <c r="P323">
        <v>41</v>
      </c>
      <c r="Q323">
        <v>194</v>
      </c>
      <c r="R323">
        <v>35</v>
      </c>
      <c r="S323">
        <v>367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 t="s">
        <v>31</v>
      </c>
    </row>
    <row r="324" spans="1:25" hidden="1">
      <c r="A324" t="s">
        <v>25</v>
      </c>
      <c r="B324" t="s">
        <v>26</v>
      </c>
      <c r="C324" t="s">
        <v>42</v>
      </c>
      <c r="D324" s="1">
        <v>41724</v>
      </c>
      <c r="E324" s="2">
        <v>0.8125</v>
      </c>
      <c r="F324" t="s">
        <v>40</v>
      </c>
      <c r="G324" t="s">
        <v>29</v>
      </c>
      <c r="H324">
        <v>3</v>
      </c>
      <c r="I324">
        <v>0</v>
      </c>
      <c r="J324" t="s">
        <v>34</v>
      </c>
      <c r="K324">
        <v>558</v>
      </c>
      <c r="L324">
        <v>417</v>
      </c>
      <c r="M324">
        <v>165</v>
      </c>
      <c r="N324">
        <v>61</v>
      </c>
      <c r="O324">
        <v>44</v>
      </c>
      <c r="P324">
        <v>165</v>
      </c>
      <c r="Q324">
        <v>533</v>
      </c>
      <c r="R324">
        <v>407</v>
      </c>
      <c r="S324">
        <v>158</v>
      </c>
      <c r="T324" t="s">
        <v>31</v>
      </c>
      <c r="U324" t="s">
        <v>31</v>
      </c>
      <c r="V324" t="s">
        <v>31</v>
      </c>
      <c r="W324" t="s">
        <v>31</v>
      </c>
      <c r="X324" t="s">
        <v>31</v>
      </c>
      <c r="Y324" t="s">
        <v>31</v>
      </c>
    </row>
    <row r="325" spans="1:25" hidden="1">
      <c r="A325" t="s">
        <v>25</v>
      </c>
      <c r="B325" t="s">
        <v>26</v>
      </c>
      <c r="C325" t="s">
        <v>42</v>
      </c>
      <c r="D325" s="1">
        <v>41724</v>
      </c>
      <c r="E325" s="2">
        <v>0.8125</v>
      </c>
      <c r="F325" t="s">
        <v>43</v>
      </c>
      <c r="G325" t="s">
        <v>28</v>
      </c>
      <c r="H325">
        <v>0</v>
      </c>
      <c r="I325">
        <v>6</v>
      </c>
      <c r="J325" t="s">
        <v>30</v>
      </c>
      <c r="K325">
        <v>208</v>
      </c>
      <c r="L325">
        <v>353</v>
      </c>
      <c r="M325">
        <v>382</v>
      </c>
      <c r="N325">
        <v>211</v>
      </c>
      <c r="O325">
        <v>36</v>
      </c>
      <c r="P325">
        <v>385</v>
      </c>
      <c r="Q325">
        <v>203</v>
      </c>
      <c r="R325">
        <v>337</v>
      </c>
      <c r="S325">
        <v>355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 t="s">
        <v>31</v>
      </c>
    </row>
    <row r="326" spans="1:25" hidden="1">
      <c r="A326" t="s">
        <v>25</v>
      </c>
      <c r="B326" t="s">
        <v>26</v>
      </c>
      <c r="C326" t="s">
        <v>42</v>
      </c>
      <c r="D326" s="1">
        <v>41724</v>
      </c>
      <c r="E326" s="2">
        <v>0.8125</v>
      </c>
      <c r="F326" t="s">
        <v>33</v>
      </c>
      <c r="G326" t="s">
        <v>35</v>
      </c>
      <c r="H326">
        <v>0</v>
      </c>
      <c r="I326">
        <v>3</v>
      </c>
      <c r="J326" t="s">
        <v>30</v>
      </c>
      <c r="K326">
        <v>481</v>
      </c>
      <c r="L326">
        <v>369</v>
      </c>
      <c r="M326">
        <v>183</v>
      </c>
      <c r="N326">
        <v>481</v>
      </c>
      <c r="O326">
        <v>37</v>
      </c>
      <c r="P326">
        <v>187</v>
      </c>
      <c r="Q326">
        <v>432</v>
      </c>
      <c r="R326">
        <v>349</v>
      </c>
      <c r="S326">
        <v>18</v>
      </c>
      <c r="T326" t="s">
        <v>31</v>
      </c>
      <c r="U326" t="s">
        <v>31</v>
      </c>
      <c r="V326" t="s">
        <v>31</v>
      </c>
      <c r="W326" t="s">
        <v>31</v>
      </c>
      <c r="X326" t="s">
        <v>31</v>
      </c>
      <c r="Y326" t="s">
        <v>31</v>
      </c>
    </row>
    <row r="327" spans="1:25" hidden="1">
      <c r="A327" t="s">
        <v>25</v>
      </c>
      <c r="B327" t="s">
        <v>26</v>
      </c>
      <c r="C327" t="s">
        <v>42</v>
      </c>
      <c r="D327" s="1">
        <v>41727</v>
      </c>
      <c r="E327" s="2">
        <v>0.64583333333333337</v>
      </c>
      <c r="F327" t="s">
        <v>35</v>
      </c>
      <c r="G327" t="s">
        <v>28</v>
      </c>
      <c r="H327">
        <v>2</v>
      </c>
      <c r="I327">
        <v>0</v>
      </c>
      <c r="J327" t="s">
        <v>34</v>
      </c>
      <c r="K327">
        <v>193</v>
      </c>
      <c r="L327">
        <v>374</v>
      </c>
      <c r="M327">
        <v>42</v>
      </c>
      <c r="N327">
        <v>195</v>
      </c>
      <c r="O327">
        <v>376</v>
      </c>
      <c r="P327">
        <v>455</v>
      </c>
      <c r="Q327">
        <v>184</v>
      </c>
      <c r="R327">
        <v>356</v>
      </c>
      <c r="S327">
        <v>407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 t="s">
        <v>31</v>
      </c>
    </row>
    <row r="328" spans="1:25" hidden="1">
      <c r="A328" t="s">
        <v>25</v>
      </c>
      <c r="B328" t="s">
        <v>26</v>
      </c>
      <c r="C328" t="s">
        <v>42</v>
      </c>
      <c r="D328" s="1">
        <v>41727</v>
      </c>
      <c r="E328" s="2">
        <v>0.75</v>
      </c>
      <c r="F328" t="s">
        <v>39</v>
      </c>
      <c r="G328" t="s">
        <v>33</v>
      </c>
      <c r="H328">
        <v>4</v>
      </c>
      <c r="I328">
        <v>0</v>
      </c>
      <c r="J328" t="s">
        <v>34</v>
      </c>
      <c r="K328">
        <v>187</v>
      </c>
      <c r="L328">
        <v>359</v>
      </c>
      <c r="M328">
        <v>468</v>
      </c>
      <c r="N328">
        <v>2</v>
      </c>
      <c r="O328">
        <v>375</v>
      </c>
      <c r="P328">
        <v>475</v>
      </c>
      <c r="Q328">
        <v>183</v>
      </c>
      <c r="R328">
        <v>352</v>
      </c>
      <c r="S328">
        <v>416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</row>
    <row r="329" spans="1:25" hidden="1">
      <c r="A329" t="s">
        <v>25</v>
      </c>
      <c r="B329" t="s">
        <v>26</v>
      </c>
      <c r="C329" t="s">
        <v>42</v>
      </c>
      <c r="D329" s="1">
        <v>41727</v>
      </c>
      <c r="E329" s="2">
        <v>0.75</v>
      </c>
      <c r="F329" t="s">
        <v>37</v>
      </c>
      <c r="G329" t="s">
        <v>43</v>
      </c>
      <c r="H329">
        <v>4</v>
      </c>
      <c r="I329">
        <v>0</v>
      </c>
      <c r="J329" t="s">
        <v>34</v>
      </c>
      <c r="K329">
        <v>229</v>
      </c>
      <c r="L329">
        <v>368</v>
      </c>
      <c r="M329">
        <v>315</v>
      </c>
      <c r="N329">
        <v>23</v>
      </c>
      <c r="O329">
        <v>375</v>
      </c>
      <c r="P329">
        <v>34</v>
      </c>
      <c r="Q329">
        <v>216</v>
      </c>
      <c r="R329">
        <v>338</v>
      </c>
      <c r="S329">
        <v>32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</row>
    <row r="330" spans="1:25" hidden="1">
      <c r="A330" t="s">
        <v>25</v>
      </c>
      <c r="B330" t="s">
        <v>26</v>
      </c>
      <c r="C330" t="s">
        <v>42</v>
      </c>
      <c r="D330" s="1">
        <v>41727</v>
      </c>
      <c r="E330" s="2">
        <v>0.75</v>
      </c>
      <c r="F330" t="s">
        <v>29</v>
      </c>
      <c r="G330" t="s">
        <v>36</v>
      </c>
      <c r="H330">
        <v>0</v>
      </c>
      <c r="I330">
        <v>0</v>
      </c>
      <c r="J330" t="s">
        <v>41</v>
      </c>
      <c r="N330">
        <v>115</v>
      </c>
      <c r="O330">
        <v>14</v>
      </c>
      <c r="P330">
        <v>41</v>
      </c>
      <c r="Q330">
        <v>108</v>
      </c>
      <c r="R330">
        <v>1028</v>
      </c>
      <c r="S330">
        <v>2157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31</v>
      </c>
    </row>
    <row r="331" spans="1:25" hidden="1">
      <c r="A331" t="s">
        <v>25</v>
      </c>
      <c r="B331" t="s">
        <v>26</v>
      </c>
      <c r="C331" t="s">
        <v>42</v>
      </c>
      <c r="D331" s="1">
        <v>41728</v>
      </c>
      <c r="E331" s="2">
        <v>0.64583333333333337</v>
      </c>
      <c r="F331" t="s">
        <v>38</v>
      </c>
      <c r="G331" t="s">
        <v>40</v>
      </c>
      <c r="H331">
        <v>2</v>
      </c>
      <c r="I331">
        <v>2</v>
      </c>
      <c r="J331" t="s">
        <v>41</v>
      </c>
      <c r="K331">
        <v>365</v>
      </c>
      <c r="L331">
        <v>352</v>
      </c>
      <c r="M331">
        <v>214</v>
      </c>
      <c r="N331">
        <v>405</v>
      </c>
      <c r="O331">
        <v>365</v>
      </c>
      <c r="P331">
        <v>22</v>
      </c>
      <c r="Q331">
        <v>354</v>
      </c>
      <c r="R331">
        <v>336</v>
      </c>
      <c r="S331">
        <v>204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31</v>
      </c>
    </row>
    <row r="332" spans="1:25" hidden="1">
      <c r="A332" t="s">
        <v>25</v>
      </c>
      <c r="B332" t="s">
        <v>26</v>
      </c>
      <c r="C332" t="s">
        <v>42</v>
      </c>
      <c r="D332" s="1">
        <v>41734</v>
      </c>
      <c r="E332" s="2">
        <v>0.64583333333333337</v>
      </c>
      <c r="F332" t="s">
        <v>43</v>
      </c>
      <c r="G332" t="s">
        <v>29</v>
      </c>
      <c r="H332">
        <v>1</v>
      </c>
      <c r="I332">
        <v>3</v>
      </c>
      <c r="J332" t="s">
        <v>30</v>
      </c>
      <c r="K332">
        <v>1017</v>
      </c>
      <c r="L332">
        <v>632</v>
      </c>
      <c r="M332">
        <v>13</v>
      </c>
      <c r="N332">
        <v>1017</v>
      </c>
      <c r="O332">
        <v>632</v>
      </c>
      <c r="P332">
        <v>15</v>
      </c>
      <c r="Q332">
        <v>842</v>
      </c>
      <c r="R332">
        <v>528</v>
      </c>
      <c r="S332">
        <v>132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31</v>
      </c>
    </row>
    <row r="333" spans="1:25" hidden="1">
      <c r="A333" t="s">
        <v>25</v>
      </c>
      <c r="B333" t="s">
        <v>26</v>
      </c>
      <c r="C333" t="s">
        <v>42</v>
      </c>
      <c r="D333" s="1">
        <v>41734</v>
      </c>
      <c r="E333" s="2">
        <v>0.75</v>
      </c>
      <c r="F333" t="s">
        <v>33</v>
      </c>
      <c r="G333" t="s">
        <v>38</v>
      </c>
      <c r="H333">
        <v>1</v>
      </c>
      <c r="I333">
        <v>1</v>
      </c>
      <c r="J333" t="s">
        <v>41</v>
      </c>
      <c r="K333">
        <v>265</v>
      </c>
      <c r="L333">
        <v>341</v>
      </c>
      <c r="M333">
        <v>283</v>
      </c>
      <c r="N333">
        <v>31</v>
      </c>
      <c r="O333">
        <v>342</v>
      </c>
      <c r="P333">
        <v>285</v>
      </c>
      <c r="Q333">
        <v>264</v>
      </c>
      <c r="R333">
        <v>33</v>
      </c>
      <c r="S333">
        <v>258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</row>
    <row r="334" spans="1:25" hidden="1">
      <c r="A334" t="s">
        <v>25</v>
      </c>
      <c r="B334" t="s">
        <v>26</v>
      </c>
      <c r="C334" t="s">
        <v>42</v>
      </c>
      <c r="D334" s="1">
        <v>41734</v>
      </c>
      <c r="E334" s="2">
        <v>0.75</v>
      </c>
      <c r="F334" t="s">
        <v>28</v>
      </c>
      <c r="G334" t="s">
        <v>37</v>
      </c>
      <c r="H334">
        <v>1</v>
      </c>
      <c r="I334">
        <v>1</v>
      </c>
      <c r="J334" t="s">
        <v>41</v>
      </c>
      <c r="K334">
        <v>199</v>
      </c>
      <c r="L334">
        <v>364</v>
      </c>
      <c r="M334">
        <v>404</v>
      </c>
      <c r="N334">
        <v>218</v>
      </c>
      <c r="O334">
        <v>364</v>
      </c>
      <c r="P334">
        <v>404</v>
      </c>
      <c r="Q334">
        <v>204</v>
      </c>
      <c r="R334">
        <v>336</v>
      </c>
      <c r="S334">
        <v>355</v>
      </c>
      <c r="T334" t="s">
        <v>31</v>
      </c>
      <c r="U334" t="s">
        <v>31</v>
      </c>
      <c r="V334" t="s">
        <v>31</v>
      </c>
      <c r="W334" t="s">
        <v>31</v>
      </c>
      <c r="X334" t="s">
        <v>31</v>
      </c>
      <c r="Y334" t="s">
        <v>31</v>
      </c>
    </row>
    <row r="335" spans="1:25" hidden="1">
      <c r="A335" t="s">
        <v>25</v>
      </c>
      <c r="B335" t="s">
        <v>26</v>
      </c>
      <c r="C335" t="s">
        <v>42</v>
      </c>
      <c r="D335" s="1">
        <v>41734</v>
      </c>
      <c r="E335" s="2">
        <v>0.75</v>
      </c>
      <c r="F335" t="s">
        <v>36</v>
      </c>
      <c r="G335" t="s">
        <v>39</v>
      </c>
      <c r="H335">
        <v>0</v>
      </c>
      <c r="I335">
        <v>1</v>
      </c>
      <c r="J335" t="s">
        <v>30</v>
      </c>
      <c r="K335">
        <v>253</v>
      </c>
      <c r="L335">
        <v>348</v>
      </c>
      <c r="M335">
        <v>292</v>
      </c>
      <c r="N335">
        <v>255</v>
      </c>
      <c r="O335">
        <v>35</v>
      </c>
      <c r="P335">
        <v>295</v>
      </c>
      <c r="Q335">
        <v>243</v>
      </c>
      <c r="R335">
        <v>328</v>
      </c>
      <c r="S335">
        <v>282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31</v>
      </c>
    </row>
    <row r="336" spans="1:25" hidden="1">
      <c r="A336" t="s">
        <v>25</v>
      </c>
      <c r="B336" t="s">
        <v>26</v>
      </c>
      <c r="C336" t="s">
        <v>42</v>
      </c>
      <c r="D336" s="1">
        <v>41735</v>
      </c>
      <c r="E336" s="2">
        <v>0.58333333333333337</v>
      </c>
      <c r="F336" t="s">
        <v>40</v>
      </c>
      <c r="G336" t="s">
        <v>35</v>
      </c>
      <c r="H336">
        <v>0</v>
      </c>
      <c r="I336">
        <v>1</v>
      </c>
      <c r="J336" t="s">
        <v>30</v>
      </c>
      <c r="K336">
        <v>264</v>
      </c>
      <c r="L336">
        <v>326</v>
      </c>
      <c r="M336">
        <v>294</v>
      </c>
      <c r="N336">
        <v>267</v>
      </c>
      <c r="O336">
        <v>355</v>
      </c>
      <c r="P336">
        <v>32</v>
      </c>
      <c r="Q336">
        <v>247</v>
      </c>
      <c r="R336">
        <v>317</v>
      </c>
      <c r="S336">
        <v>286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 t="s">
        <v>31</v>
      </c>
    </row>
    <row r="337" spans="1:25" hidden="1">
      <c r="A337" t="s">
        <v>25</v>
      </c>
      <c r="B337" t="s">
        <v>26</v>
      </c>
      <c r="C337" t="s">
        <v>42</v>
      </c>
      <c r="D337" s="1">
        <v>41741</v>
      </c>
      <c r="E337" s="2">
        <v>0.64583333333333337</v>
      </c>
      <c r="F337" t="s">
        <v>29</v>
      </c>
      <c r="G337" t="s">
        <v>28</v>
      </c>
      <c r="H337">
        <v>1</v>
      </c>
      <c r="I337">
        <v>2</v>
      </c>
      <c r="J337" t="s">
        <v>30</v>
      </c>
      <c r="K337">
        <v>125</v>
      </c>
      <c r="L337">
        <v>676</v>
      </c>
      <c r="M337">
        <v>1297</v>
      </c>
      <c r="N337">
        <v>125</v>
      </c>
      <c r="O337">
        <v>7</v>
      </c>
      <c r="P337">
        <v>14</v>
      </c>
      <c r="Q337">
        <v>121</v>
      </c>
      <c r="R337">
        <v>621</v>
      </c>
      <c r="S337">
        <v>1198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</row>
    <row r="338" spans="1:25" hidden="1">
      <c r="A338" t="s">
        <v>25</v>
      </c>
      <c r="B338" t="s">
        <v>26</v>
      </c>
      <c r="C338" t="s">
        <v>42</v>
      </c>
      <c r="D338" s="1">
        <v>41741</v>
      </c>
      <c r="E338" s="2">
        <v>0.75</v>
      </c>
      <c r="F338" t="s">
        <v>39</v>
      </c>
      <c r="G338" t="s">
        <v>43</v>
      </c>
      <c r="H338">
        <v>1</v>
      </c>
      <c r="I338">
        <v>2</v>
      </c>
      <c r="J338" t="s">
        <v>30</v>
      </c>
      <c r="K338">
        <v>204</v>
      </c>
      <c r="L338">
        <v>366</v>
      </c>
      <c r="M338">
        <v>382</v>
      </c>
      <c r="N338">
        <v>22</v>
      </c>
      <c r="O338">
        <v>366</v>
      </c>
      <c r="P338">
        <v>382</v>
      </c>
      <c r="Q338">
        <v>206</v>
      </c>
      <c r="R338">
        <v>345</v>
      </c>
      <c r="S338">
        <v>338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31</v>
      </c>
    </row>
    <row r="339" spans="1:25" hidden="1">
      <c r="A339" t="s">
        <v>25</v>
      </c>
      <c r="B339" t="s">
        <v>26</v>
      </c>
      <c r="C339" t="s">
        <v>42</v>
      </c>
      <c r="D339" s="1">
        <v>41741</v>
      </c>
      <c r="E339" s="2">
        <v>0.75</v>
      </c>
      <c r="F339" t="s">
        <v>35</v>
      </c>
      <c r="G339" t="s">
        <v>37</v>
      </c>
      <c r="H339">
        <v>0</v>
      </c>
      <c r="I339">
        <v>0</v>
      </c>
      <c r="J339" t="s">
        <v>41</v>
      </c>
      <c r="K339">
        <v>162</v>
      </c>
      <c r="L339">
        <v>412</v>
      </c>
      <c r="M339">
        <v>603</v>
      </c>
      <c r="N339">
        <v>164</v>
      </c>
      <c r="O339">
        <v>425</v>
      </c>
      <c r="P339">
        <v>64</v>
      </c>
      <c r="Q339">
        <v>16</v>
      </c>
      <c r="R339">
        <v>388</v>
      </c>
      <c r="S339">
        <v>534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31</v>
      </c>
    </row>
    <row r="340" spans="1:25" hidden="1">
      <c r="A340" t="s">
        <v>25</v>
      </c>
      <c r="B340" t="s">
        <v>26</v>
      </c>
      <c r="C340" t="s">
        <v>42</v>
      </c>
      <c r="D340" s="1">
        <v>41741</v>
      </c>
      <c r="E340" s="2">
        <v>0.75</v>
      </c>
      <c r="F340" t="s">
        <v>38</v>
      </c>
      <c r="G340" t="s">
        <v>36</v>
      </c>
      <c r="H340">
        <v>1</v>
      </c>
      <c r="I340">
        <v>2</v>
      </c>
      <c r="J340" t="s">
        <v>30</v>
      </c>
      <c r="K340">
        <v>186</v>
      </c>
      <c r="L340">
        <v>377</v>
      </c>
      <c r="M340">
        <v>451</v>
      </c>
      <c r="N340">
        <v>195</v>
      </c>
      <c r="O340">
        <v>385</v>
      </c>
      <c r="P340">
        <v>46</v>
      </c>
      <c r="Q340">
        <v>18</v>
      </c>
      <c r="R340">
        <v>363</v>
      </c>
      <c r="S340">
        <v>416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 t="s">
        <v>31</v>
      </c>
    </row>
    <row r="341" spans="1:25" hidden="1">
      <c r="A341" t="s">
        <v>25</v>
      </c>
      <c r="B341" t="s">
        <v>26</v>
      </c>
      <c r="C341" t="s">
        <v>42</v>
      </c>
      <c r="D341" s="1">
        <v>41742</v>
      </c>
      <c r="E341" s="2">
        <v>0.64583333333333337</v>
      </c>
      <c r="F341" t="s">
        <v>33</v>
      </c>
      <c r="G341" t="s">
        <v>40</v>
      </c>
      <c r="H341">
        <v>0</v>
      </c>
      <c r="I341">
        <v>2</v>
      </c>
      <c r="J341" t="s">
        <v>30</v>
      </c>
      <c r="K341">
        <v>474</v>
      </c>
      <c r="L341">
        <v>38</v>
      </c>
      <c r="M341">
        <v>181</v>
      </c>
      <c r="N341">
        <v>53</v>
      </c>
      <c r="O341">
        <v>42</v>
      </c>
      <c r="P341">
        <v>186</v>
      </c>
      <c r="Q341">
        <v>432</v>
      </c>
      <c r="R341">
        <v>364</v>
      </c>
      <c r="S341">
        <v>177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</row>
    <row r="342" spans="1:25" hidden="1">
      <c r="A342" t="s">
        <v>25</v>
      </c>
      <c r="B342" t="s">
        <v>26</v>
      </c>
      <c r="C342" t="s">
        <v>42</v>
      </c>
      <c r="D342" s="1">
        <v>41748</v>
      </c>
      <c r="E342" s="2">
        <v>0.64583333333333337</v>
      </c>
      <c r="F342" t="s">
        <v>40</v>
      </c>
      <c r="G342" t="s">
        <v>39</v>
      </c>
      <c r="H342">
        <v>3</v>
      </c>
      <c r="I342">
        <v>1</v>
      </c>
      <c r="J342" t="s">
        <v>34</v>
      </c>
      <c r="K342">
        <v>145</v>
      </c>
      <c r="L342">
        <v>489</v>
      </c>
      <c r="M342">
        <v>778</v>
      </c>
      <c r="N342">
        <v>151</v>
      </c>
      <c r="O342">
        <v>49</v>
      </c>
      <c r="P342">
        <v>778</v>
      </c>
      <c r="Q342">
        <v>145</v>
      </c>
      <c r="R342">
        <v>435</v>
      </c>
      <c r="S342">
        <v>671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31</v>
      </c>
    </row>
    <row r="343" spans="1:25" hidden="1">
      <c r="A343" t="s">
        <v>25</v>
      </c>
      <c r="B343" t="s">
        <v>26</v>
      </c>
      <c r="C343" t="s">
        <v>42</v>
      </c>
      <c r="D343" s="1">
        <v>41748</v>
      </c>
      <c r="E343" s="2">
        <v>0.75</v>
      </c>
      <c r="F343" t="s">
        <v>37</v>
      </c>
      <c r="G343" t="s">
        <v>29</v>
      </c>
      <c r="H343">
        <v>2</v>
      </c>
      <c r="I343">
        <v>3</v>
      </c>
      <c r="J343" t="s">
        <v>30</v>
      </c>
      <c r="K343">
        <v>68</v>
      </c>
      <c r="L343">
        <v>54</v>
      </c>
      <c r="M343">
        <v>144</v>
      </c>
      <c r="N343">
        <v>77</v>
      </c>
      <c r="O343">
        <v>55</v>
      </c>
      <c r="P343">
        <v>144</v>
      </c>
      <c r="Q343">
        <v>682</v>
      </c>
      <c r="R343">
        <v>491</v>
      </c>
      <c r="S343">
        <v>139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31</v>
      </c>
    </row>
    <row r="344" spans="1:25" hidden="1">
      <c r="A344" t="s">
        <v>25</v>
      </c>
      <c r="B344" t="s">
        <v>26</v>
      </c>
      <c r="C344" t="s">
        <v>42</v>
      </c>
      <c r="D344" s="1">
        <v>41748</v>
      </c>
      <c r="E344" s="2">
        <v>0.75</v>
      </c>
      <c r="F344" t="s">
        <v>28</v>
      </c>
      <c r="G344" t="s">
        <v>38</v>
      </c>
      <c r="H344">
        <v>2</v>
      </c>
      <c r="I344">
        <v>1</v>
      </c>
      <c r="J344" t="s">
        <v>34</v>
      </c>
      <c r="K344">
        <v>156</v>
      </c>
      <c r="L344">
        <v>445</v>
      </c>
      <c r="M344">
        <v>629</v>
      </c>
      <c r="N344">
        <v>165</v>
      </c>
      <c r="O344">
        <v>45</v>
      </c>
      <c r="P344">
        <v>63</v>
      </c>
      <c r="Q344">
        <v>156</v>
      </c>
      <c r="R344">
        <v>406</v>
      </c>
      <c r="S344">
        <v>549</v>
      </c>
      <c r="T344" t="s">
        <v>31</v>
      </c>
      <c r="U344" t="s">
        <v>31</v>
      </c>
      <c r="V344" t="s">
        <v>31</v>
      </c>
      <c r="W344" t="s">
        <v>31</v>
      </c>
      <c r="X344" t="s">
        <v>31</v>
      </c>
      <c r="Y344" t="s">
        <v>31</v>
      </c>
    </row>
    <row r="345" spans="1:25" hidden="1">
      <c r="A345" t="s">
        <v>25</v>
      </c>
      <c r="B345" t="s">
        <v>26</v>
      </c>
      <c r="C345" t="s">
        <v>42</v>
      </c>
      <c r="D345" s="1">
        <v>41748</v>
      </c>
      <c r="E345" s="2">
        <v>0.75</v>
      </c>
      <c r="F345" t="s">
        <v>36</v>
      </c>
      <c r="G345" t="s">
        <v>33</v>
      </c>
      <c r="H345">
        <v>3</v>
      </c>
      <c r="I345">
        <v>1</v>
      </c>
      <c r="J345" t="s">
        <v>34</v>
      </c>
      <c r="K345">
        <v>188</v>
      </c>
      <c r="L345">
        <v>372</v>
      </c>
      <c r="M345">
        <v>445</v>
      </c>
      <c r="N345">
        <v>2</v>
      </c>
      <c r="O345">
        <v>42</v>
      </c>
      <c r="P345">
        <v>46</v>
      </c>
      <c r="Q345">
        <v>191</v>
      </c>
      <c r="R345">
        <v>345</v>
      </c>
      <c r="S345">
        <v>39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</row>
    <row r="346" spans="1:25" hidden="1">
      <c r="A346" t="s">
        <v>25</v>
      </c>
      <c r="B346" t="s">
        <v>26</v>
      </c>
      <c r="C346" t="s">
        <v>42</v>
      </c>
      <c r="D346" s="1">
        <v>41749</v>
      </c>
      <c r="E346" s="2">
        <v>0.64583333333333337</v>
      </c>
      <c r="F346" t="s">
        <v>43</v>
      </c>
      <c r="G346" t="s">
        <v>35</v>
      </c>
      <c r="H346">
        <v>2</v>
      </c>
      <c r="I346">
        <v>2</v>
      </c>
      <c r="J346" t="s">
        <v>41</v>
      </c>
      <c r="K346">
        <v>336</v>
      </c>
      <c r="L346">
        <v>36</v>
      </c>
      <c r="M346">
        <v>222</v>
      </c>
      <c r="N346">
        <v>336</v>
      </c>
      <c r="O346">
        <v>36</v>
      </c>
      <c r="P346">
        <v>225</v>
      </c>
      <c r="Q346">
        <v>317</v>
      </c>
      <c r="R346">
        <v>335</v>
      </c>
      <c r="S346">
        <v>217</v>
      </c>
      <c r="T346" t="s">
        <v>31</v>
      </c>
      <c r="U346" t="s">
        <v>31</v>
      </c>
      <c r="V346" t="s">
        <v>31</v>
      </c>
      <c r="W346" t="s">
        <v>31</v>
      </c>
      <c r="X346" t="s">
        <v>31</v>
      </c>
      <c r="Y346" t="s">
        <v>31</v>
      </c>
    </row>
    <row r="347" spans="1:25" hidden="1">
      <c r="A347" t="s">
        <v>25</v>
      </c>
      <c r="B347" t="s">
        <v>26</v>
      </c>
      <c r="C347" t="s">
        <v>42</v>
      </c>
      <c r="D347" s="1">
        <v>41755</v>
      </c>
      <c r="E347" s="2">
        <v>0.64583333333333337</v>
      </c>
      <c r="F347" t="s">
        <v>38</v>
      </c>
      <c r="G347" t="s">
        <v>37</v>
      </c>
      <c r="H347">
        <v>3</v>
      </c>
      <c r="I347">
        <v>0</v>
      </c>
      <c r="J347" t="s">
        <v>34</v>
      </c>
      <c r="K347">
        <v>242</v>
      </c>
      <c r="L347">
        <v>391</v>
      </c>
      <c r="M347">
        <v>282</v>
      </c>
      <c r="N347">
        <v>25</v>
      </c>
      <c r="O347">
        <v>391</v>
      </c>
      <c r="P347">
        <v>29</v>
      </c>
      <c r="Q347">
        <v>237</v>
      </c>
      <c r="R347">
        <v>347</v>
      </c>
      <c r="S347">
        <v>277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</row>
    <row r="348" spans="1:25" hidden="1">
      <c r="A348" t="s">
        <v>25</v>
      </c>
      <c r="B348" t="s">
        <v>26</v>
      </c>
      <c r="C348" t="s">
        <v>42</v>
      </c>
      <c r="D348" s="1">
        <v>41755</v>
      </c>
      <c r="E348" s="2">
        <v>0.75</v>
      </c>
      <c r="F348" t="s">
        <v>33</v>
      </c>
      <c r="G348" t="s">
        <v>43</v>
      </c>
      <c r="H348">
        <v>1</v>
      </c>
      <c r="I348">
        <v>3</v>
      </c>
      <c r="J348" t="s">
        <v>30</v>
      </c>
      <c r="K348">
        <v>294</v>
      </c>
      <c r="L348">
        <v>363</v>
      </c>
      <c r="M348">
        <v>244</v>
      </c>
      <c r="N348">
        <v>294</v>
      </c>
      <c r="O348">
        <v>363</v>
      </c>
      <c r="P348">
        <v>258</v>
      </c>
      <c r="Q348">
        <v>28</v>
      </c>
      <c r="R348">
        <v>333</v>
      </c>
      <c r="S348">
        <v>242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 t="s">
        <v>31</v>
      </c>
    </row>
    <row r="349" spans="1:25" hidden="1">
      <c r="A349" t="s">
        <v>25</v>
      </c>
      <c r="B349" t="s">
        <v>26</v>
      </c>
      <c r="C349" t="s">
        <v>42</v>
      </c>
      <c r="D349" s="1">
        <v>41755</v>
      </c>
      <c r="E349" s="2">
        <v>0.75</v>
      </c>
      <c r="F349" t="s">
        <v>35</v>
      </c>
      <c r="G349" t="s">
        <v>29</v>
      </c>
      <c r="H349">
        <v>2</v>
      </c>
      <c r="I349">
        <v>1</v>
      </c>
      <c r="J349" t="s">
        <v>34</v>
      </c>
      <c r="K349">
        <v>421</v>
      </c>
      <c r="L349">
        <v>404</v>
      </c>
      <c r="M349">
        <v>185</v>
      </c>
      <c r="N349">
        <v>435</v>
      </c>
      <c r="O349">
        <v>404</v>
      </c>
      <c r="P349">
        <v>19</v>
      </c>
      <c r="Q349">
        <v>394</v>
      </c>
      <c r="R349">
        <v>367</v>
      </c>
      <c r="S349">
        <v>183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 t="s">
        <v>31</v>
      </c>
    </row>
    <row r="350" spans="1:25" hidden="1">
      <c r="A350" t="s">
        <v>25</v>
      </c>
      <c r="B350" t="s">
        <v>26</v>
      </c>
      <c r="C350" t="s">
        <v>42</v>
      </c>
      <c r="D350" s="1">
        <v>41755</v>
      </c>
      <c r="E350" s="2">
        <v>0.75</v>
      </c>
      <c r="F350" t="s">
        <v>36</v>
      </c>
      <c r="G350" t="s">
        <v>40</v>
      </c>
      <c r="H350">
        <v>1</v>
      </c>
      <c r="I350">
        <v>1</v>
      </c>
      <c r="J350" t="s">
        <v>41</v>
      </c>
      <c r="K350">
        <v>392</v>
      </c>
      <c r="L350">
        <v>381</v>
      </c>
      <c r="M350">
        <v>197</v>
      </c>
      <c r="N350">
        <v>405</v>
      </c>
      <c r="O350">
        <v>39</v>
      </c>
      <c r="P350">
        <v>2</v>
      </c>
      <c r="Q350">
        <v>379</v>
      </c>
      <c r="R350">
        <v>351</v>
      </c>
      <c r="S350">
        <v>192</v>
      </c>
      <c r="T350" t="s">
        <v>31</v>
      </c>
      <c r="U350" t="s">
        <v>31</v>
      </c>
      <c r="V350" t="s">
        <v>31</v>
      </c>
      <c r="W350" t="s">
        <v>31</v>
      </c>
      <c r="X350" t="s">
        <v>31</v>
      </c>
      <c r="Y350" t="s">
        <v>31</v>
      </c>
    </row>
    <row r="351" spans="1:25" hidden="1">
      <c r="A351" t="s">
        <v>25</v>
      </c>
      <c r="B351" t="s">
        <v>26</v>
      </c>
      <c r="C351" t="s">
        <v>42</v>
      </c>
      <c r="D351" s="1">
        <v>41756</v>
      </c>
      <c r="E351" s="2">
        <v>0.64583333333333337</v>
      </c>
      <c r="F351" t="s">
        <v>39</v>
      </c>
      <c r="G351" t="s">
        <v>28</v>
      </c>
      <c r="H351">
        <v>0</v>
      </c>
      <c r="I351">
        <v>1</v>
      </c>
      <c r="J351" t="s">
        <v>30</v>
      </c>
      <c r="K351">
        <v>302</v>
      </c>
      <c r="L351">
        <v>358</v>
      </c>
      <c r="M351">
        <v>242</v>
      </c>
      <c r="N351">
        <v>302</v>
      </c>
      <c r="O351">
        <v>362</v>
      </c>
      <c r="P351">
        <v>255</v>
      </c>
      <c r="Q351">
        <v>281</v>
      </c>
      <c r="R351">
        <v>334</v>
      </c>
      <c r="S351">
        <v>24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 t="s">
        <v>31</v>
      </c>
    </row>
    <row r="352" spans="1:25" hidden="1">
      <c r="A352" t="s">
        <v>25</v>
      </c>
      <c r="B352" t="s">
        <v>26</v>
      </c>
      <c r="C352" t="s">
        <v>42</v>
      </c>
      <c r="D352" s="1">
        <v>41763</v>
      </c>
      <c r="E352" s="2">
        <v>0.64583333333333337</v>
      </c>
      <c r="F352" t="s">
        <v>37</v>
      </c>
      <c r="G352" t="s">
        <v>39</v>
      </c>
      <c r="H352">
        <v>1</v>
      </c>
      <c r="I352">
        <v>0</v>
      </c>
      <c r="J352" t="s">
        <v>34</v>
      </c>
      <c r="K352">
        <v>178</v>
      </c>
      <c r="L352">
        <v>423</v>
      </c>
      <c r="M352">
        <v>43</v>
      </c>
      <c r="N352">
        <v>19</v>
      </c>
      <c r="O352">
        <v>423</v>
      </c>
      <c r="P352">
        <v>454</v>
      </c>
      <c r="Q352">
        <v>176</v>
      </c>
      <c r="R352">
        <v>372</v>
      </c>
      <c r="S352">
        <v>424</v>
      </c>
      <c r="T352" t="s">
        <v>31</v>
      </c>
      <c r="U352" t="s">
        <v>31</v>
      </c>
      <c r="V352" t="s">
        <v>31</v>
      </c>
      <c r="W352" t="s">
        <v>31</v>
      </c>
      <c r="X352" t="s">
        <v>31</v>
      </c>
      <c r="Y352" t="s">
        <v>31</v>
      </c>
    </row>
    <row r="353" spans="1:25" hidden="1">
      <c r="A353" t="s">
        <v>25</v>
      </c>
      <c r="B353" t="s">
        <v>26</v>
      </c>
      <c r="C353" t="s">
        <v>42</v>
      </c>
      <c r="D353" s="1">
        <v>41763</v>
      </c>
      <c r="E353" s="2">
        <v>0.64583333333333337</v>
      </c>
      <c r="F353" t="s">
        <v>43</v>
      </c>
      <c r="G353" t="s">
        <v>40</v>
      </c>
      <c r="H353">
        <v>2</v>
      </c>
      <c r="I353">
        <v>1</v>
      </c>
      <c r="J353" t="s">
        <v>34</v>
      </c>
      <c r="K353">
        <v>304</v>
      </c>
      <c r="L353">
        <v>38</v>
      </c>
      <c r="M353">
        <v>229</v>
      </c>
      <c r="N353">
        <v>313</v>
      </c>
      <c r="O353">
        <v>38</v>
      </c>
      <c r="P353">
        <v>235</v>
      </c>
      <c r="Q353">
        <v>296</v>
      </c>
      <c r="R353">
        <v>339</v>
      </c>
      <c r="S353">
        <v>227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</row>
    <row r="354" spans="1:25" hidden="1">
      <c r="A354" t="s">
        <v>25</v>
      </c>
      <c r="B354" t="s">
        <v>26</v>
      </c>
      <c r="C354" t="s">
        <v>42</v>
      </c>
      <c r="D354" s="1">
        <v>41763</v>
      </c>
      <c r="E354" s="2">
        <v>0.64583333333333337</v>
      </c>
      <c r="F354" t="s">
        <v>35</v>
      </c>
      <c r="G354" t="s">
        <v>36</v>
      </c>
      <c r="H354">
        <v>2</v>
      </c>
      <c r="I354">
        <v>0</v>
      </c>
      <c r="J354" t="s">
        <v>34</v>
      </c>
      <c r="K354">
        <v>143</v>
      </c>
      <c r="L354">
        <v>543</v>
      </c>
      <c r="M354">
        <v>686</v>
      </c>
      <c r="N354">
        <v>148</v>
      </c>
      <c r="O354">
        <v>543</v>
      </c>
      <c r="P354">
        <v>7</v>
      </c>
      <c r="Q354">
        <v>142</v>
      </c>
      <c r="R354">
        <v>469</v>
      </c>
      <c r="S354">
        <v>637</v>
      </c>
      <c r="T354" t="s">
        <v>31</v>
      </c>
      <c r="U354" t="s">
        <v>31</v>
      </c>
      <c r="V354" t="s">
        <v>31</v>
      </c>
      <c r="W354" t="s">
        <v>31</v>
      </c>
      <c r="X354" t="s">
        <v>31</v>
      </c>
      <c r="Y354" t="s">
        <v>31</v>
      </c>
    </row>
    <row r="355" spans="1:25" hidden="1">
      <c r="A355" t="s">
        <v>25</v>
      </c>
      <c r="B355" t="s">
        <v>26</v>
      </c>
      <c r="C355" t="s">
        <v>42</v>
      </c>
      <c r="D355" s="1">
        <v>41763</v>
      </c>
      <c r="E355" s="2">
        <v>0.64583333333333337</v>
      </c>
      <c r="F355" t="s">
        <v>29</v>
      </c>
      <c r="G355" t="s">
        <v>38</v>
      </c>
      <c r="H355">
        <v>4</v>
      </c>
      <c r="I355">
        <v>0</v>
      </c>
      <c r="J355" t="s">
        <v>34</v>
      </c>
      <c r="K355">
        <v>119</v>
      </c>
      <c r="L355">
        <v>912</v>
      </c>
      <c r="M355">
        <v>1226</v>
      </c>
      <c r="N355">
        <v>12</v>
      </c>
      <c r="O355">
        <v>912</v>
      </c>
      <c r="P355">
        <v>19</v>
      </c>
      <c r="Q355">
        <v>116</v>
      </c>
      <c r="R355">
        <v>75</v>
      </c>
      <c r="S355">
        <v>1308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</row>
    <row r="356" spans="1:25" hidden="1">
      <c r="A356" t="s">
        <v>25</v>
      </c>
      <c r="B356" t="s">
        <v>26</v>
      </c>
      <c r="C356" t="s">
        <v>42</v>
      </c>
      <c r="D356" s="1">
        <v>41763</v>
      </c>
      <c r="E356" s="2">
        <v>0.64583333333333337</v>
      </c>
      <c r="F356" t="s">
        <v>28</v>
      </c>
      <c r="G356" t="s">
        <v>33</v>
      </c>
      <c r="H356">
        <v>1</v>
      </c>
      <c r="I356">
        <v>2</v>
      </c>
      <c r="J356" t="s">
        <v>30</v>
      </c>
      <c r="K356">
        <v>158</v>
      </c>
      <c r="L356">
        <v>474</v>
      </c>
      <c r="M356">
        <v>537</v>
      </c>
      <c r="N356">
        <v>158</v>
      </c>
      <c r="O356">
        <v>475</v>
      </c>
      <c r="P356">
        <v>65</v>
      </c>
      <c r="Q356">
        <v>151</v>
      </c>
      <c r="R356">
        <v>422</v>
      </c>
      <c r="S356">
        <v>583</v>
      </c>
      <c r="T356" t="s">
        <v>31</v>
      </c>
      <c r="U356" t="s">
        <v>31</v>
      </c>
      <c r="V356" t="s">
        <v>31</v>
      </c>
      <c r="W356" t="s">
        <v>31</v>
      </c>
      <c r="X356" t="s">
        <v>31</v>
      </c>
      <c r="Y356" t="s">
        <v>31</v>
      </c>
    </row>
    <row r="357" spans="1:25" hidden="1">
      <c r="A357" t="s">
        <v>25</v>
      </c>
      <c r="B357" t="s">
        <v>26</v>
      </c>
      <c r="C357" t="s">
        <v>42</v>
      </c>
      <c r="D357" s="1">
        <v>41770</v>
      </c>
      <c r="E357" s="2">
        <v>0.64583333333333337</v>
      </c>
      <c r="F357" t="s">
        <v>39</v>
      </c>
      <c r="G357" t="s">
        <v>29</v>
      </c>
      <c r="H357">
        <v>2</v>
      </c>
      <c r="I357">
        <v>0</v>
      </c>
      <c r="J357" t="s">
        <v>34</v>
      </c>
      <c r="K357">
        <v>1032</v>
      </c>
      <c r="L357">
        <v>676</v>
      </c>
      <c r="M357">
        <v>128</v>
      </c>
      <c r="N357">
        <v>13</v>
      </c>
      <c r="O357">
        <v>72</v>
      </c>
      <c r="P357">
        <v>131</v>
      </c>
      <c r="Q357">
        <v>958</v>
      </c>
      <c r="R357">
        <v>62</v>
      </c>
      <c r="S357">
        <v>124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31</v>
      </c>
    </row>
    <row r="358" spans="1:25" hidden="1">
      <c r="A358" t="s">
        <v>25</v>
      </c>
      <c r="B358" t="s">
        <v>26</v>
      </c>
      <c r="C358" t="s">
        <v>42</v>
      </c>
      <c r="D358" s="1">
        <v>41770</v>
      </c>
      <c r="E358" s="2">
        <v>0.64583333333333337</v>
      </c>
      <c r="F358" t="s">
        <v>40</v>
      </c>
      <c r="G358" t="s">
        <v>28</v>
      </c>
      <c r="H358">
        <v>1</v>
      </c>
      <c r="I358">
        <v>2</v>
      </c>
      <c r="J358" t="s">
        <v>30</v>
      </c>
      <c r="K358">
        <v>174</v>
      </c>
      <c r="L358">
        <v>426</v>
      </c>
      <c r="M358">
        <v>469</v>
      </c>
      <c r="N358">
        <v>174</v>
      </c>
      <c r="O358">
        <v>46</v>
      </c>
      <c r="P358">
        <v>7</v>
      </c>
      <c r="Q358">
        <v>16</v>
      </c>
      <c r="R358">
        <v>402</v>
      </c>
      <c r="S358">
        <v>51</v>
      </c>
      <c r="T358" t="s">
        <v>31</v>
      </c>
      <c r="U358" t="s">
        <v>31</v>
      </c>
      <c r="V358" t="s">
        <v>31</v>
      </c>
      <c r="W358" t="s">
        <v>31</v>
      </c>
      <c r="X358" t="s">
        <v>31</v>
      </c>
      <c r="Y358" t="s">
        <v>31</v>
      </c>
    </row>
    <row r="359" spans="1:25" hidden="1">
      <c r="A359" t="s">
        <v>25</v>
      </c>
      <c r="B359" t="s">
        <v>26</v>
      </c>
      <c r="C359" t="s">
        <v>42</v>
      </c>
      <c r="D359" s="1">
        <v>41770</v>
      </c>
      <c r="E359" s="2">
        <v>0.64583333333333337</v>
      </c>
      <c r="F359" t="s">
        <v>38</v>
      </c>
      <c r="G359" t="s">
        <v>35</v>
      </c>
      <c r="H359">
        <v>2</v>
      </c>
      <c r="I359">
        <v>5</v>
      </c>
      <c r="J359" t="s">
        <v>30</v>
      </c>
      <c r="K359">
        <v>376</v>
      </c>
      <c r="L359">
        <v>391</v>
      </c>
      <c r="M359">
        <v>199</v>
      </c>
      <c r="N359">
        <v>39</v>
      </c>
      <c r="O359">
        <v>4</v>
      </c>
      <c r="P359">
        <v>202</v>
      </c>
      <c r="Q359">
        <v>366</v>
      </c>
      <c r="R359">
        <v>355</v>
      </c>
      <c r="S359">
        <v>193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 t="s">
        <v>31</v>
      </c>
    </row>
    <row r="360" spans="1:25" hidden="1">
      <c r="A360" t="s">
        <v>25</v>
      </c>
      <c r="B360" t="s">
        <v>26</v>
      </c>
      <c r="C360" t="s">
        <v>42</v>
      </c>
      <c r="D360" s="1">
        <v>41770</v>
      </c>
      <c r="E360" s="2">
        <v>0.64583333333333337</v>
      </c>
      <c r="F360" t="s">
        <v>36</v>
      </c>
      <c r="G360" t="s">
        <v>43</v>
      </c>
      <c r="H360">
        <v>3</v>
      </c>
      <c r="I360">
        <v>3</v>
      </c>
      <c r="J360" t="s">
        <v>41</v>
      </c>
      <c r="K360">
        <v>401</v>
      </c>
      <c r="L360">
        <v>413</v>
      </c>
      <c r="M360">
        <v>188</v>
      </c>
      <c r="N360">
        <v>5</v>
      </c>
      <c r="O360">
        <v>425</v>
      </c>
      <c r="P360">
        <v>188</v>
      </c>
      <c r="Q360">
        <v>421</v>
      </c>
      <c r="R360">
        <v>387</v>
      </c>
      <c r="S360">
        <v>173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 t="s">
        <v>31</v>
      </c>
    </row>
    <row r="361" spans="1:25" hidden="1">
      <c r="A361" t="s">
        <v>25</v>
      </c>
      <c r="B361" t="s">
        <v>26</v>
      </c>
      <c r="C361" t="s">
        <v>42</v>
      </c>
      <c r="D361" s="1">
        <v>41771</v>
      </c>
      <c r="E361" s="2">
        <v>0.72916666666666663</v>
      </c>
      <c r="F361" t="s">
        <v>33</v>
      </c>
      <c r="G361" t="s">
        <v>37</v>
      </c>
      <c r="H361">
        <v>5</v>
      </c>
      <c r="I361">
        <v>2</v>
      </c>
      <c r="J361" t="s">
        <v>34</v>
      </c>
      <c r="K361">
        <v>32</v>
      </c>
      <c r="L361">
        <v>365</v>
      </c>
      <c r="M361">
        <v>225</v>
      </c>
      <c r="N361">
        <v>32</v>
      </c>
      <c r="O361">
        <v>365</v>
      </c>
      <c r="P361">
        <v>25</v>
      </c>
      <c r="Q361">
        <v>303</v>
      </c>
      <c r="R361">
        <v>338</v>
      </c>
      <c r="S361">
        <v>222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 t="s">
        <v>31</v>
      </c>
    </row>
    <row r="362" spans="1:25" hidden="1">
      <c r="A362" t="s">
        <v>25</v>
      </c>
      <c r="B362" t="s">
        <v>26</v>
      </c>
      <c r="C362" t="s">
        <v>44</v>
      </c>
      <c r="D362" s="1">
        <v>41839</v>
      </c>
      <c r="E362" s="2">
        <v>0.64583333333333337</v>
      </c>
      <c r="F362" t="s">
        <v>29</v>
      </c>
      <c r="G362" t="s">
        <v>35</v>
      </c>
      <c r="H362">
        <v>6</v>
      </c>
      <c r="I362">
        <v>1</v>
      </c>
      <c r="J362" t="s">
        <v>34</v>
      </c>
      <c r="K362">
        <v>132</v>
      </c>
      <c r="L362">
        <v>574</v>
      </c>
      <c r="M362">
        <v>11</v>
      </c>
      <c r="N362">
        <v>137</v>
      </c>
      <c r="O362">
        <v>64</v>
      </c>
      <c r="P362">
        <v>11</v>
      </c>
      <c r="Q362">
        <v>13</v>
      </c>
      <c r="R362">
        <v>527</v>
      </c>
      <c r="S362">
        <v>905</v>
      </c>
      <c r="T362" t="s">
        <v>31</v>
      </c>
      <c r="U362" t="s">
        <v>31</v>
      </c>
      <c r="V362" t="s">
        <v>31</v>
      </c>
      <c r="W362" t="s">
        <v>31</v>
      </c>
      <c r="X362" t="s">
        <v>31</v>
      </c>
      <c r="Y362" t="s">
        <v>31</v>
      </c>
    </row>
    <row r="363" spans="1:25" hidden="1">
      <c r="A363" t="s">
        <v>25</v>
      </c>
      <c r="B363" t="s">
        <v>26</v>
      </c>
      <c r="C363" t="s">
        <v>44</v>
      </c>
      <c r="D363" s="1">
        <v>41839</v>
      </c>
      <c r="E363" s="2">
        <v>0.75</v>
      </c>
      <c r="F363" t="s">
        <v>37</v>
      </c>
      <c r="G363" t="s">
        <v>39</v>
      </c>
      <c r="H363">
        <v>1</v>
      </c>
      <c r="I363">
        <v>4</v>
      </c>
      <c r="J363" t="s">
        <v>30</v>
      </c>
      <c r="K363">
        <v>201</v>
      </c>
      <c r="L363">
        <v>358</v>
      </c>
      <c r="M363">
        <v>404</v>
      </c>
      <c r="N363">
        <v>21</v>
      </c>
      <c r="O363">
        <v>36</v>
      </c>
      <c r="P363">
        <v>404</v>
      </c>
      <c r="Q363">
        <v>201</v>
      </c>
      <c r="R363">
        <v>341</v>
      </c>
      <c r="S363">
        <v>354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</row>
    <row r="364" spans="1:25" hidden="1">
      <c r="A364" t="s">
        <v>25</v>
      </c>
      <c r="B364" t="s">
        <v>26</v>
      </c>
      <c r="C364" t="s">
        <v>44</v>
      </c>
      <c r="D364" s="1">
        <v>41839</v>
      </c>
      <c r="E364" s="2">
        <v>0.75</v>
      </c>
      <c r="F364" t="s">
        <v>45</v>
      </c>
      <c r="G364" t="s">
        <v>28</v>
      </c>
      <c r="H364">
        <v>1</v>
      </c>
      <c r="I364">
        <v>0</v>
      </c>
      <c r="J364" t="s">
        <v>34</v>
      </c>
      <c r="K364">
        <v>252</v>
      </c>
      <c r="L364">
        <v>348</v>
      </c>
      <c r="M364">
        <v>294</v>
      </c>
      <c r="N364">
        <v>262</v>
      </c>
      <c r="O364">
        <v>35</v>
      </c>
      <c r="P364">
        <v>294</v>
      </c>
      <c r="Q364">
        <v>247</v>
      </c>
      <c r="R364">
        <v>323</v>
      </c>
      <c r="S364">
        <v>278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  <c r="Y364" t="s">
        <v>31</v>
      </c>
    </row>
    <row r="365" spans="1:25" hidden="1">
      <c r="A365" t="s">
        <v>25</v>
      </c>
      <c r="B365" t="s">
        <v>26</v>
      </c>
      <c r="C365" t="s">
        <v>44</v>
      </c>
      <c r="D365" s="1">
        <v>41839</v>
      </c>
      <c r="E365" s="2">
        <v>0.75</v>
      </c>
      <c r="F365" t="s">
        <v>38</v>
      </c>
      <c r="G365" t="s">
        <v>33</v>
      </c>
      <c r="H365">
        <v>3</v>
      </c>
      <c r="I365">
        <v>1</v>
      </c>
      <c r="J365" t="s">
        <v>34</v>
      </c>
      <c r="K365">
        <v>179</v>
      </c>
      <c r="L365">
        <v>395</v>
      </c>
      <c r="M365">
        <v>468</v>
      </c>
      <c r="N365">
        <v>179</v>
      </c>
      <c r="O365">
        <v>42</v>
      </c>
      <c r="P365">
        <v>575</v>
      </c>
      <c r="Q365">
        <v>167</v>
      </c>
      <c r="R365">
        <v>374</v>
      </c>
      <c r="S365">
        <v>491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31</v>
      </c>
    </row>
    <row r="366" spans="1:25" hidden="1">
      <c r="A366" t="s">
        <v>25</v>
      </c>
      <c r="B366" t="s">
        <v>26</v>
      </c>
      <c r="C366" t="s">
        <v>44</v>
      </c>
      <c r="D366" s="1">
        <v>41840</v>
      </c>
      <c r="E366" s="2">
        <v>0.64583333333333337</v>
      </c>
      <c r="F366" t="s">
        <v>40</v>
      </c>
      <c r="G366" t="s">
        <v>43</v>
      </c>
      <c r="H366">
        <v>1</v>
      </c>
      <c r="I366">
        <v>1</v>
      </c>
      <c r="J366" t="s">
        <v>41</v>
      </c>
      <c r="K366">
        <v>169</v>
      </c>
      <c r="L366">
        <v>405</v>
      </c>
      <c r="M366">
        <v>534</v>
      </c>
      <c r="N366">
        <v>173</v>
      </c>
      <c r="O366">
        <v>405</v>
      </c>
      <c r="P366">
        <v>538</v>
      </c>
      <c r="Q366">
        <v>166</v>
      </c>
      <c r="R366">
        <v>374</v>
      </c>
      <c r="S366">
        <v>487</v>
      </c>
      <c r="T366" t="s">
        <v>31</v>
      </c>
      <c r="U366" t="s">
        <v>31</v>
      </c>
      <c r="V366" t="s">
        <v>31</v>
      </c>
      <c r="W366" t="s">
        <v>31</v>
      </c>
      <c r="X366" t="s">
        <v>31</v>
      </c>
      <c r="Y366" t="s">
        <v>31</v>
      </c>
    </row>
    <row r="367" spans="1:25" hidden="1">
      <c r="A367" t="s">
        <v>25</v>
      </c>
      <c r="B367" t="s">
        <v>26</v>
      </c>
      <c r="C367" t="s">
        <v>44</v>
      </c>
      <c r="D367" s="1">
        <v>41846</v>
      </c>
      <c r="E367" s="2">
        <v>0.64583333333333337</v>
      </c>
      <c r="F367" t="s">
        <v>39</v>
      </c>
      <c r="G367" t="s">
        <v>40</v>
      </c>
      <c r="H367">
        <v>4</v>
      </c>
      <c r="I367">
        <v>0</v>
      </c>
      <c r="J367" t="s">
        <v>34</v>
      </c>
      <c r="K367">
        <v>304</v>
      </c>
      <c r="L367">
        <v>349</v>
      </c>
      <c r="M367">
        <v>243</v>
      </c>
      <c r="N367">
        <v>315</v>
      </c>
      <c r="O367">
        <v>35</v>
      </c>
      <c r="P367">
        <v>245</v>
      </c>
      <c r="Q367">
        <v>298</v>
      </c>
      <c r="R367">
        <v>326</v>
      </c>
      <c r="S367">
        <v>232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31</v>
      </c>
    </row>
    <row r="368" spans="1:25" hidden="1">
      <c r="A368" t="s">
        <v>25</v>
      </c>
      <c r="B368" t="s">
        <v>26</v>
      </c>
      <c r="C368" t="s">
        <v>44</v>
      </c>
      <c r="D368" s="1">
        <v>41846</v>
      </c>
      <c r="E368" s="2">
        <v>0.75</v>
      </c>
      <c r="F368" t="s">
        <v>33</v>
      </c>
      <c r="G368" t="s">
        <v>29</v>
      </c>
      <c r="H368">
        <v>0</v>
      </c>
      <c r="I368">
        <v>5</v>
      </c>
      <c r="J368" t="s">
        <v>30</v>
      </c>
      <c r="K368">
        <v>184</v>
      </c>
      <c r="L368">
        <v>93</v>
      </c>
      <c r="M368">
        <v>116</v>
      </c>
      <c r="N368">
        <v>19</v>
      </c>
      <c r="O368">
        <v>11</v>
      </c>
      <c r="P368">
        <v>117</v>
      </c>
      <c r="Q368">
        <v>1425</v>
      </c>
      <c r="R368">
        <v>813</v>
      </c>
      <c r="S368">
        <v>114</v>
      </c>
      <c r="T368" t="s">
        <v>31</v>
      </c>
      <c r="U368" t="s">
        <v>31</v>
      </c>
      <c r="V368" t="s">
        <v>31</v>
      </c>
      <c r="W368" t="s">
        <v>31</v>
      </c>
      <c r="X368" t="s">
        <v>31</v>
      </c>
      <c r="Y368" t="s">
        <v>31</v>
      </c>
    </row>
    <row r="369" spans="1:25" hidden="1">
      <c r="A369" t="s">
        <v>25</v>
      </c>
      <c r="B369" t="s">
        <v>26</v>
      </c>
      <c r="C369" t="s">
        <v>44</v>
      </c>
      <c r="D369" s="1">
        <v>41846</v>
      </c>
      <c r="E369" s="2">
        <v>0.75</v>
      </c>
      <c r="F369" t="s">
        <v>35</v>
      </c>
      <c r="G369" t="s">
        <v>38</v>
      </c>
      <c r="H369">
        <v>1</v>
      </c>
      <c r="I369">
        <v>0</v>
      </c>
      <c r="J369" t="s">
        <v>34</v>
      </c>
      <c r="K369">
        <v>165</v>
      </c>
      <c r="L369">
        <v>42</v>
      </c>
      <c r="M369">
        <v>549</v>
      </c>
      <c r="N369">
        <v>167</v>
      </c>
      <c r="O369">
        <v>43</v>
      </c>
      <c r="P369">
        <v>59</v>
      </c>
      <c r="Q369">
        <v>16</v>
      </c>
      <c r="R369">
        <v>393</v>
      </c>
      <c r="S369">
        <v>517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 t="s">
        <v>31</v>
      </c>
    </row>
    <row r="370" spans="1:25" hidden="1">
      <c r="A370" t="s">
        <v>25</v>
      </c>
      <c r="B370" t="s">
        <v>26</v>
      </c>
      <c r="C370" t="s">
        <v>44</v>
      </c>
      <c r="D370" s="1">
        <v>41847</v>
      </c>
      <c r="E370" s="2">
        <v>0.64583333333333337</v>
      </c>
      <c r="F370" t="s">
        <v>43</v>
      </c>
      <c r="G370" t="s">
        <v>28</v>
      </c>
      <c r="H370">
        <v>2</v>
      </c>
      <c r="I370">
        <v>1</v>
      </c>
      <c r="J370" t="s">
        <v>34</v>
      </c>
      <c r="K370">
        <v>229</v>
      </c>
      <c r="L370">
        <v>356</v>
      </c>
      <c r="M370">
        <v>325</v>
      </c>
      <c r="N370">
        <v>23</v>
      </c>
      <c r="O370">
        <v>358</v>
      </c>
      <c r="P370">
        <v>33</v>
      </c>
      <c r="Q370">
        <v>219</v>
      </c>
      <c r="R370">
        <v>331</v>
      </c>
      <c r="S370">
        <v>315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 t="s">
        <v>31</v>
      </c>
    </row>
    <row r="371" spans="1:25" hidden="1">
      <c r="A371" t="s">
        <v>25</v>
      </c>
      <c r="B371" t="s">
        <v>26</v>
      </c>
      <c r="C371" t="s">
        <v>44</v>
      </c>
      <c r="D371" s="1">
        <v>41853</v>
      </c>
      <c r="E371" s="2">
        <v>0.64583333333333337</v>
      </c>
      <c r="F371" t="s">
        <v>37</v>
      </c>
      <c r="G371" t="s">
        <v>35</v>
      </c>
      <c r="H371">
        <v>1</v>
      </c>
      <c r="I371">
        <v>1</v>
      </c>
      <c r="J371" t="s">
        <v>41</v>
      </c>
      <c r="K371">
        <v>395</v>
      </c>
      <c r="L371">
        <v>372</v>
      </c>
      <c r="M371">
        <v>199</v>
      </c>
      <c r="N371">
        <v>395</v>
      </c>
      <c r="O371">
        <v>372</v>
      </c>
      <c r="P371">
        <v>212</v>
      </c>
      <c r="Q371">
        <v>349</v>
      </c>
      <c r="R371">
        <v>341</v>
      </c>
      <c r="S371">
        <v>202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31</v>
      </c>
    </row>
    <row r="372" spans="1:25" hidden="1">
      <c r="A372" t="s">
        <v>25</v>
      </c>
      <c r="B372" t="s">
        <v>26</v>
      </c>
      <c r="C372" t="s">
        <v>44</v>
      </c>
      <c r="D372" s="1">
        <v>41853</v>
      </c>
      <c r="E372" s="2">
        <v>0.75</v>
      </c>
      <c r="F372" t="s">
        <v>40</v>
      </c>
      <c r="G372" t="s">
        <v>45</v>
      </c>
      <c r="H372">
        <v>0</v>
      </c>
      <c r="I372">
        <v>0</v>
      </c>
      <c r="J372" t="s">
        <v>41</v>
      </c>
      <c r="K372">
        <v>17</v>
      </c>
      <c r="L372">
        <v>409</v>
      </c>
      <c r="M372">
        <v>518</v>
      </c>
      <c r="N372">
        <v>17</v>
      </c>
      <c r="O372">
        <v>41</v>
      </c>
      <c r="P372">
        <v>555</v>
      </c>
      <c r="Q372">
        <v>164</v>
      </c>
      <c r="R372">
        <v>381</v>
      </c>
      <c r="S372">
        <v>496</v>
      </c>
      <c r="T372" t="s">
        <v>31</v>
      </c>
      <c r="U372" t="s">
        <v>31</v>
      </c>
      <c r="V372" t="s">
        <v>31</v>
      </c>
      <c r="W372" t="s">
        <v>31</v>
      </c>
      <c r="X372" t="s">
        <v>31</v>
      </c>
      <c r="Y372" t="s">
        <v>31</v>
      </c>
    </row>
    <row r="373" spans="1:25" hidden="1">
      <c r="A373" t="s">
        <v>25</v>
      </c>
      <c r="B373" t="s">
        <v>26</v>
      </c>
      <c r="C373" t="s">
        <v>44</v>
      </c>
      <c r="D373" s="1">
        <v>41853</v>
      </c>
      <c r="E373" s="2">
        <v>0.75</v>
      </c>
      <c r="F373" t="s">
        <v>38</v>
      </c>
      <c r="G373" t="s">
        <v>29</v>
      </c>
      <c r="H373">
        <v>0</v>
      </c>
      <c r="I373">
        <v>2</v>
      </c>
      <c r="J373" t="s">
        <v>30</v>
      </c>
      <c r="K373">
        <v>115</v>
      </c>
      <c r="L373">
        <v>646</v>
      </c>
      <c r="M373">
        <v>128</v>
      </c>
      <c r="N373">
        <v>1152</v>
      </c>
      <c r="O373">
        <v>7</v>
      </c>
      <c r="P373">
        <v>128</v>
      </c>
      <c r="Q373">
        <v>922</v>
      </c>
      <c r="R373">
        <v>615</v>
      </c>
      <c r="S373">
        <v>125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31</v>
      </c>
    </row>
    <row r="374" spans="1:25" hidden="1">
      <c r="A374" t="s">
        <v>25</v>
      </c>
      <c r="B374" t="s">
        <v>26</v>
      </c>
      <c r="C374" t="s">
        <v>44</v>
      </c>
      <c r="D374" s="1">
        <v>41853</v>
      </c>
      <c r="E374" s="2">
        <v>0.75</v>
      </c>
      <c r="F374" t="s">
        <v>28</v>
      </c>
      <c r="G374" t="s">
        <v>33</v>
      </c>
      <c r="H374">
        <v>4</v>
      </c>
      <c r="I374">
        <v>2</v>
      </c>
      <c r="J374" t="s">
        <v>34</v>
      </c>
      <c r="K374">
        <v>143</v>
      </c>
      <c r="L374">
        <v>481</v>
      </c>
      <c r="M374">
        <v>844</v>
      </c>
      <c r="N374">
        <v>154</v>
      </c>
      <c r="O374">
        <v>485</v>
      </c>
      <c r="P374">
        <v>9</v>
      </c>
      <c r="Q374">
        <v>143</v>
      </c>
      <c r="R374">
        <v>438</v>
      </c>
      <c r="S374">
        <v>703</v>
      </c>
      <c r="T374" t="s">
        <v>31</v>
      </c>
      <c r="U374" t="s">
        <v>31</v>
      </c>
      <c r="V374" t="s">
        <v>31</v>
      </c>
      <c r="W374" t="s">
        <v>31</v>
      </c>
      <c r="X374" t="s">
        <v>31</v>
      </c>
      <c r="Y374" t="s">
        <v>31</v>
      </c>
    </row>
    <row r="375" spans="1:25" hidden="1">
      <c r="A375" t="s">
        <v>25</v>
      </c>
      <c r="B375" t="s">
        <v>26</v>
      </c>
      <c r="C375" t="s">
        <v>44</v>
      </c>
      <c r="D375" s="1">
        <v>41854</v>
      </c>
      <c r="E375" s="2">
        <v>0.64583333333333337</v>
      </c>
      <c r="F375" t="s">
        <v>43</v>
      </c>
      <c r="G375" t="s">
        <v>39</v>
      </c>
      <c r="H375">
        <v>0</v>
      </c>
      <c r="I375">
        <v>2</v>
      </c>
      <c r="J375" t="s">
        <v>30</v>
      </c>
      <c r="K375">
        <v>272</v>
      </c>
      <c r="L375">
        <v>363</v>
      </c>
      <c r="M375">
        <v>262</v>
      </c>
      <c r="N375">
        <v>274</v>
      </c>
      <c r="O375">
        <v>375</v>
      </c>
      <c r="P375">
        <v>275</v>
      </c>
      <c r="Q375">
        <v>256</v>
      </c>
      <c r="R375">
        <v>334</v>
      </c>
      <c r="S375">
        <v>261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31</v>
      </c>
    </row>
    <row r="376" spans="1:25" hidden="1">
      <c r="A376" t="s">
        <v>25</v>
      </c>
      <c r="B376" t="s">
        <v>26</v>
      </c>
      <c r="C376" t="s">
        <v>44</v>
      </c>
      <c r="D376" s="1">
        <v>41860</v>
      </c>
      <c r="E376" s="2">
        <v>0.64583333333333337</v>
      </c>
      <c r="F376" t="s">
        <v>33</v>
      </c>
      <c r="G376" t="s">
        <v>40</v>
      </c>
      <c r="H376">
        <v>2</v>
      </c>
      <c r="I376">
        <v>2</v>
      </c>
      <c r="J376" t="s">
        <v>41</v>
      </c>
      <c r="K376">
        <v>509</v>
      </c>
      <c r="L376">
        <v>4</v>
      </c>
      <c r="M376">
        <v>173</v>
      </c>
      <c r="N376">
        <v>53</v>
      </c>
      <c r="O376">
        <v>425</v>
      </c>
      <c r="P376">
        <v>191</v>
      </c>
      <c r="Q376">
        <v>458</v>
      </c>
      <c r="R376">
        <v>365</v>
      </c>
      <c r="S376">
        <v>171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 t="s">
        <v>31</v>
      </c>
    </row>
    <row r="377" spans="1:25" hidden="1">
      <c r="A377" t="s">
        <v>25</v>
      </c>
      <c r="B377" t="s">
        <v>26</v>
      </c>
      <c r="C377" t="s">
        <v>44</v>
      </c>
      <c r="D377" s="1">
        <v>41860</v>
      </c>
      <c r="E377" s="2">
        <v>0.75</v>
      </c>
      <c r="F377" t="s">
        <v>45</v>
      </c>
      <c r="G377" t="s">
        <v>39</v>
      </c>
      <c r="H377">
        <v>1</v>
      </c>
      <c r="I377">
        <v>2</v>
      </c>
      <c r="J377" t="s">
        <v>30</v>
      </c>
      <c r="K377">
        <v>259</v>
      </c>
      <c r="L377">
        <v>351</v>
      </c>
      <c r="M377">
        <v>283</v>
      </c>
      <c r="N377">
        <v>29</v>
      </c>
      <c r="O377">
        <v>351</v>
      </c>
      <c r="P377">
        <v>283</v>
      </c>
      <c r="Q377">
        <v>266</v>
      </c>
      <c r="R377">
        <v>325</v>
      </c>
      <c r="S377">
        <v>258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 t="s">
        <v>31</v>
      </c>
    </row>
    <row r="378" spans="1:25" hidden="1">
      <c r="A378" t="s">
        <v>25</v>
      </c>
      <c r="B378" t="s">
        <v>26</v>
      </c>
      <c r="C378" t="s">
        <v>44</v>
      </c>
      <c r="D378" s="1">
        <v>41860</v>
      </c>
      <c r="E378" s="2">
        <v>0.75</v>
      </c>
      <c r="F378" t="s">
        <v>35</v>
      </c>
      <c r="G378" t="s">
        <v>28</v>
      </c>
      <c r="H378">
        <v>1</v>
      </c>
      <c r="I378">
        <v>1</v>
      </c>
      <c r="J378" t="s">
        <v>41</v>
      </c>
      <c r="K378">
        <v>192</v>
      </c>
      <c r="L378">
        <v>381</v>
      </c>
      <c r="M378">
        <v>416</v>
      </c>
      <c r="N378">
        <v>196</v>
      </c>
      <c r="O378">
        <v>381</v>
      </c>
      <c r="P378">
        <v>45</v>
      </c>
      <c r="Q378">
        <v>187</v>
      </c>
      <c r="R378">
        <v>353</v>
      </c>
      <c r="S378">
        <v>393</v>
      </c>
      <c r="T378" t="s">
        <v>31</v>
      </c>
      <c r="U378" t="s">
        <v>31</v>
      </c>
      <c r="V378" t="s">
        <v>31</v>
      </c>
      <c r="W378" t="s">
        <v>31</v>
      </c>
      <c r="X378" t="s">
        <v>31</v>
      </c>
      <c r="Y378" t="s">
        <v>31</v>
      </c>
    </row>
    <row r="379" spans="1:25" hidden="1">
      <c r="A379" t="s">
        <v>25</v>
      </c>
      <c r="B379" t="s">
        <v>26</v>
      </c>
      <c r="C379" t="s">
        <v>44</v>
      </c>
      <c r="D379" s="1">
        <v>41860</v>
      </c>
      <c r="E379" s="2">
        <v>0.75</v>
      </c>
      <c r="F379" t="s">
        <v>38</v>
      </c>
      <c r="G379" t="s">
        <v>37</v>
      </c>
      <c r="H379">
        <v>1</v>
      </c>
      <c r="I379">
        <v>1</v>
      </c>
      <c r="J379" t="s">
        <v>41</v>
      </c>
      <c r="K379">
        <v>22</v>
      </c>
      <c r="L379">
        <v>363</v>
      </c>
      <c r="M379">
        <v>339</v>
      </c>
      <c r="N379">
        <v>22</v>
      </c>
      <c r="O379">
        <v>37</v>
      </c>
      <c r="P379">
        <v>397</v>
      </c>
      <c r="Q379">
        <v>206</v>
      </c>
      <c r="R379">
        <v>343</v>
      </c>
      <c r="S379">
        <v>337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31</v>
      </c>
    </row>
    <row r="380" spans="1:25" hidden="1">
      <c r="A380" t="s">
        <v>25</v>
      </c>
      <c r="B380" t="s">
        <v>26</v>
      </c>
      <c r="C380" t="s">
        <v>44</v>
      </c>
      <c r="D380" s="1">
        <v>41861</v>
      </c>
      <c r="E380" s="2">
        <v>0.64583333333333337</v>
      </c>
      <c r="F380" t="s">
        <v>29</v>
      </c>
      <c r="G380" t="s">
        <v>43</v>
      </c>
      <c r="H380">
        <v>8</v>
      </c>
      <c r="I380">
        <v>0</v>
      </c>
      <c r="J380" t="s">
        <v>34</v>
      </c>
      <c r="K380">
        <v>11</v>
      </c>
      <c r="L380">
        <v>1143</v>
      </c>
      <c r="M380">
        <v>2597</v>
      </c>
      <c r="N380">
        <v>117</v>
      </c>
      <c r="O380">
        <v>13</v>
      </c>
      <c r="P380">
        <v>271</v>
      </c>
      <c r="Q380">
        <v>109</v>
      </c>
      <c r="R380">
        <v>1006</v>
      </c>
      <c r="S380">
        <v>1872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  <c r="Y380" t="s">
        <v>31</v>
      </c>
    </row>
    <row r="381" spans="1:25" hidden="1">
      <c r="A381" t="s">
        <v>25</v>
      </c>
      <c r="B381" t="s">
        <v>26</v>
      </c>
      <c r="C381" t="s">
        <v>44</v>
      </c>
      <c r="D381" s="1">
        <v>41864</v>
      </c>
      <c r="E381" s="2">
        <v>0.77083333333333337</v>
      </c>
      <c r="F381" t="s">
        <v>45</v>
      </c>
      <c r="G381" t="s">
        <v>37</v>
      </c>
      <c r="H381">
        <v>0</v>
      </c>
      <c r="I381">
        <v>2</v>
      </c>
      <c r="J381" t="s">
        <v>30</v>
      </c>
      <c r="K381">
        <v>209</v>
      </c>
      <c r="L381">
        <v>369</v>
      </c>
      <c r="M381">
        <v>365</v>
      </c>
      <c r="N381">
        <v>212</v>
      </c>
      <c r="O381">
        <v>369</v>
      </c>
      <c r="P381">
        <v>39</v>
      </c>
      <c r="Q381">
        <v>204</v>
      </c>
      <c r="R381">
        <v>339</v>
      </c>
      <c r="S381">
        <v>346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31</v>
      </c>
    </row>
    <row r="382" spans="1:25" hidden="1">
      <c r="A382" t="s">
        <v>25</v>
      </c>
      <c r="B382" t="s">
        <v>26</v>
      </c>
      <c r="C382" t="s">
        <v>44</v>
      </c>
      <c r="D382" s="1">
        <v>41867</v>
      </c>
      <c r="E382" s="2">
        <v>0.64583333333333337</v>
      </c>
      <c r="F382" t="s">
        <v>35</v>
      </c>
      <c r="G382" t="s">
        <v>45</v>
      </c>
      <c r="H382">
        <v>0</v>
      </c>
      <c r="I382">
        <v>1</v>
      </c>
      <c r="J382" t="s">
        <v>30</v>
      </c>
      <c r="K382">
        <v>166</v>
      </c>
      <c r="L382">
        <v>416</v>
      </c>
      <c r="M382">
        <v>551</v>
      </c>
      <c r="N382">
        <v>175</v>
      </c>
      <c r="O382">
        <v>416</v>
      </c>
      <c r="P382">
        <v>58</v>
      </c>
      <c r="Q382">
        <v>162</v>
      </c>
      <c r="R382">
        <v>384</v>
      </c>
      <c r="S382">
        <v>52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31</v>
      </c>
    </row>
    <row r="383" spans="1:25" hidden="1">
      <c r="A383" t="s">
        <v>25</v>
      </c>
      <c r="B383" t="s">
        <v>26</v>
      </c>
      <c r="C383" t="s">
        <v>44</v>
      </c>
      <c r="D383" s="1">
        <v>41867</v>
      </c>
      <c r="E383" s="2">
        <v>0.75</v>
      </c>
      <c r="F383" t="s">
        <v>39</v>
      </c>
      <c r="G383" t="s">
        <v>38</v>
      </c>
      <c r="H383">
        <v>4</v>
      </c>
      <c r="I383">
        <v>1</v>
      </c>
      <c r="J383" t="s">
        <v>34</v>
      </c>
      <c r="K383">
        <v>185</v>
      </c>
      <c r="L383">
        <v>385</v>
      </c>
      <c r="M383">
        <v>445</v>
      </c>
      <c r="N383">
        <v>187</v>
      </c>
      <c r="O383">
        <v>385</v>
      </c>
      <c r="P383">
        <v>45</v>
      </c>
      <c r="Q383">
        <v>182</v>
      </c>
      <c r="R383">
        <v>357</v>
      </c>
      <c r="S383">
        <v>41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31</v>
      </c>
    </row>
    <row r="384" spans="1:25" hidden="1">
      <c r="A384" t="s">
        <v>25</v>
      </c>
      <c r="B384" t="s">
        <v>26</v>
      </c>
      <c r="C384" t="s">
        <v>44</v>
      </c>
      <c r="D384" s="1">
        <v>41867</v>
      </c>
      <c r="E384" s="2">
        <v>0.75</v>
      </c>
      <c r="F384" t="s">
        <v>37</v>
      </c>
      <c r="G384" t="s">
        <v>29</v>
      </c>
      <c r="H384">
        <v>0</v>
      </c>
      <c r="I384">
        <v>3</v>
      </c>
      <c r="J384" t="s">
        <v>30</v>
      </c>
      <c r="K384">
        <v>10</v>
      </c>
      <c r="L384">
        <v>64</v>
      </c>
      <c r="M384">
        <v>13</v>
      </c>
      <c r="N384">
        <v>13</v>
      </c>
      <c r="O384">
        <v>75</v>
      </c>
      <c r="P384">
        <v>13</v>
      </c>
      <c r="Q384">
        <v>1043</v>
      </c>
      <c r="R384">
        <v>606</v>
      </c>
      <c r="S384">
        <v>124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31</v>
      </c>
    </row>
    <row r="385" spans="1:25" hidden="1">
      <c r="A385" t="s">
        <v>25</v>
      </c>
      <c r="B385" t="s">
        <v>26</v>
      </c>
      <c r="C385" t="s">
        <v>44</v>
      </c>
      <c r="D385" s="1">
        <v>41867</v>
      </c>
      <c r="E385" s="2">
        <v>0.75</v>
      </c>
      <c r="F385" t="s">
        <v>43</v>
      </c>
      <c r="G385" t="s">
        <v>33</v>
      </c>
      <c r="H385">
        <v>3</v>
      </c>
      <c r="I385">
        <v>0</v>
      </c>
      <c r="J385" t="s">
        <v>34</v>
      </c>
      <c r="K385">
        <v>161</v>
      </c>
      <c r="L385">
        <v>473</v>
      </c>
      <c r="M385">
        <v>514</v>
      </c>
      <c r="N385">
        <v>17</v>
      </c>
      <c r="O385">
        <v>473</v>
      </c>
      <c r="P385">
        <v>57</v>
      </c>
      <c r="Q385">
        <v>16</v>
      </c>
      <c r="R385">
        <v>405</v>
      </c>
      <c r="S385">
        <v>5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31</v>
      </c>
    </row>
    <row r="386" spans="1:25" hidden="1">
      <c r="A386" t="s">
        <v>25</v>
      </c>
      <c r="B386" t="s">
        <v>26</v>
      </c>
      <c r="C386" t="s">
        <v>44</v>
      </c>
      <c r="D386" s="1">
        <v>41868</v>
      </c>
      <c r="E386" s="2">
        <v>0.64583333333333337</v>
      </c>
      <c r="F386" t="s">
        <v>28</v>
      </c>
      <c r="G386" t="s">
        <v>40</v>
      </c>
      <c r="H386">
        <v>1</v>
      </c>
      <c r="I386">
        <v>1</v>
      </c>
      <c r="J386" t="s">
        <v>41</v>
      </c>
      <c r="K386">
        <v>264</v>
      </c>
      <c r="L386">
        <v>33</v>
      </c>
      <c r="M386">
        <v>291</v>
      </c>
      <c r="N386">
        <v>264</v>
      </c>
      <c r="O386">
        <v>35</v>
      </c>
      <c r="P386">
        <v>295</v>
      </c>
      <c r="Q386">
        <v>244</v>
      </c>
      <c r="R386">
        <v>32</v>
      </c>
      <c r="S386">
        <v>285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</row>
    <row r="387" spans="1:25" hidden="1">
      <c r="A387" t="s">
        <v>25</v>
      </c>
      <c r="B387" t="s">
        <v>26</v>
      </c>
      <c r="C387" t="s">
        <v>44</v>
      </c>
      <c r="D387" s="1">
        <v>41874</v>
      </c>
      <c r="E387" s="2">
        <v>0.64583333333333337</v>
      </c>
      <c r="F387" t="s">
        <v>28</v>
      </c>
      <c r="G387" t="s">
        <v>39</v>
      </c>
      <c r="H387">
        <v>1</v>
      </c>
      <c r="I387">
        <v>2</v>
      </c>
      <c r="J387" t="s">
        <v>30</v>
      </c>
      <c r="K387">
        <v>238</v>
      </c>
      <c r="L387">
        <v>352</v>
      </c>
      <c r="M387">
        <v>312</v>
      </c>
      <c r="N387">
        <v>25</v>
      </c>
      <c r="O387">
        <v>36</v>
      </c>
      <c r="P387">
        <v>312</v>
      </c>
      <c r="Q387">
        <v>233</v>
      </c>
      <c r="R387">
        <v>327</v>
      </c>
      <c r="S387">
        <v>294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</row>
    <row r="388" spans="1:25" hidden="1">
      <c r="A388" t="s">
        <v>25</v>
      </c>
      <c r="B388" t="s">
        <v>26</v>
      </c>
      <c r="C388" t="s">
        <v>44</v>
      </c>
      <c r="D388" s="1">
        <v>41874</v>
      </c>
      <c r="E388" s="2">
        <v>0.75</v>
      </c>
      <c r="F388" t="s">
        <v>33</v>
      </c>
      <c r="G388" t="s">
        <v>37</v>
      </c>
      <c r="H388">
        <v>5</v>
      </c>
      <c r="I388">
        <v>4</v>
      </c>
      <c r="J388" t="s">
        <v>34</v>
      </c>
      <c r="K388">
        <v>344</v>
      </c>
      <c r="L388">
        <v>368</v>
      </c>
      <c r="M388">
        <v>216</v>
      </c>
      <c r="N388">
        <v>344</v>
      </c>
      <c r="O388">
        <v>385</v>
      </c>
      <c r="P388">
        <v>23</v>
      </c>
      <c r="Q388">
        <v>321</v>
      </c>
      <c r="R388">
        <v>342</v>
      </c>
      <c r="S388">
        <v>212</v>
      </c>
      <c r="T388" t="s">
        <v>31</v>
      </c>
      <c r="U388" t="s">
        <v>31</v>
      </c>
      <c r="V388" t="s">
        <v>31</v>
      </c>
      <c r="W388" t="s">
        <v>31</v>
      </c>
      <c r="X388" t="s">
        <v>31</v>
      </c>
      <c r="Y388" t="s">
        <v>31</v>
      </c>
    </row>
    <row r="389" spans="1:25" hidden="1">
      <c r="A389" t="s">
        <v>25</v>
      </c>
      <c r="B389" t="s">
        <v>26</v>
      </c>
      <c r="C389" t="s">
        <v>44</v>
      </c>
      <c r="D389" s="1">
        <v>41874</v>
      </c>
      <c r="E389" s="2">
        <v>0.75</v>
      </c>
      <c r="F389" t="s">
        <v>38</v>
      </c>
      <c r="G389" t="s">
        <v>43</v>
      </c>
      <c r="H389">
        <v>2</v>
      </c>
      <c r="I389">
        <v>2</v>
      </c>
      <c r="J389" t="s">
        <v>41</v>
      </c>
      <c r="K389">
        <v>242</v>
      </c>
      <c r="L389">
        <v>374</v>
      </c>
      <c r="M389">
        <v>29</v>
      </c>
      <c r="N389">
        <v>242</v>
      </c>
      <c r="O389">
        <v>374</v>
      </c>
      <c r="P389">
        <v>329</v>
      </c>
      <c r="Q389">
        <v>224</v>
      </c>
      <c r="R389">
        <v>342</v>
      </c>
      <c r="S389">
        <v>299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31</v>
      </c>
    </row>
    <row r="390" spans="1:25" hidden="1">
      <c r="A390" t="s">
        <v>25</v>
      </c>
      <c r="B390" t="s">
        <v>26</v>
      </c>
      <c r="C390" t="s">
        <v>44</v>
      </c>
      <c r="D390" s="1">
        <v>41874</v>
      </c>
      <c r="E390" s="2">
        <v>0.75</v>
      </c>
      <c r="F390" t="s">
        <v>29</v>
      </c>
      <c r="G390" t="s">
        <v>45</v>
      </c>
      <c r="H390">
        <v>5</v>
      </c>
      <c r="I390">
        <v>0</v>
      </c>
      <c r="J390" t="s">
        <v>34</v>
      </c>
      <c r="K390">
        <v>115</v>
      </c>
      <c r="L390">
        <v>974</v>
      </c>
      <c r="M390">
        <v>1971</v>
      </c>
      <c r="N390">
        <v>115</v>
      </c>
      <c r="O390">
        <v>11</v>
      </c>
      <c r="P390">
        <v>2042</v>
      </c>
      <c r="Q390">
        <v>112</v>
      </c>
      <c r="R390">
        <v>863</v>
      </c>
      <c r="S390">
        <v>1604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 t="s">
        <v>31</v>
      </c>
    </row>
    <row r="391" spans="1:25" hidden="1">
      <c r="A391" t="s">
        <v>25</v>
      </c>
      <c r="B391" t="s">
        <v>26</v>
      </c>
      <c r="C391" t="s">
        <v>44</v>
      </c>
      <c r="D391" s="1">
        <v>41875</v>
      </c>
      <c r="E391" s="2">
        <v>0.64583333333333337</v>
      </c>
      <c r="F391" t="s">
        <v>40</v>
      </c>
      <c r="G391" t="s">
        <v>35</v>
      </c>
      <c r="H391">
        <v>2</v>
      </c>
      <c r="I391">
        <v>2</v>
      </c>
      <c r="J391" t="s">
        <v>41</v>
      </c>
      <c r="K391">
        <v>231</v>
      </c>
      <c r="L391">
        <v>325</v>
      </c>
      <c r="M391">
        <v>348</v>
      </c>
      <c r="N391">
        <v>238</v>
      </c>
      <c r="O391">
        <v>34</v>
      </c>
      <c r="P391">
        <v>355</v>
      </c>
      <c r="Q391">
        <v>224</v>
      </c>
      <c r="R391">
        <v>318</v>
      </c>
      <c r="S391">
        <v>319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</row>
    <row r="392" spans="1:25" hidden="1">
      <c r="A392" t="s">
        <v>25</v>
      </c>
      <c r="B392" t="s">
        <v>26</v>
      </c>
      <c r="C392" t="s">
        <v>44</v>
      </c>
      <c r="D392" s="1">
        <v>41881</v>
      </c>
      <c r="E392" s="2">
        <v>0.64583333333333337</v>
      </c>
      <c r="F392" t="s">
        <v>29</v>
      </c>
      <c r="G392" t="s">
        <v>28</v>
      </c>
      <c r="H392">
        <v>2</v>
      </c>
      <c r="I392">
        <v>3</v>
      </c>
      <c r="J392" t="s">
        <v>30</v>
      </c>
      <c r="K392">
        <v>116</v>
      </c>
      <c r="L392">
        <v>945</v>
      </c>
      <c r="M392">
        <v>1776</v>
      </c>
      <c r="N392">
        <v>117</v>
      </c>
      <c r="O392">
        <v>97</v>
      </c>
      <c r="P392">
        <v>208</v>
      </c>
      <c r="Q392">
        <v>114</v>
      </c>
      <c r="R392">
        <v>796</v>
      </c>
      <c r="S392">
        <v>1462</v>
      </c>
      <c r="T392" t="s">
        <v>31</v>
      </c>
      <c r="U392" t="s">
        <v>31</v>
      </c>
      <c r="V392" t="s">
        <v>31</v>
      </c>
      <c r="W392" t="s">
        <v>31</v>
      </c>
      <c r="X392" t="s">
        <v>31</v>
      </c>
      <c r="Y392" t="s">
        <v>31</v>
      </c>
    </row>
    <row r="393" spans="1:25" hidden="1">
      <c r="A393" t="s">
        <v>25</v>
      </c>
      <c r="B393" t="s">
        <v>26</v>
      </c>
      <c r="C393" t="s">
        <v>44</v>
      </c>
      <c r="D393" s="1">
        <v>41881</v>
      </c>
      <c r="E393" s="2">
        <v>0.75</v>
      </c>
      <c r="F393" t="s">
        <v>39</v>
      </c>
      <c r="G393" t="s">
        <v>33</v>
      </c>
      <c r="H393">
        <v>0</v>
      </c>
      <c r="I393">
        <v>1</v>
      </c>
      <c r="J393" t="s">
        <v>30</v>
      </c>
      <c r="K393">
        <v>137</v>
      </c>
      <c r="L393">
        <v>58</v>
      </c>
      <c r="M393">
        <v>824</v>
      </c>
      <c r="N393">
        <v>14</v>
      </c>
      <c r="O393">
        <v>581</v>
      </c>
      <c r="P393">
        <v>9</v>
      </c>
      <c r="Q393">
        <v>135</v>
      </c>
      <c r="R393">
        <v>498</v>
      </c>
      <c r="S393">
        <v>785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</row>
    <row r="394" spans="1:25" hidden="1">
      <c r="A394" t="s">
        <v>25</v>
      </c>
      <c r="B394" t="s">
        <v>26</v>
      </c>
      <c r="C394" t="s">
        <v>44</v>
      </c>
      <c r="D394" s="1">
        <v>41881</v>
      </c>
      <c r="E394" s="2">
        <v>0.75</v>
      </c>
      <c r="F394" t="s">
        <v>37</v>
      </c>
      <c r="G394" t="s">
        <v>40</v>
      </c>
      <c r="H394">
        <v>2</v>
      </c>
      <c r="I394">
        <v>1</v>
      </c>
      <c r="J394" t="s">
        <v>34</v>
      </c>
      <c r="K394">
        <v>381</v>
      </c>
      <c r="L394">
        <v>376</v>
      </c>
      <c r="M394">
        <v>201</v>
      </c>
      <c r="N394">
        <v>39</v>
      </c>
      <c r="O394">
        <v>376</v>
      </c>
      <c r="P394">
        <v>22</v>
      </c>
      <c r="Q394">
        <v>353</v>
      </c>
      <c r="R394">
        <v>35</v>
      </c>
      <c r="S394">
        <v>197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  <c r="Y394" t="s">
        <v>31</v>
      </c>
    </row>
    <row r="395" spans="1:25" hidden="1">
      <c r="A395" t="s">
        <v>25</v>
      </c>
      <c r="B395" t="s">
        <v>26</v>
      </c>
      <c r="C395" t="s">
        <v>44</v>
      </c>
      <c r="D395" s="1">
        <v>41881</v>
      </c>
      <c r="E395" s="2">
        <v>0.75</v>
      </c>
      <c r="F395" t="s">
        <v>45</v>
      </c>
      <c r="G395" t="s">
        <v>38</v>
      </c>
      <c r="H395">
        <v>2</v>
      </c>
      <c r="I395">
        <v>2</v>
      </c>
      <c r="J395" t="s">
        <v>41</v>
      </c>
      <c r="K395">
        <v>204</v>
      </c>
      <c r="L395">
        <v>361</v>
      </c>
      <c r="M395">
        <v>387</v>
      </c>
      <c r="N395">
        <v>214</v>
      </c>
      <c r="O395">
        <v>365</v>
      </c>
      <c r="P395">
        <v>387</v>
      </c>
      <c r="Q395">
        <v>203</v>
      </c>
      <c r="R395">
        <v>338</v>
      </c>
      <c r="S395">
        <v>349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31</v>
      </c>
    </row>
    <row r="396" spans="1:25" hidden="1">
      <c r="A396" t="s">
        <v>25</v>
      </c>
      <c r="B396" t="s">
        <v>26</v>
      </c>
      <c r="C396" t="s">
        <v>44</v>
      </c>
      <c r="D396" s="1">
        <v>41882</v>
      </c>
      <c r="E396" s="2">
        <v>0.64583333333333337</v>
      </c>
      <c r="F396" t="s">
        <v>35</v>
      </c>
      <c r="G396" t="s">
        <v>43</v>
      </c>
      <c r="H396">
        <v>2</v>
      </c>
      <c r="I396">
        <v>0</v>
      </c>
      <c r="J396" t="s">
        <v>34</v>
      </c>
      <c r="K396">
        <v>179</v>
      </c>
      <c r="L396">
        <v>407</v>
      </c>
      <c r="M396">
        <v>456</v>
      </c>
      <c r="N396">
        <v>192</v>
      </c>
      <c r="O396">
        <v>407</v>
      </c>
      <c r="P396">
        <v>47</v>
      </c>
      <c r="Q396">
        <v>177</v>
      </c>
      <c r="R396">
        <v>372</v>
      </c>
      <c r="S396">
        <v>417</v>
      </c>
      <c r="T396" t="s">
        <v>31</v>
      </c>
      <c r="U396" t="s">
        <v>31</v>
      </c>
      <c r="V396" t="s">
        <v>31</v>
      </c>
      <c r="W396" t="s">
        <v>31</v>
      </c>
      <c r="X396" t="s">
        <v>31</v>
      </c>
      <c r="Y396" t="s">
        <v>31</v>
      </c>
    </row>
    <row r="397" spans="1:25" hidden="1">
      <c r="A397" t="s">
        <v>25</v>
      </c>
      <c r="B397" t="s">
        <v>26</v>
      </c>
      <c r="C397" t="s">
        <v>44</v>
      </c>
      <c r="D397" s="1">
        <v>41895</v>
      </c>
      <c r="E397" s="2">
        <v>0.72916666666666663</v>
      </c>
      <c r="F397" t="s">
        <v>40</v>
      </c>
      <c r="G397" t="s">
        <v>38</v>
      </c>
      <c r="H397">
        <v>3</v>
      </c>
      <c r="I397">
        <v>1</v>
      </c>
      <c r="J397" t="s">
        <v>34</v>
      </c>
      <c r="K397">
        <v>156</v>
      </c>
      <c r="L397">
        <v>46</v>
      </c>
      <c r="M397">
        <v>601</v>
      </c>
      <c r="N397">
        <v>17</v>
      </c>
      <c r="O397">
        <v>46</v>
      </c>
      <c r="P397">
        <v>65</v>
      </c>
      <c r="Q397">
        <v>157</v>
      </c>
      <c r="R397">
        <v>395</v>
      </c>
      <c r="S397">
        <v>554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 t="s">
        <v>31</v>
      </c>
    </row>
    <row r="398" spans="1:25" hidden="1">
      <c r="A398" t="s">
        <v>25</v>
      </c>
      <c r="B398" t="s">
        <v>26</v>
      </c>
      <c r="C398" t="s">
        <v>44</v>
      </c>
      <c r="D398" s="1">
        <v>41895</v>
      </c>
      <c r="E398" s="2">
        <v>0.72916666666666663</v>
      </c>
      <c r="F398" t="s">
        <v>28</v>
      </c>
      <c r="G398" t="s">
        <v>37</v>
      </c>
      <c r="H398">
        <v>0</v>
      </c>
      <c r="I398">
        <v>2</v>
      </c>
      <c r="J398" t="s">
        <v>30</v>
      </c>
      <c r="K398">
        <v>168</v>
      </c>
      <c r="L398">
        <v>413</v>
      </c>
      <c r="M398">
        <v>531</v>
      </c>
      <c r="N398">
        <v>185</v>
      </c>
      <c r="O398">
        <v>42</v>
      </c>
      <c r="P398">
        <v>531</v>
      </c>
      <c r="Q398">
        <v>169</v>
      </c>
      <c r="R398">
        <v>376</v>
      </c>
      <c r="S398">
        <v>47</v>
      </c>
      <c r="T398" t="s">
        <v>31</v>
      </c>
      <c r="U398" t="s">
        <v>31</v>
      </c>
      <c r="V398" t="s">
        <v>31</v>
      </c>
      <c r="W398" t="s">
        <v>31</v>
      </c>
      <c r="X398" t="s">
        <v>31</v>
      </c>
      <c r="Y398" t="s">
        <v>31</v>
      </c>
    </row>
    <row r="399" spans="1:25" hidden="1">
      <c r="A399" t="s">
        <v>25</v>
      </c>
      <c r="B399" t="s">
        <v>26</v>
      </c>
      <c r="C399" t="s">
        <v>44</v>
      </c>
      <c r="D399" s="1">
        <v>41896</v>
      </c>
      <c r="E399" s="2">
        <v>0.64583333333333337</v>
      </c>
      <c r="F399" t="s">
        <v>39</v>
      </c>
      <c r="G399" t="s">
        <v>29</v>
      </c>
      <c r="H399">
        <v>1</v>
      </c>
      <c r="I399">
        <v>0</v>
      </c>
      <c r="J399" t="s">
        <v>34</v>
      </c>
      <c r="K399">
        <v>821</v>
      </c>
      <c r="L399">
        <v>548</v>
      </c>
      <c r="M399">
        <v>139</v>
      </c>
      <c r="N399">
        <v>826</v>
      </c>
      <c r="O399">
        <v>58</v>
      </c>
      <c r="P399">
        <v>14</v>
      </c>
      <c r="Q399">
        <v>742</v>
      </c>
      <c r="R399">
        <v>5</v>
      </c>
      <c r="S399">
        <v>136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 t="s">
        <v>31</v>
      </c>
    </row>
    <row r="400" spans="1:25" hidden="1">
      <c r="A400" t="s">
        <v>25</v>
      </c>
      <c r="B400" t="s">
        <v>26</v>
      </c>
      <c r="C400" t="s">
        <v>44</v>
      </c>
      <c r="D400" s="1">
        <v>41899</v>
      </c>
      <c r="E400" s="2">
        <v>0.72916666666666663</v>
      </c>
      <c r="F400" t="s">
        <v>43</v>
      </c>
      <c r="G400" t="s">
        <v>45</v>
      </c>
      <c r="H400">
        <v>3</v>
      </c>
      <c r="I400">
        <v>3</v>
      </c>
      <c r="J400" t="s">
        <v>41</v>
      </c>
      <c r="K400">
        <v>217</v>
      </c>
      <c r="L400">
        <v>347</v>
      </c>
      <c r="M400">
        <v>362</v>
      </c>
      <c r="N400">
        <v>22</v>
      </c>
      <c r="O400">
        <v>405</v>
      </c>
      <c r="P400">
        <v>362</v>
      </c>
      <c r="Q400">
        <v>207</v>
      </c>
      <c r="R400">
        <v>347</v>
      </c>
      <c r="S400">
        <v>33</v>
      </c>
      <c r="T400" t="s">
        <v>31</v>
      </c>
      <c r="U400" t="s">
        <v>31</v>
      </c>
      <c r="V400" t="s">
        <v>31</v>
      </c>
      <c r="W400" t="s">
        <v>31</v>
      </c>
      <c r="X400" t="s">
        <v>31</v>
      </c>
      <c r="Y400" t="s">
        <v>31</v>
      </c>
    </row>
    <row r="401" spans="1:25" hidden="1">
      <c r="A401" t="s">
        <v>25</v>
      </c>
      <c r="B401" t="s">
        <v>26</v>
      </c>
      <c r="C401" t="s">
        <v>44</v>
      </c>
      <c r="D401" s="1">
        <v>41899</v>
      </c>
      <c r="E401" s="2">
        <v>0.72916666666666663</v>
      </c>
      <c r="F401" t="s">
        <v>33</v>
      </c>
      <c r="G401" t="s">
        <v>35</v>
      </c>
      <c r="H401">
        <v>1</v>
      </c>
      <c r="I401">
        <v>5</v>
      </c>
      <c r="J401" t="s">
        <v>30</v>
      </c>
      <c r="K401">
        <v>509</v>
      </c>
      <c r="L401">
        <v>427</v>
      </c>
      <c r="M401">
        <v>168</v>
      </c>
      <c r="N401">
        <v>509</v>
      </c>
      <c r="O401">
        <v>43</v>
      </c>
      <c r="P401">
        <v>18</v>
      </c>
      <c r="Q401">
        <v>456</v>
      </c>
      <c r="R401">
        <v>376</v>
      </c>
      <c r="S401">
        <v>17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 t="s">
        <v>31</v>
      </c>
    </row>
    <row r="402" spans="1:25" hidden="1">
      <c r="A402" t="s">
        <v>25</v>
      </c>
      <c r="B402" t="s">
        <v>26</v>
      </c>
      <c r="C402" t="s">
        <v>44</v>
      </c>
      <c r="D402" s="1">
        <v>41902</v>
      </c>
      <c r="E402" s="2">
        <v>0.625</v>
      </c>
      <c r="F402" t="s">
        <v>35</v>
      </c>
      <c r="G402" t="s">
        <v>39</v>
      </c>
      <c r="H402">
        <v>3</v>
      </c>
      <c r="I402">
        <v>0</v>
      </c>
      <c r="J402" t="s">
        <v>34</v>
      </c>
      <c r="K402">
        <v>199</v>
      </c>
      <c r="L402">
        <v>369</v>
      </c>
      <c r="M402">
        <v>396</v>
      </c>
      <c r="N402">
        <v>225</v>
      </c>
      <c r="O402">
        <v>38</v>
      </c>
      <c r="P402">
        <v>396</v>
      </c>
      <c r="Q402">
        <v>196</v>
      </c>
      <c r="R402">
        <v>347</v>
      </c>
      <c r="S402">
        <v>362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  <c r="Y402" t="s">
        <v>31</v>
      </c>
    </row>
    <row r="403" spans="1:25" hidden="1">
      <c r="A403" t="s">
        <v>25</v>
      </c>
      <c r="B403" t="s">
        <v>26</v>
      </c>
      <c r="C403" t="s">
        <v>44</v>
      </c>
      <c r="D403" s="1">
        <v>41902</v>
      </c>
      <c r="E403" s="2">
        <v>0.72916666666666663</v>
      </c>
      <c r="F403" t="s">
        <v>37</v>
      </c>
      <c r="G403" t="s">
        <v>43</v>
      </c>
      <c r="H403">
        <v>0</v>
      </c>
      <c r="I403">
        <v>0</v>
      </c>
      <c r="J403" t="s">
        <v>41</v>
      </c>
      <c r="K403">
        <v>221</v>
      </c>
      <c r="L403">
        <v>366</v>
      </c>
      <c r="M403">
        <v>333</v>
      </c>
      <c r="N403">
        <v>23</v>
      </c>
      <c r="O403">
        <v>366</v>
      </c>
      <c r="P403">
        <v>333</v>
      </c>
      <c r="Q403">
        <v>217</v>
      </c>
      <c r="R403">
        <v>342</v>
      </c>
      <c r="S403">
        <v>311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</row>
    <row r="404" spans="1:25" hidden="1">
      <c r="A404" t="s">
        <v>25</v>
      </c>
      <c r="B404" t="s">
        <v>26</v>
      </c>
      <c r="C404" t="s">
        <v>44</v>
      </c>
      <c r="D404" s="1">
        <v>41902</v>
      </c>
      <c r="E404" s="2">
        <v>0.72916666666666663</v>
      </c>
      <c r="F404" t="s">
        <v>45</v>
      </c>
      <c r="G404" t="s">
        <v>33</v>
      </c>
      <c r="H404">
        <v>2</v>
      </c>
      <c r="I404">
        <v>0</v>
      </c>
      <c r="J404" t="s">
        <v>34</v>
      </c>
      <c r="K404">
        <v>158</v>
      </c>
      <c r="L404">
        <v>451</v>
      </c>
      <c r="M404">
        <v>583</v>
      </c>
      <c r="N404">
        <v>2</v>
      </c>
      <c r="O404">
        <v>455</v>
      </c>
      <c r="P404">
        <v>6</v>
      </c>
      <c r="Q404">
        <v>158</v>
      </c>
      <c r="R404">
        <v>4</v>
      </c>
      <c r="S404">
        <v>534</v>
      </c>
      <c r="T404" t="s">
        <v>31</v>
      </c>
      <c r="U404" t="s">
        <v>31</v>
      </c>
      <c r="V404" t="s">
        <v>31</v>
      </c>
      <c r="W404" t="s">
        <v>31</v>
      </c>
      <c r="X404" t="s">
        <v>31</v>
      </c>
      <c r="Y404" t="s">
        <v>31</v>
      </c>
    </row>
    <row r="405" spans="1:25" hidden="1">
      <c r="A405" t="s">
        <v>25</v>
      </c>
      <c r="B405" t="s">
        <v>26</v>
      </c>
      <c r="C405" t="s">
        <v>44</v>
      </c>
      <c r="D405" s="1">
        <v>41902</v>
      </c>
      <c r="E405" s="2">
        <v>0.72916666666666663</v>
      </c>
      <c r="F405" t="s">
        <v>38</v>
      </c>
      <c r="G405" t="s">
        <v>28</v>
      </c>
      <c r="H405">
        <v>0</v>
      </c>
      <c r="I405">
        <v>1</v>
      </c>
      <c r="J405" t="s">
        <v>30</v>
      </c>
      <c r="K405">
        <v>275</v>
      </c>
      <c r="L405">
        <v>351</v>
      </c>
      <c r="M405">
        <v>266</v>
      </c>
      <c r="N405">
        <v>275</v>
      </c>
      <c r="O405">
        <v>351</v>
      </c>
      <c r="P405">
        <v>288</v>
      </c>
      <c r="Q405">
        <v>256</v>
      </c>
      <c r="R405">
        <v>327</v>
      </c>
      <c r="S405">
        <v>265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</row>
    <row r="406" spans="1:25" hidden="1">
      <c r="A406" t="s">
        <v>25</v>
      </c>
      <c r="B406" t="s">
        <v>26</v>
      </c>
      <c r="C406" t="s">
        <v>44</v>
      </c>
      <c r="D406" s="1">
        <v>41903</v>
      </c>
      <c r="E406" s="2">
        <v>0.64583333333333337</v>
      </c>
      <c r="F406" t="s">
        <v>29</v>
      </c>
      <c r="G406" t="s">
        <v>40</v>
      </c>
      <c r="H406">
        <v>2</v>
      </c>
      <c r="I406">
        <v>3</v>
      </c>
      <c r="J406" t="s">
        <v>30</v>
      </c>
      <c r="K406">
        <v>133</v>
      </c>
      <c r="L406">
        <v>626</v>
      </c>
      <c r="M406">
        <v>901</v>
      </c>
      <c r="N406">
        <v>137</v>
      </c>
      <c r="O406">
        <v>64</v>
      </c>
      <c r="P406">
        <v>11</v>
      </c>
      <c r="Q406">
        <v>13</v>
      </c>
      <c r="R406">
        <v>554</v>
      </c>
      <c r="S406">
        <v>844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 t="s">
        <v>31</v>
      </c>
    </row>
    <row r="407" spans="1:25" hidden="1">
      <c r="A407" t="s">
        <v>25</v>
      </c>
      <c r="B407" t="s">
        <v>26</v>
      </c>
      <c r="C407" t="s">
        <v>44</v>
      </c>
      <c r="D407" s="1">
        <v>41909</v>
      </c>
      <c r="E407" s="2">
        <v>0.625</v>
      </c>
      <c r="F407" t="s">
        <v>28</v>
      </c>
      <c r="G407" t="s">
        <v>45</v>
      </c>
      <c r="H407">
        <v>2</v>
      </c>
      <c r="I407">
        <v>2</v>
      </c>
      <c r="J407" t="s">
        <v>41</v>
      </c>
      <c r="K407">
        <v>177</v>
      </c>
      <c r="L407">
        <v>383</v>
      </c>
      <c r="M407">
        <v>499</v>
      </c>
      <c r="N407">
        <v>188</v>
      </c>
      <c r="O407">
        <v>383</v>
      </c>
      <c r="P407">
        <v>499</v>
      </c>
      <c r="Q407">
        <v>178</v>
      </c>
      <c r="R407">
        <v>363</v>
      </c>
      <c r="S407">
        <v>427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 t="s">
        <v>31</v>
      </c>
    </row>
    <row r="408" spans="1:25" hidden="1">
      <c r="A408" t="s">
        <v>25</v>
      </c>
      <c r="B408" t="s">
        <v>26</v>
      </c>
      <c r="C408" t="s">
        <v>44</v>
      </c>
      <c r="D408" s="1">
        <v>41909</v>
      </c>
      <c r="E408" s="2">
        <v>0.72916666666666663</v>
      </c>
      <c r="F408" t="s">
        <v>39</v>
      </c>
      <c r="G408" t="s">
        <v>37</v>
      </c>
      <c r="H408">
        <v>2</v>
      </c>
      <c r="I408">
        <v>1</v>
      </c>
      <c r="J408" t="s">
        <v>34</v>
      </c>
      <c r="K408">
        <v>191</v>
      </c>
      <c r="L408">
        <v>382</v>
      </c>
      <c r="M408">
        <v>419</v>
      </c>
      <c r="N408">
        <v>194</v>
      </c>
      <c r="O408">
        <v>4</v>
      </c>
      <c r="P408">
        <v>47</v>
      </c>
      <c r="Q408">
        <v>181</v>
      </c>
      <c r="R408">
        <v>363</v>
      </c>
      <c r="S408">
        <v>414</v>
      </c>
      <c r="T408" t="s">
        <v>31</v>
      </c>
      <c r="U408" t="s">
        <v>31</v>
      </c>
      <c r="V408" t="s">
        <v>31</v>
      </c>
      <c r="W408" t="s">
        <v>31</v>
      </c>
      <c r="X408" t="s">
        <v>31</v>
      </c>
      <c r="Y408" t="s">
        <v>31</v>
      </c>
    </row>
    <row r="409" spans="1:25" hidden="1">
      <c r="A409" t="s">
        <v>25</v>
      </c>
      <c r="B409" t="s">
        <v>26</v>
      </c>
      <c r="C409" t="s">
        <v>44</v>
      </c>
      <c r="D409" s="1">
        <v>41909</v>
      </c>
      <c r="E409" s="2">
        <v>0.72916666666666663</v>
      </c>
      <c r="F409" t="s">
        <v>43</v>
      </c>
      <c r="G409" t="s">
        <v>40</v>
      </c>
      <c r="H409">
        <v>0</v>
      </c>
      <c r="I409">
        <v>0</v>
      </c>
      <c r="J409" t="s">
        <v>41</v>
      </c>
      <c r="K409">
        <v>327</v>
      </c>
      <c r="L409">
        <v>372</v>
      </c>
      <c r="M409">
        <v>222</v>
      </c>
      <c r="N409">
        <v>33</v>
      </c>
      <c r="O409">
        <v>375</v>
      </c>
      <c r="P409">
        <v>228</v>
      </c>
      <c r="Q409">
        <v>311</v>
      </c>
      <c r="R409">
        <v>344</v>
      </c>
      <c r="S409">
        <v>217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</row>
    <row r="410" spans="1:25" hidden="1">
      <c r="A410" t="s">
        <v>25</v>
      </c>
      <c r="B410" t="s">
        <v>26</v>
      </c>
      <c r="C410" t="s">
        <v>44</v>
      </c>
      <c r="D410" s="1">
        <v>41909</v>
      </c>
      <c r="E410" s="2">
        <v>0.72916666666666663</v>
      </c>
      <c r="F410" t="s">
        <v>33</v>
      </c>
      <c r="G410" t="s">
        <v>38</v>
      </c>
      <c r="H410">
        <v>0</v>
      </c>
      <c r="I410">
        <v>1</v>
      </c>
      <c r="J410" t="s">
        <v>30</v>
      </c>
      <c r="K410">
        <v>312</v>
      </c>
      <c r="L410">
        <v>361</v>
      </c>
      <c r="M410">
        <v>234</v>
      </c>
      <c r="N410">
        <v>32</v>
      </c>
      <c r="O410">
        <v>361</v>
      </c>
      <c r="P410">
        <v>242</v>
      </c>
      <c r="Q410">
        <v>299</v>
      </c>
      <c r="R410">
        <v>335</v>
      </c>
      <c r="S410">
        <v>228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</row>
    <row r="411" spans="1:25" hidden="1">
      <c r="A411" t="s">
        <v>25</v>
      </c>
      <c r="B411" t="s">
        <v>26</v>
      </c>
      <c r="C411" t="s">
        <v>44</v>
      </c>
      <c r="D411" s="1">
        <v>41910</v>
      </c>
      <c r="E411" s="2">
        <v>0.64583333333333337</v>
      </c>
      <c r="F411" t="s">
        <v>35</v>
      </c>
      <c r="G411" t="s">
        <v>29</v>
      </c>
      <c r="H411">
        <v>1</v>
      </c>
      <c r="I411">
        <v>2</v>
      </c>
      <c r="J411" t="s">
        <v>30</v>
      </c>
      <c r="K411">
        <v>36</v>
      </c>
      <c r="L411">
        <v>374</v>
      </c>
      <c r="M411">
        <v>209</v>
      </c>
      <c r="N411">
        <v>395</v>
      </c>
      <c r="O411">
        <v>395</v>
      </c>
      <c r="P411">
        <v>212</v>
      </c>
      <c r="Q411">
        <v>339</v>
      </c>
      <c r="R411">
        <v>362</v>
      </c>
      <c r="S411">
        <v>201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 t="s">
        <v>31</v>
      </c>
    </row>
    <row r="412" spans="1:25" hidden="1">
      <c r="A412" t="s">
        <v>25</v>
      </c>
      <c r="B412" t="s">
        <v>26</v>
      </c>
      <c r="C412" t="s">
        <v>44</v>
      </c>
      <c r="D412" s="1">
        <v>41916</v>
      </c>
      <c r="E412" s="2">
        <v>0.625</v>
      </c>
      <c r="F412" t="s">
        <v>40</v>
      </c>
      <c r="G412" t="s">
        <v>39</v>
      </c>
      <c r="H412">
        <v>0</v>
      </c>
      <c r="I412">
        <v>2</v>
      </c>
      <c r="J412" t="s">
        <v>30</v>
      </c>
      <c r="K412">
        <v>188</v>
      </c>
      <c r="L412">
        <v>38</v>
      </c>
      <c r="M412">
        <v>432</v>
      </c>
      <c r="N412">
        <v>192</v>
      </c>
      <c r="O412">
        <v>4</v>
      </c>
      <c r="P412">
        <v>52</v>
      </c>
      <c r="Q412">
        <v>176</v>
      </c>
      <c r="R412">
        <v>361</v>
      </c>
      <c r="S412">
        <v>447</v>
      </c>
      <c r="T412" t="s">
        <v>31</v>
      </c>
      <c r="U412" t="s">
        <v>31</v>
      </c>
      <c r="V412" t="s">
        <v>31</v>
      </c>
      <c r="W412" t="s">
        <v>31</v>
      </c>
      <c r="X412" t="s">
        <v>31</v>
      </c>
      <c r="Y412" t="s">
        <v>31</v>
      </c>
    </row>
    <row r="413" spans="1:25" hidden="1">
      <c r="A413" t="s">
        <v>25</v>
      </c>
      <c r="B413" t="s">
        <v>26</v>
      </c>
      <c r="C413" t="s">
        <v>44</v>
      </c>
      <c r="D413" s="1">
        <v>41916</v>
      </c>
      <c r="E413" s="2">
        <v>0.72916666666666663</v>
      </c>
      <c r="F413" t="s">
        <v>37</v>
      </c>
      <c r="G413" t="s">
        <v>45</v>
      </c>
      <c r="H413">
        <v>0</v>
      </c>
      <c r="I413">
        <v>2</v>
      </c>
      <c r="J413" t="s">
        <v>30</v>
      </c>
      <c r="K413">
        <v>221</v>
      </c>
      <c r="L413">
        <v>357</v>
      </c>
      <c r="M413">
        <v>342</v>
      </c>
      <c r="N413">
        <v>222</v>
      </c>
      <c r="O413">
        <v>36</v>
      </c>
      <c r="P413">
        <v>36</v>
      </c>
      <c r="Q413">
        <v>212</v>
      </c>
      <c r="R413">
        <v>336</v>
      </c>
      <c r="S413">
        <v>332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31</v>
      </c>
    </row>
    <row r="414" spans="1:25" hidden="1">
      <c r="A414" t="s">
        <v>25</v>
      </c>
      <c r="B414" t="s">
        <v>26</v>
      </c>
      <c r="C414" t="s">
        <v>44</v>
      </c>
      <c r="D414" s="1">
        <v>41916</v>
      </c>
      <c r="E414" s="2">
        <v>0.72916666666666663</v>
      </c>
      <c r="F414" t="s">
        <v>28</v>
      </c>
      <c r="G414" t="s">
        <v>43</v>
      </c>
      <c r="H414">
        <v>1</v>
      </c>
      <c r="I414">
        <v>0</v>
      </c>
      <c r="J414" t="s">
        <v>34</v>
      </c>
      <c r="K414">
        <v>188</v>
      </c>
      <c r="L414">
        <v>389</v>
      </c>
      <c r="M414">
        <v>419</v>
      </c>
      <c r="N414">
        <v>189</v>
      </c>
      <c r="O414">
        <v>4</v>
      </c>
      <c r="P414">
        <v>45</v>
      </c>
      <c r="Q414">
        <v>18</v>
      </c>
      <c r="R414">
        <v>366</v>
      </c>
      <c r="S414">
        <v>411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31</v>
      </c>
    </row>
    <row r="415" spans="1:25" hidden="1">
      <c r="A415" t="s">
        <v>25</v>
      </c>
      <c r="B415" t="s">
        <v>26</v>
      </c>
      <c r="C415" t="s">
        <v>44</v>
      </c>
      <c r="D415" s="1">
        <v>41917</v>
      </c>
      <c r="E415" s="2">
        <v>0.64583333333333337</v>
      </c>
      <c r="F415" t="s">
        <v>38</v>
      </c>
      <c r="G415" t="s">
        <v>35</v>
      </c>
      <c r="H415">
        <v>1</v>
      </c>
      <c r="I415">
        <v>2</v>
      </c>
      <c r="J415" t="s">
        <v>30</v>
      </c>
      <c r="K415">
        <v>388</v>
      </c>
      <c r="L415">
        <v>362</v>
      </c>
      <c r="M415">
        <v>204</v>
      </c>
      <c r="N415">
        <v>39</v>
      </c>
      <c r="O415">
        <v>375</v>
      </c>
      <c r="P415">
        <v>215</v>
      </c>
      <c r="Q415">
        <v>344</v>
      </c>
      <c r="R415">
        <v>344</v>
      </c>
      <c r="S415">
        <v>204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 t="s">
        <v>31</v>
      </c>
    </row>
    <row r="416" spans="1:25" hidden="1">
      <c r="A416" t="s">
        <v>25</v>
      </c>
      <c r="B416" t="s">
        <v>26</v>
      </c>
      <c r="C416" t="s">
        <v>44</v>
      </c>
      <c r="D416" s="1">
        <v>41917</v>
      </c>
      <c r="E416" s="2">
        <v>0.75</v>
      </c>
      <c r="F416" t="s">
        <v>29</v>
      </c>
      <c r="G416" t="s">
        <v>33</v>
      </c>
      <c r="H416">
        <v>4</v>
      </c>
      <c r="I416">
        <v>1</v>
      </c>
      <c r="J416" t="s">
        <v>34</v>
      </c>
      <c r="N416">
        <v>108</v>
      </c>
      <c r="O416">
        <v>17</v>
      </c>
      <c r="P416">
        <v>43</v>
      </c>
      <c r="Q416">
        <v>106</v>
      </c>
      <c r="R416">
        <v>118</v>
      </c>
      <c r="S416">
        <v>2271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  <c r="Y416" t="s">
        <v>31</v>
      </c>
    </row>
    <row r="417" spans="1:25" hidden="1">
      <c r="A417" t="s">
        <v>25</v>
      </c>
      <c r="B417" t="s">
        <v>26</v>
      </c>
      <c r="C417" t="s">
        <v>44</v>
      </c>
      <c r="D417" s="1">
        <v>41930</v>
      </c>
      <c r="E417" s="2">
        <v>0.625</v>
      </c>
      <c r="F417" t="s">
        <v>29</v>
      </c>
      <c r="G417" t="s">
        <v>38</v>
      </c>
      <c r="H417">
        <v>4</v>
      </c>
      <c r="I417">
        <v>2</v>
      </c>
      <c r="J417" t="s">
        <v>34</v>
      </c>
      <c r="K417">
        <v>113</v>
      </c>
      <c r="L417">
        <v>1092</v>
      </c>
      <c r="M417">
        <v>18</v>
      </c>
      <c r="N417">
        <v>114</v>
      </c>
      <c r="O417">
        <v>12</v>
      </c>
      <c r="P417">
        <v>26</v>
      </c>
      <c r="Q417">
        <v>111</v>
      </c>
      <c r="R417">
        <v>881</v>
      </c>
      <c r="S417">
        <v>1702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 t="s">
        <v>31</v>
      </c>
    </row>
    <row r="418" spans="1:25" hidden="1">
      <c r="A418" t="s">
        <v>25</v>
      </c>
      <c r="B418" t="s">
        <v>26</v>
      </c>
      <c r="C418" t="s">
        <v>44</v>
      </c>
      <c r="D418" s="1">
        <v>41930</v>
      </c>
      <c r="E418" s="2">
        <v>0.72916666666666663</v>
      </c>
      <c r="F418" t="s">
        <v>39</v>
      </c>
      <c r="G418" t="s">
        <v>43</v>
      </c>
      <c r="H418">
        <v>1</v>
      </c>
      <c r="I418">
        <v>2</v>
      </c>
      <c r="J418" t="s">
        <v>30</v>
      </c>
      <c r="K418">
        <v>188</v>
      </c>
      <c r="L418">
        <v>387</v>
      </c>
      <c r="M418">
        <v>427</v>
      </c>
      <c r="N418">
        <v>191</v>
      </c>
      <c r="O418">
        <v>395</v>
      </c>
      <c r="P418">
        <v>5</v>
      </c>
      <c r="Q418">
        <v>181</v>
      </c>
      <c r="R418">
        <v>362</v>
      </c>
      <c r="S418">
        <v>411</v>
      </c>
      <c r="T418" t="s">
        <v>31</v>
      </c>
      <c r="U418" t="s">
        <v>31</v>
      </c>
      <c r="V418" t="s">
        <v>31</v>
      </c>
      <c r="W418" t="s">
        <v>31</v>
      </c>
      <c r="X418" t="s">
        <v>31</v>
      </c>
      <c r="Y418" t="s">
        <v>31</v>
      </c>
    </row>
    <row r="419" spans="1:25" hidden="1">
      <c r="A419" t="s">
        <v>25</v>
      </c>
      <c r="B419" t="s">
        <v>26</v>
      </c>
      <c r="C419" t="s">
        <v>44</v>
      </c>
      <c r="D419" s="1">
        <v>41930</v>
      </c>
      <c r="E419" s="2">
        <v>0.72916666666666663</v>
      </c>
      <c r="F419" t="s">
        <v>45</v>
      </c>
      <c r="G419" t="s">
        <v>40</v>
      </c>
      <c r="H419">
        <v>1</v>
      </c>
      <c r="I419">
        <v>1</v>
      </c>
      <c r="J419" t="s">
        <v>41</v>
      </c>
      <c r="K419">
        <v>32</v>
      </c>
      <c r="L419">
        <v>351</v>
      </c>
      <c r="M419">
        <v>233</v>
      </c>
      <c r="N419">
        <v>32</v>
      </c>
      <c r="O419">
        <v>355</v>
      </c>
      <c r="P419">
        <v>245</v>
      </c>
      <c r="Q419">
        <v>296</v>
      </c>
      <c r="R419">
        <v>331</v>
      </c>
      <c r="S419">
        <v>231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</row>
    <row r="420" spans="1:25" hidden="1">
      <c r="A420" t="s">
        <v>25</v>
      </c>
      <c r="B420" t="s">
        <v>26</v>
      </c>
      <c r="C420" t="s">
        <v>44</v>
      </c>
      <c r="D420" s="1">
        <v>41930</v>
      </c>
      <c r="E420" s="2">
        <v>0.72916666666666663</v>
      </c>
      <c r="F420" t="s">
        <v>35</v>
      </c>
      <c r="G420" t="s">
        <v>37</v>
      </c>
      <c r="H420">
        <v>0</v>
      </c>
      <c r="I420">
        <v>0</v>
      </c>
      <c r="J420" t="s">
        <v>41</v>
      </c>
      <c r="K420">
        <v>152</v>
      </c>
      <c r="L420">
        <v>451</v>
      </c>
      <c r="M420">
        <v>681</v>
      </c>
      <c r="N420">
        <v>152</v>
      </c>
      <c r="O420">
        <v>485</v>
      </c>
      <c r="P420">
        <v>77</v>
      </c>
      <c r="Q420">
        <v>147</v>
      </c>
      <c r="R420">
        <v>424</v>
      </c>
      <c r="S420">
        <v>65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  <c r="Y420" t="s">
        <v>31</v>
      </c>
    </row>
    <row r="421" spans="1:25" hidden="1">
      <c r="A421" t="s">
        <v>25</v>
      </c>
      <c r="B421" t="s">
        <v>26</v>
      </c>
      <c r="C421" t="s">
        <v>44</v>
      </c>
      <c r="D421" s="1">
        <v>41931</v>
      </c>
      <c r="E421" s="2">
        <v>0.64583333333333337</v>
      </c>
      <c r="F421" t="s">
        <v>33</v>
      </c>
      <c r="G421" t="s">
        <v>28</v>
      </c>
      <c r="H421">
        <v>0</v>
      </c>
      <c r="I421">
        <v>0</v>
      </c>
      <c r="J421" t="s">
        <v>41</v>
      </c>
      <c r="K421">
        <v>367</v>
      </c>
      <c r="L421">
        <v>363</v>
      </c>
      <c r="M421">
        <v>209</v>
      </c>
      <c r="N421">
        <v>395</v>
      </c>
      <c r="O421">
        <v>375</v>
      </c>
      <c r="P421">
        <v>211</v>
      </c>
      <c r="Q421">
        <v>353</v>
      </c>
      <c r="R421">
        <v>348</v>
      </c>
      <c r="S421">
        <v>2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31</v>
      </c>
    </row>
    <row r="422" spans="1:25" hidden="1">
      <c r="A422" t="s">
        <v>25</v>
      </c>
      <c r="B422" t="s">
        <v>26</v>
      </c>
      <c r="C422" t="s">
        <v>44</v>
      </c>
      <c r="D422" s="1">
        <v>41937</v>
      </c>
      <c r="E422" s="2">
        <v>0.625</v>
      </c>
      <c r="F422" t="s">
        <v>28</v>
      </c>
      <c r="G422" t="s">
        <v>35</v>
      </c>
      <c r="H422">
        <v>1</v>
      </c>
      <c r="I422">
        <v>3</v>
      </c>
      <c r="J422" t="s">
        <v>30</v>
      </c>
      <c r="K422">
        <v>316</v>
      </c>
      <c r="L422">
        <v>334</v>
      </c>
      <c r="M422">
        <v>244</v>
      </c>
      <c r="N422">
        <v>316</v>
      </c>
      <c r="O422">
        <v>34</v>
      </c>
      <c r="P422">
        <v>26</v>
      </c>
      <c r="Q422">
        <v>288</v>
      </c>
      <c r="R422">
        <v>32</v>
      </c>
      <c r="S422">
        <v>242</v>
      </c>
      <c r="T422" t="s">
        <v>31</v>
      </c>
      <c r="U422" t="s">
        <v>31</v>
      </c>
      <c r="V422" t="s">
        <v>31</v>
      </c>
      <c r="W422" t="s">
        <v>31</v>
      </c>
      <c r="X422" t="s">
        <v>31</v>
      </c>
      <c r="Y422" t="s">
        <v>31</v>
      </c>
    </row>
    <row r="423" spans="1:25" hidden="1">
      <c r="A423" t="s">
        <v>25</v>
      </c>
      <c r="B423" t="s">
        <v>26</v>
      </c>
      <c r="C423" t="s">
        <v>44</v>
      </c>
      <c r="D423" s="1">
        <v>41937</v>
      </c>
      <c r="E423" s="2">
        <v>0.72916666666666663</v>
      </c>
      <c r="F423" t="s">
        <v>39</v>
      </c>
      <c r="G423" t="s">
        <v>45</v>
      </c>
      <c r="H423">
        <v>0</v>
      </c>
      <c r="I423">
        <v>0</v>
      </c>
      <c r="J423" t="s">
        <v>41</v>
      </c>
      <c r="K423">
        <v>191</v>
      </c>
      <c r="L423">
        <v>377</v>
      </c>
      <c r="M423">
        <v>423</v>
      </c>
      <c r="N423">
        <v>2</v>
      </c>
      <c r="O423">
        <v>377</v>
      </c>
      <c r="P423">
        <v>425</v>
      </c>
      <c r="Q423">
        <v>189</v>
      </c>
      <c r="R423">
        <v>351</v>
      </c>
      <c r="S423">
        <v>388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</row>
    <row r="424" spans="1:25" hidden="1">
      <c r="A424" t="s">
        <v>25</v>
      </c>
      <c r="B424" t="s">
        <v>26</v>
      </c>
      <c r="C424" t="s">
        <v>44</v>
      </c>
      <c r="D424" s="1">
        <v>41937</v>
      </c>
      <c r="E424" s="2">
        <v>0.72916666666666663</v>
      </c>
      <c r="F424" t="s">
        <v>37</v>
      </c>
      <c r="G424" t="s">
        <v>38</v>
      </c>
      <c r="H424">
        <v>0</v>
      </c>
      <c r="I424">
        <v>0</v>
      </c>
      <c r="J424" t="s">
        <v>41</v>
      </c>
      <c r="K424">
        <v>248</v>
      </c>
      <c r="L424">
        <v>343</v>
      </c>
      <c r="M424">
        <v>304</v>
      </c>
      <c r="N424">
        <v>248</v>
      </c>
      <c r="O424">
        <v>36</v>
      </c>
      <c r="P424">
        <v>32</v>
      </c>
      <c r="Q424">
        <v>229</v>
      </c>
      <c r="R424">
        <v>333</v>
      </c>
      <c r="S424">
        <v>299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  <c r="Y424" t="s">
        <v>31</v>
      </c>
    </row>
    <row r="425" spans="1:25" hidden="1">
      <c r="A425" t="s">
        <v>25</v>
      </c>
      <c r="B425" t="s">
        <v>26</v>
      </c>
      <c r="C425" t="s">
        <v>44</v>
      </c>
      <c r="D425" s="1">
        <v>41937</v>
      </c>
      <c r="E425" s="2">
        <v>0.72916666666666663</v>
      </c>
      <c r="F425" t="s">
        <v>40</v>
      </c>
      <c r="G425" t="s">
        <v>33</v>
      </c>
      <c r="H425">
        <v>2</v>
      </c>
      <c r="I425">
        <v>0</v>
      </c>
      <c r="J425" t="s">
        <v>34</v>
      </c>
      <c r="K425">
        <v>139</v>
      </c>
      <c r="L425">
        <v>542</v>
      </c>
      <c r="M425">
        <v>841</v>
      </c>
      <c r="N425">
        <v>14</v>
      </c>
      <c r="O425">
        <v>56</v>
      </c>
      <c r="P425">
        <v>94</v>
      </c>
      <c r="Q425">
        <v>136</v>
      </c>
      <c r="R425">
        <v>494</v>
      </c>
      <c r="S425">
        <v>741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 t="s">
        <v>31</v>
      </c>
    </row>
    <row r="426" spans="1:25" hidden="1">
      <c r="A426" t="s">
        <v>25</v>
      </c>
      <c r="B426" t="s">
        <v>26</v>
      </c>
      <c r="C426" t="s">
        <v>44</v>
      </c>
      <c r="D426" s="1">
        <v>41938</v>
      </c>
      <c r="E426" s="2">
        <v>0.64583333333333337</v>
      </c>
      <c r="F426" t="s">
        <v>43</v>
      </c>
      <c r="G426" t="s">
        <v>29</v>
      </c>
      <c r="H426">
        <v>2</v>
      </c>
      <c r="I426">
        <v>2</v>
      </c>
      <c r="J426" t="s">
        <v>41</v>
      </c>
      <c r="K426">
        <v>87</v>
      </c>
      <c r="L426">
        <v>582</v>
      </c>
      <c r="M426">
        <v>135</v>
      </c>
      <c r="N426">
        <v>10</v>
      </c>
      <c r="O426">
        <v>64</v>
      </c>
      <c r="P426">
        <v>137</v>
      </c>
      <c r="Q426">
        <v>769</v>
      </c>
      <c r="R426">
        <v>533</v>
      </c>
      <c r="S426">
        <v>133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  <c r="Y426" t="s">
        <v>31</v>
      </c>
    </row>
    <row r="427" spans="1:25" hidden="1">
      <c r="A427" t="s">
        <v>25</v>
      </c>
      <c r="B427" t="s">
        <v>26</v>
      </c>
      <c r="C427" t="s">
        <v>44</v>
      </c>
      <c r="D427" s="1">
        <v>41944</v>
      </c>
      <c r="E427" s="2">
        <v>0.625</v>
      </c>
      <c r="F427" t="s">
        <v>40</v>
      </c>
      <c r="G427" t="s">
        <v>28</v>
      </c>
      <c r="H427">
        <v>0</v>
      </c>
      <c r="I427">
        <v>3</v>
      </c>
      <c r="J427" t="s">
        <v>30</v>
      </c>
      <c r="K427">
        <v>198</v>
      </c>
      <c r="L427">
        <v>356</v>
      </c>
      <c r="M427">
        <v>417</v>
      </c>
      <c r="N427">
        <v>204</v>
      </c>
      <c r="O427">
        <v>37</v>
      </c>
      <c r="P427">
        <v>45</v>
      </c>
      <c r="Q427">
        <v>189</v>
      </c>
      <c r="R427">
        <v>342</v>
      </c>
      <c r="S427">
        <v>405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</row>
    <row r="428" spans="1:25" hidden="1">
      <c r="A428" t="s">
        <v>25</v>
      </c>
      <c r="B428" t="s">
        <v>26</v>
      </c>
      <c r="C428" t="s">
        <v>44</v>
      </c>
      <c r="D428" s="1">
        <v>41944</v>
      </c>
      <c r="E428" s="2">
        <v>0.72916666666666663</v>
      </c>
      <c r="F428" t="s">
        <v>38</v>
      </c>
      <c r="G428" t="s">
        <v>39</v>
      </c>
      <c r="H428">
        <v>1</v>
      </c>
      <c r="I428">
        <v>0</v>
      </c>
      <c r="J428" t="s">
        <v>34</v>
      </c>
      <c r="K428">
        <v>249</v>
      </c>
      <c r="L428">
        <v>354</v>
      </c>
      <c r="M428">
        <v>298</v>
      </c>
      <c r="N428">
        <v>25</v>
      </c>
      <c r="O428">
        <v>37</v>
      </c>
      <c r="P428">
        <v>316</v>
      </c>
      <c r="Q428">
        <v>238</v>
      </c>
      <c r="R428">
        <v>332</v>
      </c>
      <c r="S428">
        <v>287</v>
      </c>
      <c r="T428" t="s">
        <v>31</v>
      </c>
      <c r="U428" t="s">
        <v>31</v>
      </c>
      <c r="V428" t="s">
        <v>31</v>
      </c>
      <c r="W428" t="s">
        <v>31</v>
      </c>
      <c r="X428" t="s">
        <v>31</v>
      </c>
      <c r="Y428" t="s">
        <v>31</v>
      </c>
    </row>
    <row r="429" spans="1:25" hidden="1">
      <c r="A429" t="s">
        <v>25</v>
      </c>
      <c r="B429" t="s">
        <v>26</v>
      </c>
      <c r="C429" t="s">
        <v>44</v>
      </c>
      <c r="D429" s="1">
        <v>41944</v>
      </c>
      <c r="E429" s="2">
        <v>0.72916666666666663</v>
      </c>
      <c r="F429" t="s">
        <v>29</v>
      </c>
      <c r="G429" t="s">
        <v>37</v>
      </c>
      <c r="H429">
        <v>2</v>
      </c>
      <c r="I429">
        <v>0</v>
      </c>
      <c r="J429" t="s">
        <v>34</v>
      </c>
      <c r="K429">
        <v>116</v>
      </c>
      <c r="L429">
        <v>909</v>
      </c>
      <c r="M429">
        <v>178</v>
      </c>
      <c r="N429">
        <v>118</v>
      </c>
      <c r="O429">
        <v>105</v>
      </c>
      <c r="P429">
        <v>23</v>
      </c>
      <c r="Q429">
        <v>113</v>
      </c>
      <c r="R429">
        <v>842</v>
      </c>
      <c r="S429">
        <v>1567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 t="s">
        <v>31</v>
      </c>
    </row>
    <row r="430" spans="1:25" hidden="1">
      <c r="A430" t="s">
        <v>25</v>
      </c>
      <c r="B430" t="s">
        <v>26</v>
      </c>
      <c r="C430" t="s">
        <v>44</v>
      </c>
      <c r="D430" s="1">
        <v>41945</v>
      </c>
      <c r="E430" s="2">
        <v>0.64583333333333337</v>
      </c>
      <c r="F430" t="s">
        <v>45</v>
      </c>
      <c r="G430" t="s">
        <v>35</v>
      </c>
      <c r="H430">
        <v>2</v>
      </c>
      <c r="I430">
        <v>0</v>
      </c>
      <c r="J430" t="s">
        <v>34</v>
      </c>
      <c r="K430">
        <v>31</v>
      </c>
      <c r="L430">
        <v>349</v>
      </c>
      <c r="M430">
        <v>241</v>
      </c>
      <c r="N430">
        <v>34</v>
      </c>
      <c r="O430">
        <v>36</v>
      </c>
      <c r="P430">
        <v>249</v>
      </c>
      <c r="Q430">
        <v>302</v>
      </c>
      <c r="R430">
        <v>332</v>
      </c>
      <c r="S430">
        <v>228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  <c r="Y430" t="s">
        <v>31</v>
      </c>
    </row>
    <row r="431" spans="1:25" hidden="1">
      <c r="A431" t="s">
        <v>25</v>
      </c>
      <c r="B431" t="s">
        <v>26</v>
      </c>
      <c r="C431" t="s">
        <v>44</v>
      </c>
      <c r="D431" s="1">
        <v>41948</v>
      </c>
      <c r="E431" s="2">
        <v>0.72916666666666663</v>
      </c>
      <c r="F431" t="s">
        <v>33</v>
      </c>
      <c r="G431" t="s">
        <v>43</v>
      </c>
      <c r="H431">
        <v>2</v>
      </c>
      <c r="I431">
        <v>4</v>
      </c>
      <c r="J431" t="s">
        <v>30</v>
      </c>
      <c r="K431">
        <v>34</v>
      </c>
      <c r="L431">
        <v>361</v>
      </c>
      <c r="M431">
        <v>22</v>
      </c>
      <c r="N431">
        <v>34</v>
      </c>
      <c r="O431">
        <v>38</v>
      </c>
      <c r="P431">
        <v>245</v>
      </c>
      <c r="Q431">
        <v>307</v>
      </c>
      <c r="R431">
        <v>345</v>
      </c>
      <c r="S431">
        <v>22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  <c r="Y431" t="s">
        <v>31</v>
      </c>
    </row>
    <row r="432" spans="1:25" hidden="1">
      <c r="A432" t="s">
        <v>25</v>
      </c>
      <c r="B432" t="s">
        <v>26</v>
      </c>
      <c r="C432" t="s">
        <v>44</v>
      </c>
      <c r="D432" s="1">
        <v>41951</v>
      </c>
      <c r="E432" s="2">
        <v>0.625</v>
      </c>
      <c r="F432" t="s">
        <v>39</v>
      </c>
      <c r="G432" t="s">
        <v>28</v>
      </c>
      <c r="H432">
        <v>0</v>
      </c>
      <c r="I432">
        <v>2</v>
      </c>
      <c r="J432" t="s">
        <v>30</v>
      </c>
      <c r="K432">
        <v>291</v>
      </c>
      <c r="L432">
        <v>338</v>
      </c>
      <c r="M432">
        <v>258</v>
      </c>
      <c r="N432">
        <v>291</v>
      </c>
      <c r="O432">
        <v>345</v>
      </c>
      <c r="P432">
        <v>275</v>
      </c>
      <c r="Q432">
        <v>271</v>
      </c>
      <c r="R432">
        <v>323</v>
      </c>
      <c r="S432">
        <v>255</v>
      </c>
      <c r="T432" t="s">
        <v>31</v>
      </c>
      <c r="U432" t="s">
        <v>31</v>
      </c>
      <c r="V432" t="s">
        <v>31</v>
      </c>
      <c r="W432" t="s">
        <v>31</v>
      </c>
      <c r="X432" t="s">
        <v>31</v>
      </c>
      <c r="Y432" t="s">
        <v>31</v>
      </c>
    </row>
    <row r="433" spans="1:25" hidden="1">
      <c r="A433" t="s">
        <v>25</v>
      </c>
      <c r="B433" t="s">
        <v>26</v>
      </c>
      <c r="C433" t="s">
        <v>44</v>
      </c>
      <c r="D433" s="1">
        <v>41951</v>
      </c>
      <c r="E433" s="2">
        <v>0.72916666666666663</v>
      </c>
      <c r="F433" t="s">
        <v>37</v>
      </c>
      <c r="G433" t="s">
        <v>33</v>
      </c>
      <c r="H433">
        <v>1</v>
      </c>
      <c r="I433">
        <v>1</v>
      </c>
      <c r="J433" t="s">
        <v>41</v>
      </c>
      <c r="K433">
        <v>167</v>
      </c>
      <c r="L433">
        <v>416</v>
      </c>
      <c r="M433">
        <v>542</v>
      </c>
      <c r="N433">
        <v>175</v>
      </c>
      <c r="O433">
        <v>416</v>
      </c>
      <c r="P433">
        <v>542</v>
      </c>
      <c r="Q433">
        <v>166</v>
      </c>
      <c r="R433">
        <v>377</v>
      </c>
      <c r="S433">
        <v>489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 t="s">
        <v>31</v>
      </c>
    </row>
    <row r="434" spans="1:25" hidden="1">
      <c r="A434" t="s">
        <v>25</v>
      </c>
      <c r="B434" t="s">
        <v>26</v>
      </c>
      <c r="C434" t="s">
        <v>44</v>
      </c>
      <c r="D434" s="1">
        <v>41951</v>
      </c>
      <c r="E434" s="2">
        <v>0.72916666666666663</v>
      </c>
      <c r="F434" t="s">
        <v>43</v>
      </c>
      <c r="G434" t="s">
        <v>38</v>
      </c>
      <c r="H434">
        <v>0</v>
      </c>
      <c r="I434">
        <v>1</v>
      </c>
      <c r="J434" t="s">
        <v>30</v>
      </c>
      <c r="K434">
        <v>209</v>
      </c>
      <c r="L434">
        <v>388</v>
      </c>
      <c r="M434">
        <v>348</v>
      </c>
      <c r="N434">
        <v>212</v>
      </c>
      <c r="O434">
        <v>395</v>
      </c>
      <c r="P434">
        <v>38</v>
      </c>
      <c r="Q434">
        <v>204</v>
      </c>
      <c r="R434">
        <v>351</v>
      </c>
      <c r="S434">
        <v>337</v>
      </c>
      <c r="T434" t="s">
        <v>31</v>
      </c>
      <c r="U434" t="s">
        <v>31</v>
      </c>
      <c r="V434" t="s">
        <v>31</v>
      </c>
      <c r="W434" t="s">
        <v>31</v>
      </c>
      <c r="X434" t="s">
        <v>31</v>
      </c>
      <c r="Y434" t="s">
        <v>31</v>
      </c>
    </row>
    <row r="435" spans="1:25" hidden="1">
      <c r="A435" t="s">
        <v>25</v>
      </c>
      <c r="B435" t="s">
        <v>26</v>
      </c>
      <c r="C435" t="s">
        <v>44</v>
      </c>
      <c r="D435" s="1">
        <v>41952</v>
      </c>
      <c r="E435" s="2">
        <v>0.5625</v>
      </c>
      <c r="F435" t="s">
        <v>35</v>
      </c>
      <c r="G435" t="s">
        <v>40</v>
      </c>
      <c r="H435">
        <v>2</v>
      </c>
      <c r="I435">
        <v>3</v>
      </c>
      <c r="J435" t="s">
        <v>30</v>
      </c>
      <c r="K435">
        <v>232</v>
      </c>
      <c r="L435">
        <v>347</v>
      </c>
      <c r="M435">
        <v>326</v>
      </c>
      <c r="N435">
        <v>232</v>
      </c>
      <c r="O435">
        <v>36</v>
      </c>
      <c r="P435">
        <v>375</v>
      </c>
      <c r="Q435">
        <v>213</v>
      </c>
      <c r="R435">
        <v>334</v>
      </c>
      <c r="S435">
        <v>331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 t="s">
        <v>31</v>
      </c>
    </row>
    <row r="436" spans="1:25" hidden="1">
      <c r="A436" t="s">
        <v>25</v>
      </c>
      <c r="B436" t="s">
        <v>26</v>
      </c>
      <c r="C436" t="s">
        <v>44</v>
      </c>
      <c r="D436" s="1">
        <v>41952</v>
      </c>
      <c r="E436" s="2">
        <v>0.66666666666666663</v>
      </c>
      <c r="F436" t="s">
        <v>45</v>
      </c>
      <c r="G436" t="s">
        <v>29</v>
      </c>
      <c r="H436">
        <v>4</v>
      </c>
      <c r="I436">
        <v>1</v>
      </c>
      <c r="J436" t="s">
        <v>34</v>
      </c>
      <c r="K436">
        <v>727</v>
      </c>
      <c r="L436">
        <v>532</v>
      </c>
      <c r="M436">
        <v>143</v>
      </c>
      <c r="N436">
        <v>83</v>
      </c>
      <c r="O436">
        <v>54</v>
      </c>
      <c r="P436">
        <v>152</v>
      </c>
      <c r="Q436">
        <v>679</v>
      </c>
      <c r="R436">
        <v>475</v>
      </c>
      <c r="S436">
        <v>141</v>
      </c>
      <c r="T436" t="s">
        <v>31</v>
      </c>
      <c r="U436" t="s">
        <v>31</v>
      </c>
      <c r="V436" t="s">
        <v>31</v>
      </c>
      <c r="W436" t="s">
        <v>31</v>
      </c>
      <c r="X436" t="s">
        <v>31</v>
      </c>
      <c r="Y436" t="s">
        <v>31</v>
      </c>
    </row>
    <row r="437" spans="1:25" hidden="1">
      <c r="A437" t="s">
        <v>25</v>
      </c>
      <c r="B437" t="s">
        <v>26</v>
      </c>
      <c r="C437" t="s">
        <v>44</v>
      </c>
      <c r="D437" s="1">
        <v>41965</v>
      </c>
      <c r="E437" s="2">
        <v>0.625</v>
      </c>
      <c r="F437" t="s">
        <v>43</v>
      </c>
      <c r="G437" t="s">
        <v>35</v>
      </c>
      <c r="H437">
        <v>3</v>
      </c>
      <c r="I437">
        <v>1</v>
      </c>
      <c r="J437" t="s">
        <v>34</v>
      </c>
      <c r="K437">
        <v>334</v>
      </c>
      <c r="L437">
        <v>366</v>
      </c>
      <c r="M437">
        <v>221</v>
      </c>
      <c r="N437">
        <v>34</v>
      </c>
      <c r="O437">
        <v>369</v>
      </c>
      <c r="P437">
        <v>23</v>
      </c>
      <c r="Q437">
        <v>311</v>
      </c>
      <c r="R437">
        <v>342</v>
      </c>
      <c r="S437">
        <v>218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</row>
    <row r="438" spans="1:25" hidden="1">
      <c r="A438" t="s">
        <v>25</v>
      </c>
      <c r="B438" t="s">
        <v>26</v>
      </c>
      <c r="C438" t="s">
        <v>44</v>
      </c>
      <c r="D438" s="1">
        <v>41965</v>
      </c>
      <c r="E438" s="2">
        <v>0.72916666666666663</v>
      </c>
      <c r="F438" t="s">
        <v>40</v>
      </c>
      <c r="G438" t="s">
        <v>37</v>
      </c>
      <c r="H438">
        <v>4</v>
      </c>
      <c r="I438">
        <v>0</v>
      </c>
      <c r="J438" t="s">
        <v>34</v>
      </c>
      <c r="K438">
        <v>153</v>
      </c>
      <c r="L438">
        <v>446</v>
      </c>
      <c r="M438">
        <v>674</v>
      </c>
      <c r="N438">
        <v>157</v>
      </c>
      <c r="O438">
        <v>45</v>
      </c>
      <c r="P438">
        <v>674</v>
      </c>
      <c r="Q438">
        <v>152</v>
      </c>
      <c r="R438">
        <v>41</v>
      </c>
      <c r="S438">
        <v>594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31</v>
      </c>
    </row>
    <row r="439" spans="1:25" hidden="1">
      <c r="A439" t="s">
        <v>25</v>
      </c>
      <c r="B439" t="s">
        <v>26</v>
      </c>
      <c r="C439" t="s">
        <v>44</v>
      </c>
      <c r="D439" s="1">
        <v>41965</v>
      </c>
      <c r="E439" s="2">
        <v>0.72916666666666663</v>
      </c>
      <c r="F439" t="s">
        <v>33</v>
      </c>
      <c r="G439" t="s">
        <v>39</v>
      </c>
      <c r="H439">
        <v>2</v>
      </c>
      <c r="I439">
        <v>0</v>
      </c>
      <c r="J439" t="s">
        <v>34</v>
      </c>
      <c r="K439">
        <v>333</v>
      </c>
      <c r="L439">
        <v>37</v>
      </c>
      <c r="M439">
        <v>221</v>
      </c>
      <c r="N439">
        <v>34</v>
      </c>
      <c r="O439">
        <v>37</v>
      </c>
      <c r="P439">
        <v>224</v>
      </c>
      <c r="Q439">
        <v>318</v>
      </c>
      <c r="R439">
        <v>345</v>
      </c>
      <c r="S439">
        <v>214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 t="s">
        <v>31</v>
      </c>
    </row>
    <row r="440" spans="1:25" hidden="1">
      <c r="A440" t="s">
        <v>25</v>
      </c>
      <c r="B440" t="s">
        <v>26</v>
      </c>
      <c r="C440" t="s">
        <v>44</v>
      </c>
      <c r="D440" s="1">
        <v>41965</v>
      </c>
      <c r="E440" s="2">
        <v>0.72916666666666663</v>
      </c>
      <c r="F440" t="s">
        <v>38</v>
      </c>
      <c r="G440" t="s">
        <v>45</v>
      </c>
      <c r="H440">
        <v>2</v>
      </c>
      <c r="I440">
        <v>1</v>
      </c>
      <c r="J440" t="s">
        <v>34</v>
      </c>
      <c r="K440">
        <v>246</v>
      </c>
      <c r="L440">
        <v>356</v>
      </c>
      <c r="M440">
        <v>296</v>
      </c>
      <c r="N440">
        <v>248</v>
      </c>
      <c r="O440">
        <v>36</v>
      </c>
      <c r="P440">
        <v>31</v>
      </c>
      <c r="Q440">
        <v>235</v>
      </c>
      <c r="R440">
        <v>335</v>
      </c>
      <c r="S440">
        <v>288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  <c r="Y440" t="s">
        <v>31</v>
      </c>
    </row>
    <row r="441" spans="1:25" hidden="1">
      <c r="A441" t="s">
        <v>25</v>
      </c>
      <c r="B441" t="s">
        <v>26</v>
      </c>
      <c r="C441" t="s">
        <v>44</v>
      </c>
      <c r="D441" s="1">
        <v>41966</v>
      </c>
      <c r="E441" s="2">
        <v>0.64583333333333337</v>
      </c>
      <c r="F441" t="s">
        <v>28</v>
      </c>
      <c r="G441" t="s">
        <v>29</v>
      </c>
      <c r="H441">
        <v>1</v>
      </c>
      <c r="I441">
        <v>2</v>
      </c>
      <c r="J441" t="s">
        <v>30</v>
      </c>
      <c r="K441">
        <v>558</v>
      </c>
      <c r="L441">
        <v>421</v>
      </c>
      <c r="M441">
        <v>165</v>
      </c>
      <c r="N441">
        <v>6</v>
      </c>
      <c r="O441">
        <v>44</v>
      </c>
      <c r="P441">
        <v>166</v>
      </c>
      <c r="Q441">
        <v>527</v>
      </c>
      <c r="R441">
        <v>394</v>
      </c>
      <c r="S441">
        <v>159</v>
      </c>
      <c r="T441" t="s">
        <v>31</v>
      </c>
      <c r="U441" t="s">
        <v>31</v>
      </c>
      <c r="V441" t="s">
        <v>31</v>
      </c>
      <c r="W441" t="s">
        <v>31</v>
      </c>
      <c r="X441" t="s">
        <v>31</v>
      </c>
      <c r="Y441" t="s">
        <v>31</v>
      </c>
    </row>
    <row r="442" spans="1:25" hidden="1">
      <c r="A442" t="s">
        <v>25</v>
      </c>
      <c r="B442" t="s">
        <v>26</v>
      </c>
      <c r="C442" t="s">
        <v>44</v>
      </c>
      <c r="D442" s="1">
        <v>41972</v>
      </c>
      <c r="E442" s="2">
        <v>0.625</v>
      </c>
      <c r="F442" t="s">
        <v>38</v>
      </c>
      <c r="G442" t="s">
        <v>40</v>
      </c>
      <c r="H442">
        <v>1</v>
      </c>
      <c r="I442">
        <v>1</v>
      </c>
      <c r="J442" t="s">
        <v>41</v>
      </c>
      <c r="K442">
        <v>313</v>
      </c>
      <c r="L442">
        <v>357</v>
      </c>
      <c r="M442">
        <v>235</v>
      </c>
      <c r="N442">
        <v>314</v>
      </c>
      <c r="O442">
        <v>36</v>
      </c>
      <c r="P442">
        <v>24</v>
      </c>
      <c r="Q442">
        <v>298</v>
      </c>
      <c r="R442">
        <v>334</v>
      </c>
      <c r="S442">
        <v>228</v>
      </c>
      <c r="T442" t="s">
        <v>31</v>
      </c>
      <c r="U442" t="s">
        <v>31</v>
      </c>
      <c r="V442" t="s">
        <v>31</v>
      </c>
      <c r="W442" t="s">
        <v>31</v>
      </c>
      <c r="X442" t="s">
        <v>31</v>
      </c>
      <c r="Y442" t="s">
        <v>31</v>
      </c>
    </row>
    <row r="443" spans="1:25" hidden="1">
      <c r="A443" t="s">
        <v>25</v>
      </c>
      <c r="B443" t="s">
        <v>26</v>
      </c>
      <c r="C443" t="s">
        <v>44</v>
      </c>
      <c r="D443" s="1">
        <v>41972</v>
      </c>
      <c r="E443" s="2">
        <v>0.72916666666666663</v>
      </c>
      <c r="F443" t="s">
        <v>37</v>
      </c>
      <c r="G443" t="s">
        <v>28</v>
      </c>
      <c r="H443">
        <v>0</v>
      </c>
      <c r="I443">
        <v>2</v>
      </c>
      <c r="J443" t="s">
        <v>30</v>
      </c>
      <c r="K443">
        <v>352</v>
      </c>
      <c r="L443">
        <v>348</v>
      </c>
      <c r="M443">
        <v>22</v>
      </c>
      <c r="N443">
        <v>375</v>
      </c>
      <c r="O443">
        <v>365</v>
      </c>
      <c r="P443">
        <v>221</v>
      </c>
      <c r="Q443">
        <v>343</v>
      </c>
      <c r="R443">
        <v>333</v>
      </c>
      <c r="S443">
        <v>208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 t="s">
        <v>31</v>
      </c>
    </row>
    <row r="444" spans="1:25" hidden="1">
      <c r="A444" t="s">
        <v>25</v>
      </c>
      <c r="B444" t="s">
        <v>26</v>
      </c>
      <c r="C444" t="s">
        <v>44</v>
      </c>
      <c r="D444" s="1">
        <v>41972</v>
      </c>
      <c r="E444" s="2">
        <v>0.72916666666666663</v>
      </c>
      <c r="F444" t="s">
        <v>45</v>
      </c>
      <c r="G444" t="s">
        <v>43</v>
      </c>
      <c r="H444">
        <v>3</v>
      </c>
      <c r="I444">
        <v>1</v>
      </c>
      <c r="J444" t="s">
        <v>34</v>
      </c>
      <c r="K444">
        <v>212</v>
      </c>
      <c r="L444">
        <v>374</v>
      </c>
      <c r="M444">
        <v>349</v>
      </c>
      <c r="N444">
        <v>212</v>
      </c>
      <c r="O444">
        <v>39</v>
      </c>
      <c r="P444">
        <v>39</v>
      </c>
      <c r="Q444">
        <v>201</v>
      </c>
      <c r="R444">
        <v>352</v>
      </c>
      <c r="S444">
        <v>346</v>
      </c>
      <c r="T444" t="s">
        <v>31</v>
      </c>
      <c r="U444" t="s">
        <v>31</v>
      </c>
      <c r="V444" t="s">
        <v>31</v>
      </c>
      <c r="W444" t="s">
        <v>31</v>
      </c>
      <c r="X444" t="s">
        <v>31</v>
      </c>
      <c r="Y444" t="s">
        <v>31</v>
      </c>
    </row>
    <row r="445" spans="1:25" hidden="1">
      <c r="A445" t="s">
        <v>25</v>
      </c>
      <c r="B445" t="s">
        <v>26</v>
      </c>
      <c r="C445" t="s">
        <v>44</v>
      </c>
      <c r="D445" s="1">
        <v>41972</v>
      </c>
      <c r="E445" s="2">
        <v>0.72916666666666663</v>
      </c>
      <c r="F445" t="s">
        <v>35</v>
      </c>
      <c r="G445" t="s">
        <v>33</v>
      </c>
      <c r="H445">
        <v>3</v>
      </c>
      <c r="I445">
        <v>0</v>
      </c>
      <c r="J445" t="s">
        <v>34</v>
      </c>
      <c r="K445">
        <v>14</v>
      </c>
      <c r="L445">
        <v>529</v>
      </c>
      <c r="M445">
        <v>819</v>
      </c>
      <c r="N445">
        <v>141</v>
      </c>
      <c r="O445">
        <v>53</v>
      </c>
      <c r="P445">
        <v>827</v>
      </c>
      <c r="Q445">
        <v>137</v>
      </c>
      <c r="R445">
        <v>493</v>
      </c>
      <c r="S445">
        <v>72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  <c r="Y445" t="s">
        <v>31</v>
      </c>
    </row>
    <row r="446" spans="1:25" hidden="1">
      <c r="A446" t="s">
        <v>25</v>
      </c>
      <c r="B446" t="s">
        <v>26</v>
      </c>
      <c r="C446" t="s">
        <v>44</v>
      </c>
      <c r="D446" s="1">
        <v>41973</v>
      </c>
      <c r="E446" s="2">
        <v>0.64583333333333337</v>
      </c>
      <c r="F446" t="s">
        <v>29</v>
      </c>
      <c r="G446" t="s">
        <v>39</v>
      </c>
      <c r="H446">
        <v>2</v>
      </c>
      <c r="I446">
        <v>2</v>
      </c>
      <c r="J446" t="s">
        <v>41</v>
      </c>
      <c r="K446">
        <v>12</v>
      </c>
      <c r="L446">
        <v>805</v>
      </c>
      <c r="M446">
        <v>1498</v>
      </c>
      <c r="N446">
        <v>121</v>
      </c>
      <c r="O446">
        <v>85</v>
      </c>
      <c r="P446">
        <v>16</v>
      </c>
      <c r="Q446">
        <v>118</v>
      </c>
      <c r="R446">
        <v>725</v>
      </c>
      <c r="S446">
        <v>1224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  <c r="Y446" t="s">
        <v>31</v>
      </c>
    </row>
    <row r="447" spans="1:25" hidden="1">
      <c r="A447" t="s">
        <v>25</v>
      </c>
      <c r="B447" t="s">
        <v>26</v>
      </c>
      <c r="C447" t="s">
        <v>44</v>
      </c>
      <c r="D447" s="1">
        <v>41979</v>
      </c>
      <c r="E447" s="2">
        <v>0.625</v>
      </c>
      <c r="F447" t="s">
        <v>40</v>
      </c>
      <c r="G447" t="s">
        <v>29</v>
      </c>
      <c r="H447">
        <v>2</v>
      </c>
      <c r="I447">
        <v>4</v>
      </c>
      <c r="J447" t="s">
        <v>30</v>
      </c>
      <c r="K447">
        <v>477</v>
      </c>
      <c r="L447">
        <v>419</v>
      </c>
      <c r="M447">
        <v>174</v>
      </c>
      <c r="N447">
        <v>5</v>
      </c>
      <c r="O447">
        <v>465</v>
      </c>
      <c r="P447">
        <v>18</v>
      </c>
      <c r="Q447">
        <v>453</v>
      </c>
      <c r="R447">
        <v>382</v>
      </c>
      <c r="S447">
        <v>17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 t="s">
        <v>31</v>
      </c>
    </row>
    <row r="448" spans="1:25" hidden="1">
      <c r="A448" t="s">
        <v>25</v>
      </c>
      <c r="B448" t="s">
        <v>26</v>
      </c>
      <c r="C448" t="s">
        <v>44</v>
      </c>
      <c r="D448" s="1">
        <v>41979</v>
      </c>
      <c r="E448" s="2">
        <v>0.72916666666666663</v>
      </c>
      <c r="F448" t="s">
        <v>43</v>
      </c>
      <c r="G448" t="s">
        <v>37</v>
      </c>
      <c r="H448">
        <v>5</v>
      </c>
      <c r="I448">
        <v>0</v>
      </c>
      <c r="J448" t="s">
        <v>34</v>
      </c>
      <c r="K448">
        <v>179</v>
      </c>
      <c r="L448">
        <v>384</v>
      </c>
      <c r="M448">
        <v>49</v>
      </c>
      <c r="N448">
        <v>184</v>
      </c>
      <c r="O448">
        <v>4</v>
      </c>
      <c r="P448">
        <v>49</v>
      </c>
      <c r="Q448">
        <v>174</v>
      </c>
      <c r="R448">
        <v>367</v>
      </c>
      <c r="S448">
        <v>441</v>
      </c>
      <c r="T448" t="s">
        <v>31</v>
      </c>
      <c r="U448" t="s">
        <v>31</v>
      </c>
      <c r="V448" t="s">
        <v>31</v>
      </c>
      <c r="W448" t="s">
        <v>31</v>
      </c>
      <c r="X448" t="s">
        <v>31</v>
      </c>
      <c r="Y448" t="s">
        <v>31</v>
      </c>
    </row>
    <row r="449" spans="1:25" hidden="1">
      <c r="A449" t="s">
        <v>25</v>
      </c>
      <c r="B449" t="s">
        <v>26</v>
      </c>
      <c r="C449" t="s">
        <v>44</v>
      </c>
      <c r="D449" s="1">
        <v>41979</v>
      </c>
      <c r="E449" s="2">
        <v>0.72916666666666663</v>
      </c>
      <c r="F449" t="s">
        <v>33</v>
      </c>
      <c r="G449" t="s">
        <v>45</v>
      </c>
      <c r="H449">
        <v>2</v>
      </c>
      <c r="I449">
        <v>0</v>
      </c>
      <c r="J449" t="s">
        <v>34</v>
      </c>
      <c r="K449">
        <v>333</v>
      </c>
      <c r="L449">
        <v>356</v>
      </c>
      <c r="M449">
        <v>223</v>
      </c>
      <c r="N449">
        <v>34</v>
      </c>
      <c r="O449">
        <v>375</v>
      </c>
      <c r="P449">
        <v>23</v>
      </c>
      <c r="Q449">
        <v>314</v>
      </c>
      <c r="R449">
        <v>339</v>
      </c>
      <c r="S449">
        <v>217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  <c r="Y449" t="s">
        <v>31</v>
      </c>
    </row>
    <row r="450" spans="1:25" hidden="1">
      <c r="A450" t="s">
        <v>25</v>
      </c>
      <c r="B450" t="s">
        <v>26</v>
      </c>
      <c r="C450" t="s">
        <v>44</v>
      </c>
      <c r="D450" s="1">
        <v>41979</v>
      </c>
      <c r="E450" s="2">
        <v>0.72916666666666663</v>
      </c>
      <c r="F450" t="s">
        <v>28</v>
      </c>
      <c r="G450" t="s">
        <v>38</v>
      </c>
      <c r="H450">
        <v>3</v>
      </c>
      <c r="I450">
        <v>1</v>
      </c>
      <c r="J450" t="s">
        <v>34</v>
      </c>
      <c r="K450">
        <v>197</v>
      </c>
      <c r="L450">
        <v>373</v>
      </c>
      <c r="M450">
        <v>403</v>
      </c>
      <c r="N450">
        <v>198</v>
      </c>
      <c r="O450">
        <v>385</v>
      </c>
      <c r="P450">
        <v>46</v>
      </c>
      <c r="Q450">
        <v>183</v>
      </c>
      <c r="R450">
        <v>356</v>
      </c>
      <c r="S450">
        <v>41</v>
      </c>
      <c r="T450" t="s">
        <v>31</v>
      </c>
      <c r="U450" t="s">
        <v>31</v>
      </c>
      <c r="V450" t="s">
        <v>31</v>
      </c>
      <c r="W450" t="s">
        <v>31</v>
      </c>
      <c r="X450" t="s">
        <v>31</v>
      </c>
      <c r="Y450" t="s">
        <v>31</v>
      </c>
    </row>
    <row r="451" spans="1:25" hidden="1">
      <c r="A451" t="s">
        <v>25</v>
      </c>
      <c r="B451" t="s">
        <v>26</v>
      </c>
      <c r="C451" t="s">
        <v>44</v>
      </c>
      <c r="D451" s="1">
        <v>41980</v>
      </c>
      <c r="E451" s="2">
        <v>0.64583333333333337</v>
      </c>
      <c r="F451" t="s">
        <v>39</v>
      </c>
      <c r="G451" t="s">
        <v>35</v>
      </c>
      <c r="H451">
        <v>1</v>
      </c>
      <c r="I451">
        <v>1</v>
      </c>
      <c r="J451" t="s">
        <v>41</v>
      </c>
      <c r="K451">
        <v>321</v>
      </c>
      <c r="L451">
        <v>35</v>
      </c>
      <c r="M451">
        <v>234</v>
      </c>
      <c r="N451">
        <v>33</v>
      </c>
      <c r="O451">
        <v>355</v>
      </c>
      <c r="P451">
        <v>24</v>
      </c>
      <c r="Q451">
        <v>303</v>
      </c>
      <c r="R451">
        <v>33</v>
      </c>
      <c r="S451">
        <v>229</v>
      </c>
      <c r="T451" t="s">
        <v>31</v>
      </c>
      <c r="U451" t="s">
        <v>31</v>
      </c>
      <c r="V451" t="s">
        <v>31</v>
      </c>
      <c r="W451" t="s">
        <v>31</v>
      </c>
      <c r="X451" t="s">
        <v>31</v>
      </c>
      <c r="Y451" t="s">
        <v>31</v>
      </c>
    </row>
    <row r="452" spans="1:25" hidden="1">
      <c r="A452" t="s">
        <v>25</v>
      </c>
      <c r="B452" t="s">
        <v>26</v>
      </c>
      <c r="C452" t="s">
        <v>44</v>
      </c>
      <c r="D452" s="1">
        <v>41986</v>
      </c>
      <c r="E452" s="2">
        <v>0.625</v>
      </c>
      <c r="F452" t="s">
        <v>45</v>
      </c>
      <c r="G452" t="s">
        <v>28</v>
      </c>
      <c r="H452">
        <v>2</v>
      </c>
      <c r="I452">
        <v>0</v>
      </c>
      <c r="J452" t="s">
        <v>34</v>
      </c>
      <c r="K452">
        <v>259</v>
      </c>
      <c r="L452">
        <v>354</v>
      </c>
      <c r="M452">
        <v>281</v>
      </c>
      <c r="N452">
        <v>278</v>
      </c>
      <c r="O452">
        <v>354</v>
      </c>
      <c r="P452">
        <v>281</v>
      </c>
      <c r="Q452">
        <v>251</v>
      </c>
      <c r="R452">
        <v>329</v>
      </c>
      <c r="S452">
        <v>27</v>
      </c>
      <c r="T452" t="s">
        <v>31</v>
      </c>
      <c r="U452" t="s">
        <v>31</v>
      </c>
      <c r="V452" t="s">
        <v>31</v>
      </c>
      <c r="W452" t="s">
        <v>31</v>
      </c>
      <c r="X452" t="s">
        <v>31</v>
      </c>
      <c r="Y452" t="s">
        <v>31</v>
      </c>
    </row>
    <row r="453" spans="1:25" hidden="1">
      <c r="A453" t="s">
        <v>25</v>
      </c>
      <c r="B453" t="s">
        <v>26</v>
      </c>
      <c r="C453" t="s">
        <v>44</v>
      </c>
      <c r="D453" s="1">
        <v>41986</v>
      </c>
      <c r="E453" s="2">
        <v>0.72916666666666663</v>
      </c>
      <c r="F453" t="s">
        <v>37</v>
      </c>
      <c r="G453" t="s">
        <v>39</v>
      </c>
      <c r="H453">
        <v>2</v>
      </c>
      <c r="I453">
        <v>1</v>
      </c>
      <c r="J453" t="s">
        <v>34</v>
      </c>
      <c r="K453">
        <v>303</v>
      </c>
      <c r="L453">
        <v>333</v>
      </c>
      <c r="M453">
        <v>253</v>
      </c>
      <c r="N453">
        <v>308</v>
      </c>
      <c r="O453">
        <v>355</v>
      </c>
      <c r="P453">
        <v>253</v>
      </c>
      <c r="Q453">
        <v>287</v>
      </c>
      <c r="R453">
        <v>324</v>
      </c>
      <c r="S453">
        <v>241</v>
      </c>
      <c r="T453" t="s">
        <v>31</v>
      </c>
      <c r="U453" t="s">
        <v>31</v>
      </c>
      <c r="V453" t="s">
        <v>31</v>
      </c>
      <c r="W453" t="s">
        <v>31</v>
      </c>
      <c r="X453" t="s">
        <v>31</v>
      </c>
      <c r="Y453" t="s">
        <v>31</v>
      </c>
    </row>
    <row r="454" spans="1:25" hidden="1">
      <c r="A454" t="s">
        <v>25</v>
      </c>
      <c r="B454" t="s">
        <v>26</v>
      </c>
      <c r="C454" t="s">
        <v>44</v>
      </c>
      <c r="D454" s="1">
        <v>41986</v>
      </c>
      <c r="E454" s="2">
        <v>0.72916666666666663</v>
      </c>
      <c r="F454" t="s">
        <v>40</v>
      </c>
      <c r="G454" t="s">
        <v>43</v>
      </c>
      <c r="H454">
        <v>1</v>
      </c>
      <c r="I454">
        <v>0</v>
      </c>
      <c r="J454" t="s">
        <v>34</v>
      </c>
      <c r="K454">
        <v>175</v>
      </c>
      <c r="L454">
        <v>393</v>
      </c>
      <c r="M454">
        <v>5</v>
      </c>
      <c r="N454">
        <v>181</v>
      </c>
      <c r="O454">
        <v>393</v>
      </c>
      <c r="P454">
        <v>51</v>
      </c>
      <c r="Q454">
        <v>174</v>
      </c>
      <c r="R454">
        <v>367</v>
      </c>
      <c r="S454">
        <v>445</v>
      </c>
      <c r="T454" t="s">
        <v>31</v>
      </c>
      <c r="U454" t="s">
        <v>31</v>
      </c>
      <c r="V454" t="s">
        <v>31</v>
      </c>
      <c r="W454" t="s">
        <v>31</v>
      </c>
      <c r="X454" t="s">
        <v>31</v>
      </c>
      <c r="Y454" t="s">
        <v>31</v>
      </c>
    </row>
    <row r="455" spans="1:25" hidden="1">
      <c r="A455" t="s">
        <v>25</v>
      </c>
      <c r="B455" t="s">
        <v>26</v>
      </c>
      <c r="C455" t="s">
        <v>44</v>
      </c>
      <c r="D455" s="1">
        <v>41986</v>
      </c>
      <c r="E455" s="2">
        <v>0.72916666666666663</v>
      </c>
      <c r="F455" t="s">
        <v>38</v>
      </c>
      <c r="G455" t="s">
        <v>33</v>
      </c>
      <c r="H455">
        <v>6</v>
      </c>
      <c r="I455">
        <v>0</v>
      </c>
      <c r="J455" t="s">
        <v>34</v>
      </c>
      <c r="K455">
        <v>164</v>
      </c>
      <c r="L455">
        <v>422</v>
      </c>
      <c r="M455">
        <v>566</v>
      </c>
      <c r="N455">
        <v>167</v>
      </c>
      <c r="O455">
        <v>423</v>
      </c>
      <c r="P455">
        <v>65</v>
      </c>
      <c r="Q455">
        <v>16</v>
      </c>
      <c r="R455">
        <v>388</v>
      </c>
      <c r="S455">
        <v>532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 t="s">
        <v>31</v>
      </c>
    </row>
    <row r="456" spans="1:25" hidden="1">
      <c r="A456" t="s">
        <v>25</v>
      </c>
      <c r="B456" t="s">
        <v>26</v>
      </c>
      <c r="C456" t="s">
        <v>44</v>
      </c>
      <c r="D456" s="1">
        <v>41987</v>
      </c>
      <c r="E456" s="2">
        <v>0.64583333333333337</v>
      </c>
      <c r="F456" t="s">
        <v>29</v>
      </c>
      <c r="G456" t="s">
        <v>35</v>
      </c>
      <c r="H456">
        <v>1</v>
      </c>
      <c r="I456">
        <v>2</v>
      </c>
      <c r="J456" t="s">
        <v>30</v>
      </c>
      <c r="K456">
        <v>133</v>
      </c>
      <c r="L456">
        <v>614</v>
      </c>
      <c r="M456">
        <v>906</v>
      </c>
      <c r="N456">
        <v>136</v>
      </c>
      <c r="O456">
        <v>614</v>
      </c>
      <c r="P456">
        <v>97</v>
      </c>
      <c r="Q456">
        <v>132</v>
      </c>
      <c r="R456">
        <v>532</v>
      </c>
      <c r="S456">
        <v>795</v>
      </c>
      <c r="T456" t="s">
        <v>31</v>
      </c>
      <c r="U456" t="s">
        <v>31</v>
      </c>
      <c r="V456" t="s">
        <v>31</v>
      </c>
      <c r="W456" t="s">
        <v>31</v>
      </c>
      <c r="X456" t="s">
        <v>31</v>
      </c>
      <c r="Y456" t="s">
        <v>31</v>
      </c>
    </row>
    <row r="457" spans="1:25" hidden="1">
      <c r="A457" t="s">
        <v>25</v>
      </c>
      <c r="B457" t="s">
        <v>26</v>
      </c>
      <c r="C457" t="s">
        <v>44</v>
      </c>
      <c r="D457" s="1">
        <v>42049</v>
      </c>
      <c r="E457" s="2">
        <v>0.625</v>
      </c>
      <c r="F457" t="s">
        <v>35</v>
      </c>
      <c r="G457" t="s">
        <v>38</v>
      </c>
      <c r="H457">
        <v>3</v>
      </c>
      <c r="I457">
        <v>0</v>
      </c>
      <c r="J457" t="s">
        <v>34</v>
      </c>
      <c r="K457">
        <v>17</v>
      </c>
      <c r="L457">
        <v>402</v>
      </c>
      <c r="M457">
        <v>532</v>
      </c>
      <c r="N457">
        <v>171</v>
      </c>
      <c r="O457">
        <v>42</v>
      </c>
      <c r="P457">
        <v>65</v>
      </c>
      <c r="Q457">
        <v>164</v>
      </c>
      <c r="R457">
        <v>377</v>
      </c>
      <c r="S457">
        <v>517</v>
      </c>
      <c r="T457" t="s">
        <v>31</v>
      </c>
      <c r="U457" t="s">
        <v>31</v>
      </c>
      <c r="V457" t="s">
        <v>31</v>
      </c>
      <c r="W457" t="s">
        <v>31</v>
      </c>
      <c r="X457" t="s">
        <v>31</v>
      </c>
      <c r="Y457" t="s">
        <v>31</v>
      </c>
    </row>
    <row r="458" spans="1:25" hidden="1">
      <c r="A458" t="s">
        <v>25</v>
      </c>
      <c r="B458" t="s">
        <v>26</v>
      </c>
      <c r="C458" t="s">
        <v>44</v>
      </c>
      <c r="D458" s="1">
        <v>42049</v>
      </c>
      <c r="E458" s="2">
        <v>0.72916666666666663</v>
      </c>
      <c r="F458" t="s">
        <v>45</v>
      </c>
      <c r="G458" t="s">
        <v>37</v>
      </c>
      <c r="H458">
        <v>2</v>
      </c>
      <c r="I458">
        <v>0</v>
      </c>
      <c r="J458" t="s">
        <v>34</v>
      </c>
      <c r="K458">
        <v>176</v>
      </c>
      <c r="L458">
        <v>386</v>
      </c>
      <c r="M458">
        <v>491</v>
      </c>
      <c r="N458">
        <v>19</v>
      </c>
      <c r="O458">
        <v>389</v>
      </c>
      <c r="P458">
        <v>491</v>
      </c>
      <c r="Q458">
        <v>175</v>
      </c>
      <c r="R458">
        <v>362</v>
      </c>
      <c r="S458">
        <v>445</v>
      </c>
      <c r="T458" t="s">
        <v>31</v>
      </c>
      <c r="U458" t="s">
        <v>31</v>
      </c>
      <c r="V458" t="s">
        <v>31</v>
      </c>
      <c r="W458" t="s">
        <v>31</v>
      </c>
      <c r="X458" t="s">
        <v>31</v>
      </c>
      <c r="Y458" t="s">
        <v>31</v>
      </c>
    </row>
    <row r="459" spans="1:25" hidden="1">
      <c r="A459" t="s">
        <v>25</v>
      </c>
      <c r="B459" t="s">
        <v>26</v>
      </c>
      <c r="C459" t="s">
        <v>44</v>
      </c>
      <c r="D459" s="1">
        <v>42049</v>
      </c>
      <c r="E459" s="2">
        <v>0.72916666666666663</v>
      </c>
      <c r="F459" t="s">
        <v>33</v>
      </c>
      <c r="G459" t="s">
        <v>29</v>
      </c>
      <c r="H459">
        <v>0</v>
      </c>
      <c r="I459">
        <v>2</v>
      </c>
      <c r="J459" t="s">
        <v>30</v>
      </c>
      <c r="K459">
        <v>1071</v>
      </c>
      <c r="L459">
        <v>621</v>
      </c>
      <c r="M459">
        <v>13</v>
      </c>
      <c r="N459">
        <v>13</v>
      </c>
      <c r="O459">
        <v>79</v>
      </c>
      <c r="P459">
        <v>13</v>
      </c>
      <c r="Q459">
        <v>1049</v>
      </c>
      <c r="R459">
        <v>618</v>
      </c>
      <c r="S459">
        <v>123</v>
      </c>
      <c r="T459" t="s">
        <v>31</v>
      </c>
      <c r="U459" t="s">
        <v>31</v>
      </c>
      <c r="V459" t="s">
        <v>31</v>
      </c>
      <c r="W459" t="s">
        <v>31</v>
      </c>
      <c r="X459" t="s">
        <v>31</v>
      </c>
      <c r="Y459" t="s">
        <v>31</v>
      </c>
    </row>
    <row r="460" spans="1:25" hidden="1">
      <c r="A460" t="s">
        <v>25</v>
      </c>
      <c r="B460" t="s">
        <v>26</v>
      </c>
      <c r="C460" t="s">
        <v>44</v>
      </c>
      <c r="D460" s="1">
        <v>42050</v>
      </c>
      <c r="E460" s="2">
        <v>0.60416666666666663</v>
      </c>
      <c r="F460" t="s">
        <v>39</v>
      </c>
      <c r="G460" t="s">
        <v>40</v>
      </c>
      <c r="H460">
        <v>1</v>
      </c>
      <c r="I460">
        <v>0</v>
      </c>
      <c r="J460" t="s">
        <v>34</v>
      </c>
      <c r="K460">
        <v>341</v>
      </c>
      <c r="L460">
        <v>331</v>
      </c>
      <c r="M460">
        <v>232</v>
      </c>
      <c r="N460">
        <v>341</v>
      </c>
      <c r="O460">
        <v>34</v>
      </c>
      <c r="P460">
        <v>244</v>
      </c>
      <c r="Q460">
        <v>312</v>
      </c>
      <c r="R460">
        <v>323</v>
      </c>
      <c r="S460">
        <v>227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31</v>
      </c>
    </row>
    <row r="461" spans="1:25" hidden="1">
      <c r="A461" t="s">
        <v>25</v>
      </c>
      <c r="B461" t="s">
        <v>26</v>
      </c>
      <c r="C461" t="s">
        <v>44</v>
      </c>
      <c r="D461" s="1">
        <v>42056</v>
      </c>
      <c r="E461" s="2">
        <v>0.625</v>
      </c>
      <c r="F461" t="s">
        <v>40</v>
      </c>
      <c r="G461" t="s">
        <v>45</v>
      </c>
      <c r="H461">
        <v>5</v>
      </c>
      <c r="I461">
        <v>2</v>
      </c>
      <c r="J461" t="s">
        <v>34</v>
      </c>
      <c r="K461">
        <v>174</v>
      </c>
      <c r="L461">
        <v>386</v>
      </c>
      <c r="M461">
        <v>525</v>
      </c>
      <c r="N461">
        <v>18</v>
      </c>
      <c r="O461">
        <v>395</v>
      </c>
      <c r="P461">
        <v>53</v>
      </c>
      <c r="Q461">
        <v>173</v>
      </c>
      <c r="R461">
        <v>361</v>
      </c>
      <c r="S461">
        <v>463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31</v>
      </c>
    </row>
    <row r="462" spans="1:25" hidden="1">
      <c r="A462" t="s">
        <v>25</v>
      </c>
      <c r="B462" t="s">
        <v>26</v>
      </c>
      <c r="C462" t="s">
        <v>44</v>
      </c>
      <c r="D462" s="1">
        <v>42056</v>
      </c>
      <c r="E462" s="2">
        <v>0.72916666666666663</v>
      </c>
      <c r="F462" t="s">
        <v>28</v>
      </c>
      <c r="G462" t="s">
        <v>33</v>
      </c>
      <c r="H462">
        <v>3</v>
      </c>
      <c r="I462">
        <v>3</v>
      </c>
      <c r="J462" t="s">
        <v>41</v>
      </c>
      <c r="K462">
        <v>146</v>
      </c>
      <c r="L462">
        <v>482</v>
      </c>
      <c r="M462">
        <v>765</v>
      </c>
      <c r="N462">
        <v>146</v>
      </c>
      <c r="O462">
        <v>485</v>
      </c>
      <c r="P462">
        <v>85</v>
      </c>
      <c r="Q462">
        <v>143</v>
      </c>
      <c r="R462">
        <v>433</v>
      </c>
      <c r="S462">
        <v>722</v>
      </c>
      <c r="T462" t="s">
        <v>31</v>
      </c>
      <c r="U462" t="s">
        <v>31</v>
      </c>
      <c r="V462" t="s">
        <v>31</v>
      </c>
      <c r="W462" t="s">
        <v>31</v>
      </c>
      <c r="X462" t="s">
        <v>31</v>
      </c>
      <c r="Y462" t="s">
        <v>31</v>
      </c>
    </row>
    <row r="463" spans="1:25" hidden="1">
      <c r="A463" t="s">
        <v>25</v>
      </c>
      <c r="B463" t="s">
        <v>26</v>
      </c>
      <c r="C463" t="s">
        <v>44</v>
      </c>
      <c r="D463" s="1">
        <v>42057</v>
      </c>
      <c r="E463" s="2">
        <v>0.54166666666666663</v>
      </c>
      <c r="F463" t="s">
        <v>38</v>
      </c>
      <c r="G463" t="s">
        <v>29</v>
      </c>
      <c r="H463">
        <v>2</v>
      </c>
      <c r="I463">
        <v>2</v>
      </c>
      <c r="J463" t="s">
        <v>41</v>
      </c>
      <c r="K463">
        <v>501</v>
      </c>
      <c r="L463">
        <v>415</v>
      </c>
      <c r="M463">
        <v>171</v>
      </c>
      <c r="N463">
        <v>7</v>
      </c>
      <c r="O463">
        <v>46</v>
      </c>
      <c r="P463">
        <v>173</v>
      </c>
      <c r="Q463">
        <v>507</v>
      </c>
      <c r="R463">
        <v>402</v>
      </c>
      <c r="S463">
        <v>161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</row>
    <row r="464" spans="1:25" hidden="1">
      <c r="A464" t="s">
        <v>25</v>
      </c>
      <c r="B464" t="s">
        <v>26</v>
      </c>
      <c r="C464" t="s">
        <v>44</v>
      </c>
      <c r="D464" s="1">
        <v>42057</v>
      </c>
      <c r="E464" s="2">
        <v>0.64583333333333337</v>
      </c>
      <c r="F464" t="s">
        <v>37</v>
      </c>
      <c r="G464" t="s">
        <v>35</v>
      </c>
      <c r="H464">
        <v>1</v>
      </c>
      <c r="I464">
        <v>1</v>
      </c>
      <c r="J464" t="s">
        <v>41</v>
      </c>
      <c r="K464">
        <v>405</v>
      </c>
      <c r="L464">
        <v>368</v>
      </c>
      <c r="M464">
        <v>198</v>
      </c>
      <c r="N464">
        <v>41</v>
      </c>
      <c r="O464">
        <v>375</v>
      </c>
      <c r="P464">
        <v>198</v>
      </c>
      <c r="Q464">
        <v>38</v>
      </c>
      <c r="R464">
        <v>347</v>
      </c>
      <c r="S464">
        <v>192</v>
      </c>
      <c r="T464" t="s">
        <v>31</v>
      </c>
      <c r="U464" t="s">
        <v>31</v>
      </c>
      <c r="V464" t="s">
        <v>31</v>
      </c>
      <c r="W464" t="s">
        <v>31</v>
      </c>
      <c r="X464" t="s">
        <v>31</v>
      </c>
      <c r="Y464" t="s">
        <v>31</v>
      </c>
    </row>
    <row r="465" spans="1:25" hidden="1">
      <c r="A465" t="s">
        <v>25</v>
      </c>
      <c r="B465" t="s">
        <v>26</v>
      </c>
      <c r="C465" t="s">
        <v>44</v>
      </c>
      <c r="D465" s="1">
        <v>42063</v>
      </c>
      <c r="E465" s="2">
        <v>0.625</v>
      </c>
      <c r="F465" t="s">
        <v>45</v>
      </c>
      <c r="G465" t="s">
        <v>39</v>
      </c>
      <c r="H465">
        <v>1</v>
      </c>
      <c r="I465">
        <v>0</v>
      </c>
      <c r="J465" t="s">
        <v>34</v>
      </c>
      <c r="K465">
        <v>228</v>
      </c>
      <c r="L465">
        <v>34</v>
      </c>
      <c r="M465">
        <v>343</v>
      </c>
      <c r="N465">
        <v>236</v>
      </c>
      <c r="O465">
        <v>34</v>
      </c>
      <c r="P465">
        <v>345</v>
      </c>
      <c r="Q465">
        <v>223</v>
      </c>
      <c r="R465">
        <v>325</v>
      </c>
      <c r="S465">
        <v>318</v>
      </c>
      <c r="T465" t="s">
        <v>31</v>
      </c>
      <c r="U465" t="s">
        <v>31</v>
      </c>
      <c r="V465" t="s">
        <v>31</v>
      </c>
      <c r="W465" t="s">
        <v>31</v>
      </c>
      <c r="X465" t="s">
        <v>31</v>
      </c>
      <c r="Y465" t="s">
        <v>31</v>
      </c>
    </row>
    <row r="466" spans="1:25" hidden="1">
      <c r="A466" t="s">
        <v>25</v>
      </c>
      <c r="B466" t="s">
        <v>26</v>
      </c>
      <c r="C466" t="s">
        <v>44</v>
      </c>
      <c r="D466" s="1">
        <v>42063</v>
      </c>
      <c r="E466" s="2">
        <v>0.72916666666666663</v>
      </c>
      <c r="F466" t="s">
        <v>33</v>
      </c>
      <c r="G466" t="s">
        <v>40</v>
      </c>
      <c r="H466">
        <v>1</v>
      </c>
      <c r="I466">
        <v>0</v>
      </c>
      <c r="J466" t="s">
        <v>34</v>
      </c>
      <c r="K466">
        <v>524</v>
      </c>
      <c r="L466">
        <v>387</v>
      </c>
      <c r="M466">
        <v>174</v>
      </c>
      <c r="N466">
        <v>524</v>
      </c>
      <c r="O466">
        <v>395</v>
      </c>
      <c r="P466">
        <v>182</v>
      </c>
      <c r="Q466">
        <v>453</v>
      </c>
      <c r="R466">
        <v>365</v>
      </c>
      <c r="S466">
        <v>174</v>
      </c>
      <c r="T466" t="s">
        <v>31</v>
      </c>
      <c r="U466" t="s">
        <v>31</v>
      </c>
      <c r="V466" t="s">
        <v>31</v>
      </c>
      <c r="W466" t="s">
        <v>31</v>
      </c>
      <c r="X466" t="s">
        <v>31</v>
      </c>
      <c r="Y466" t="s">
        <v>31</v>
      </c>
    </row>
    <row r="467" spans="1:25" hidden="1">
      <c r="A467" t="s">
        <v>25</v>
      </c>
      <c r="B467" t="s">
        <v>26</v>
      </c>
      <c r="C467" t="s">
        <v>44</v>
      </c>
      <c r="D467" s="1">
        <v>42063</v>
      </c>
      <c r="E467" s="2">
        <v>0.72916666666666663</v>
      </c>
      <c r="F467" t="s">
        <v>35</v>
      </c>
      <c r="G467" t="s">
        <v>28</v>
      </c>
      <c r="H467">
        <v>1</v>
      </c>
      <c r="I467">
        <v>0</v>
      </c>
      <c r="J467" t="s">
        <v>34</v>
      </c>
      <c r="K467">
        <v>196</v>
      </c>
      <c r="L467">
        <v>356</v>
      </c>
      <c r="M467">
        <v>426</v>
      </c>
      <c r="N467">
        <v>2</v>
      </c>
      <c r="O467">
        <v>37</v>
      </c>
      <c r="P467">
        <v>475</v>
      </c>
      <c r="Q467">
        <v>187</v>
      </c>
      <c r="R467">
        <v>341</v>
      </c>
      <c r="S467">
        <v>414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  <c r="Y467" t="s">
        <v>31</v>
      </c>
    </row>
    <row r="468" spans="1:25" hidden="1">
      <c r="A468" t="s">
        <v>25</v>
      </c>
      <c r="B468" t="s">
        <v>26</v>
      </c>
      <c r="C468" t="s">
        <v>44</v>
      </c>
      <c r="D468" s="1">
        <v>42063</v>
      </c>
      <c r="E468" s="2">
        <v>0.72916666666666663</v>
      </c>
      <c r="F468" t="s">
        <v>38</v>
      </c>
      <c r="G468" t="s">
        <v>37</v>
      </c>
      <c r="H468">
        <v>2</v>
      </c>
      <c r="I468">
        <v>2</v>
      </c>
      <c r="J468" t="s">
        <v>41</v>
      </c>
      <c r="K468">
        <v>199</v>
      </c>
      <c r="L468">
        <v>367</v>
      </c>
      <c r="M468">
        <v>402</v>
      </c>
      <c r="N468">
        <v>2</v>
      </c>
      <c r="O468">
        <v>37</v>
      </c>
      <c r="P468">
        <v>46</v>
      </c>
      <c r="Q468">
        <v>184</v>
      </c>
      <c r="R468">
        <v>354</v>
      </c>
      <c r="S468">
        <v>406</v>
      </c>
      <c r="T468" t="s">
        <v>31</v>
      </c>
      <c r="U468" t="s">
        <v>31</v>
      </c>
      <c r="V468" t="s">
        <v>31</v>
      </c>
      <c r="W468" t="s">
        <v>31</v>
      </c>
      <c r="X468" t="s">
        <v>31</v>
      </c>
      <c r="Y468" t="s">
        <v>31</v>
      </c>
    </row>
    <row r="469" spans="1:25" hidden="1">
      <c r="A469" t="s">
        <v>25</v>
      </c>
      <c r="B469" t="s">
        <v>26</v>
      </c>
      <c r="C469" t="s">
        <v>44</v>
      </c>
      <c r="D469" s="1">
        <v>42064</v>
      </c>
      <c r="E469" s="2">
        <v>0.64583333333333337</v>
      </c>
      <c r="F469" t="s">
        <v>29</v>
      </c>
      <c r="G469" t="s">
        <v>43</v>
      </c>
      <c r="H469">
        <v>3</v>
      </c>
      <c r="I469">
        <v>1</v>
      </c>
      <c r="J469" t="s">
        <v>34</v>
      </c>
      <c r="K469">
        <v>128</v>
      </c>
      <c r="L469">
        <v>661</v>
      </c>
      <c r="M469">
        <v>1047</v>
      </c>
      <c r="N469">
        <v>128</v>
      </c>
      <c r="O469">
        <v>75</v>
      </c>
      <c r="P469">
        <v>15</v>
      </c>
      <c r="Q469">
        <v>123</v>
      </c>
      <c r="R469">
        <v>626</v>
      </c>
      <c r="S469">
        <v>1061</v>
      </c>
      <c r="T469" t="s">
        <v>31</v>
      </c>
      <c r="U469" t="s">
        <v>31</v>
      </c>
      <c r="V469" t="s">
        <v>31</v>
      </c>
      <c r="W469" t="s">
        <v>31</v>
      </c>
      <c r="X469" t="s">
        <v>31</v>
      </c>
      <c r="Y469" t="s">
        <v>31</v>
      </c>
    </row>
    <row r="470" spans="1:25" hidden="1">
      <c r="A470" t="s">
        <v>25</v>
      </c>
      <c r="B470" t="s">
        <v>26</v>
      </c>
      <c r="C470" t="s">
        <v>44</v>
      </c>
      <c r="D470" s="1">
        <v>42066</v>
      </c>
      <c r="E470" s="2">
        <v>0.75</v>
      </c>
      <c r="F470" t="s">
        <v>28</v>
      </c>
      <c r="G470" t="s">
        <v>40</v>
      </c>
      <c r="H470">
        <v>2</v>
      </c>
      <c r="I470">
        <v>1</v>
      </c>
      <c r="J470" t="s">
        <v>34</v>
      </c>
      <c r="K470">
        <v>277</v>
      </c>
      <c r="L470">
        <v>35</v>
      </c>
      <c r="M470">
        <v>264</v>
      </c>
      <c r="N470">
        <v>279</v>
      </c>
      <c r="O470">
        <v>35</v>
      </c>
      <c r="P470">
        <v>292</v>
      </c>
      <c r="Q470">
        <v>259</v>
      </c>
      <c r="R470">
        <v>327</v>
      </c>
      <c r="S470">
        <v>265</v>
      </c>
      <c r="T470" t="s">
        <v>31</v>
      </c>
      <c r="U470" t="s">
        <v>31</v>
      </c>
      <c r="V470" t="s">
        <v>31</v>
      </c>
      <c r="W470" t="s">
        <v>31</v>
      </c>
      <c r="X470" t="s">
        <v>31</v>
      </c>
      <c r="Y470" t="s">
        <v>31</v>
      </c>
    </row>
    <row r="471" spans="1:25" hidden="1">
      <c r="A471" t="s">
        <v>25</v>
      </c>
      <c r="B471" t="s">
        <v>26</v>
      </c>
      <c r="C471" t="s">
        <v>44</v>
      </c>
      <c r="D471" s="1">
        <v>42067</v>
      </c>
      <c r="E471" s="2">
        <v>0.75</v>
      </c>
      <c r="F471" t="s">
        <v>39</v>
      </c>
      <c r="G471" t="s">
        <v>38</v>
      </c>
      <c r="H471">
        <v>1</v>
      </c>
      <c r="I471">
        <v>2</v>
      </c>
      <c r="J471" t="s">
        <v>30</v>
      </c>
      <c r="K471">
        <v>241</v>
      </c>
      <c r="L471">
        <v>344</v>
      </c>
      <c r="M471">
        <v>313</v>
      </c>
      <c r="N471">
        <v>241</v>
      </c>
      <c r="O471">
        <v>35</v>
      </c>
      <c r="P471">
        <v>34</v>
      </c>
      <c r="Q471">
        <v>228</v>
      </c>
      <c r="R471">
        <v>326</v>
      </c>
      <c r="S471">
        <v>309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</row>
    <row r="472" spans="1:25" hidden="1">
      <c r="A472" t="s">
        <v>25</v>
      </c>
      <c r="B472" t="s">
        <v>26</v>
      </c>
      <c r="C472" t="s">
        <v>44</v>
      </c>
      <c r="D472" s="1">
        <v>42067</v>
      </c>
      <c r="E472" s="2">
        <v>0.75</v>
      </c>
      <c r="F472" t="s">
        <v>37</v>
      </c>
      <c r="G472" t="s">
        <v>29</v>
      </c>
      <c r="H472">
        <v>1</v>
      </c>
      <c r="I472">
        <v>4</v>
      </c>
      <c r="J472" t="s">
        <v>30</v>
      </c>
      <c r="K472">
        <v>721</v>
      </c>
      <c r="L472">
        <v>527</v>
      </c>
      <c r="M472">
        <v>143</v>
      </c>
      <c r="N472">
        <v>86</v>
      </c>
      <c r="O472">
        <v>57</v>
      </c>
      <c r="P472">
        <v>145</v>
      </c>
      <c r="Q472">
        <v>709</v>
      </c>
      <c r="R472">
        <v>494</v>
      </c>
      <c r="S472">
        <v>138</v>
      </c>
      <c r="T472" t="s">
        <v>31</v>
      </c>
      <c r="U472" t="s">
        <v>31</v>
      </c>
      <c r="V472" t="s">
        <v>31</v>
      </c>
      <c r="W472" t="s">
        <v>31</v>
      </c>
      <c r="X472" t="s">
        <v>31</v>
      </c>
      <c r="Y472" t="s">
        <v>31</v>
      </c>
    </row>
    <row r="473" spans="1:25" hidden="1">
      <c r="A473" t="s">
        <v>25</v>
      </c>
      <c r="B473" t="s">
        <v>26</v>
      </c>
      <c r="C473" t="s">
        <v>44</v>
      </c>
      <c r="D473" s="1">
        <v>42067</v>
      </c>
      <c r="E473" s="2">
        <v>0.75</v>
      </c>
      <c r="F473" t="s">
        <v>43</v>
      </c>
      <c r="G473" t="s">
        <v>33</v>
      </c>
      <c r="H473">
        <v>1</v>
      </c>
      <c r="I473">
        <v>3</v>
      </c>
      <c r="J473" t="s">
        <v>30</v>
      </c>
      <c r="K473">
        <v>172</v>
      </c>
      <c r="L473">
        <v>423</v>
      </c>
      <c r="M473">
        <v>482</v>
      </c>
      <c r="N473">
        <v>181</v>
      </c>
      <c r="O473">
        <v>423</v>
      </c>
      <c r="P473">
        <v>5</v>
      </c>
      <c r="Q473">
        <v>172</v>
      </c>
      <c r="R473">
        <v>384</v>
      </c>
      <c r="S473">
        <v>435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</row>
    <row r="474" spans="1:25" hidden="1">
      <c r="A474" t="s">
        <v>25</v>
      </c>
      <c r="B474" t="s">
        <v>26</v>
      </c>
      <c r="C474" t="s">
        <v>44</v>
      </c>
      <c r="D474" s="1">
        <v>42067</v>
      </c>
      <c r="E474" s="2">
        <v>0.75</v>
      </c>
      <c r="F474" t="s">
        <v>35</v>
      </c>
      <c r="G474" t="s">
        <v>45</v>
      </c>
      <c r="H474">
        <v>1</v>
      </c>
      <c r="I474">
        <v>0</v>
      </c>
      <c r="J474" t="s">
        <v>34</v>
      </c>
      <c r="K474">
        <v>155</v>
      </c>
      <c r="L474">
        <v>427</v>
      </c>
      <c r="M474">
        <v>692</v>
      </c>
      <c r="N474">
        <v>165</v>
      </c>
      <c r="O474">
        <v>427</v>
      </c>
      <c r="P474">
        <v>692</v>
      </c>
      <c r="Q474">
        <v>155</v>
      </c>
      <c r="R474">
        <v>394</v>
      </c>
      <c r="S474">
        <v>58</v>
      </c>
      <c r="T474" t="s">
        <v>31</v>
      </c>
      <c r="U474" t="s">
        <v>31</v>
      </c>
      <c r="V474" t="s">
        <v>31</v>
      </c>
      <c r="W474" t="s">
        <v>31</v>
      </c>
      <c r="X474" t="s">
        <v>31</v>
      </c>
      <c r="Y474" t="s">
        <v>31</v>
      </c>
    </row>
    <row r="475" spans="1:25" hidden="1">
      <c r="A475" t="s">
        <v>25</v>
      </c>
      <c r="B475" t="s">
        <v>26</v>
      </c>
      <c r="C475" t="s">
        <v>44</v>
      </c>
      <c r="D475" s="1">
        <v>42070</v>
      </c>
      <c r="E475" s="2">
        <v>0.625</v>
      </c>
      <c r="F475" t="s">
        <v>28</v>
      </c>
      <c r="G475" t="s">
        <v>39</v>
      </c>
      <c r="H475">
        <v>2</v>
      </c>
      <c r="I475">
        <v>0</v>
      </c>
      <c r="J475" t="s">
        <v>34</v>
      </c>
      <c r="K475">
        <v>181</v>
      </c>
      <c r="L475">
        <v>376</v>
      </c>
      <c r="M475">
        <v>486</v>
      </c>
      <c r="N475">
        <v>2</v>
      </c>
      <c r="O475">
        <v>376</v>
      </c>
      <c r="P475">
        <v>5</v>
      </c>
      <c r="Q475">
        <v>181</v>
      </c>
      <c r="R475">
        <v>349</v>
      </c>
      <c r="S475">
        <v>438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  <c r="Y475" t="s">
        <v>31</v>
      </c>
    </row>
    <row r="476" spans="1:25" hidden="1">
      <c r="A476" t="s">
        <v>25</v>
      </c>
      <c r="B476" t="s">
        <v>26</v>
      </c>
      <c r="C476" t="s">
        <v>44</v>
      </c>
      <c r="D476" s="1">
        <v>42070</v>
      </c>
      <c r="E476" s="2">
        <v>0.72916666666666663</v>
      </c>
      <c r="F476" t="s">
        <v>33</v>
      </c>
      <c r="G476" t="s">
        <v>37</v>
      </c>
      <c r="H476">
        <v>0</v>
      </c>
      <c r="I476">
        <v>0</v>
      </c>
      <c r="J476" t="s">
        <v>41</v>
      </c>
      <c r="K476">
        <v>272</v>
      </c>
      <c r="L476">
        <v>35</v>
      </c>
      <c r="M476">
        <v>268</v>
      </c>
      <c r="N476">
        <v>272</v>
      </c>
      <c r="O476">
        <v>36</v>
      </c>
      <c r="P476">
        <v>278</v>
      </c>
      <c r="Q476">
        <v>257</v>
      </c>
      <c r="R476">
        <v>331</v>
      </c>
      <c r="S476">
        <v>264</v>
      </c>
      <c r="T476" t="s">
        <v>31</v>
      </c>
      <c r="U476" t="s">
        <v>31</v>
      </c>
      <c r="V476" t="s">
        <v>31</v>
      </c>
      <c r="W476" t="s">
        <v>31</v>
      </c>
      <c r="X476" t="s">
        <v>31</v>
      </c>
      <c r="Y476" t="s">
        <v>31</v>
      </c>
    </row>
    <row r="477" spans="1:25" hidden="1">
      <c r="A477" t="s">
        <v>25</v>
      </c>
      <c r="B477" t="s">
        <v>26</v>
      </c>
      <c r="C477" t="s">
        <v>44</v>
      </c>
      <c r="D477" s="1">
        <v>42070</v>
      </c>
      <c r="E477" s="2">
        <v>0.72916666666666663</v>
      </c>
      <c r="F477" t="s">
        <v>38</v>
      </c>
      <c r="G477" t="s">
        <v>43</v>
      </c>
      <c r="H477">
        <v>2</v>
      </c>
      <c r="I477">
        <v>1</v>
      </c>
      <c r="J477" t="s">
        <v>34</v>
      </c>
      <c r="K477">
        <v>188</v>
      </c>
      <c r="L477">
        <v>359</v>
      </c>
      <c r="M477">
        <v>465</v>
      </c>
      <c r="N477">
        <v>205</v>
      </c>
      <c r="O477">
        <v>375</v>
      </c>
      <c r="P477">
        <v>47</v>
      </c>
      <c r="Q477">
        <v>191</v>
      </c>
      <c r="R477">
        <v>347</v>
      </c>
      <c r="S477">
        <v>389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</row>
    <row r="478" spans="1:25" hidden="1">
      <c r="A478" t="s">
        <v>25</v>
      </c>
      <c r="B478" t="s">
        <v>26</v>
      </c>
      <c r="C478" t="s">
        <v>44</v>
      </c>
      <c r="D478" s="1">
        <v>42070</v>
      </c>
      <c r="E478" s="2">
        <v>0.72916666666666663</v>
      </c>
      <c r="F478" t="s">
        <v>29</v>
      </c>
      <c r="G478" t="s">
        <v>45</v>
      </c>
      <c r="H478">
        <v>0</v>
      </c>
      <c r="I478">
        <v>1</v>
      </c>
      <c r="J478" t="s">
        <v>30</v>
      </c>
      <c r="K478">
        <v>123</v>
      </c>
      <c r="L478">
        <v>743</v>
      </c>
      <c r="M478">
        <v>1298</v>
      </c>
      <c r="N478">
        <v>125</v>
      </c>
      <c r="O478">
        <v>84</v>
      </c>
      <c r="P478">
        <v>15</v>
      </c>
      <c r="Q478">
        <v>121</v>
      </c>
      <c r="R478">
        <v>652</v>
      </c>
      <c r="S478">
        <v>1144</v>
      </c>
      <c r="T478" t="s">
        <v>31</v>
      </c>
      <c r="U478" t="s">
        <v>31</v>
      </c>
      <c r="V478" t="s">
        <v>31</v>
      </c>
      <c r="W478" t="s">
        <v>31</v>
      </c>
      <c r="X478" t="s">
        <v>31</v>
      </c>
      <c r="Y478" t="s">
        <v>31</v>
      </c>
    </row>
    <row r="479" spans="1:25" hidden="1">
      <c r="A479" t="s">
        <v>25</v>
      </c>
      <c r="B479" t="s">
        <v>26</v>
      </c>
      <c r="C479" t="s">
        <v>44</v>
      </c>
      <c r="D479" s="1">
        <v>42071</v>
      </c>
      <c r="E479" s="2">
        <v>0.64583333333333337</v>
      </c>
      <c r="F479" t="s">
        <v>40</v>
      </c>
      <c r="G479" t="s">
        <v>35</v>
      </c>
      <c r="H479">
        <v>2</v>
      </c>
      <c r="I479">
        <v>1</v>
      </c>
      <c r="J479" t="s">
        <v>34</v>
      </c>
      <c r="K479">
        <v>318</v>
      </c>
      <c r="L479">
        <v>322</v>
      </c>
      <c r="M479">
        <v>249</v>
      </c>
      <c r="N479">
        <v>33</v>
      </c>
      <c r="O479">
        <v>33</v>
      </c>
      <c r="P479">
        <v>27</v>
      </c>
      <c r="Q479">
        <v>293</v>
      </c>
      <c r="R479">
        <v>314</v>
      </c>
      <c r="S479">
        <v>245</v>
      </c>
      <c r="T479" t="s">
        <v>31</v>
      </c>
      <c r="U479" t="s">
        <v>31</v>
      </c>
      <c r="V479" t="s">
        <v>31</v>
      </c>
      <c r="W479" t="s">
        <v>31</v>
      </c>
      <c r="X479" t="s">
        <v>31</v>
      </c>
      <c r="Y479" t="s">
        <v>31</v>
      </c>
    </row>
    <row r="480" spans="1:25" hidden="1">
      <c r="A480" t="s">
        <v>25</v>
      </c>
      <c r="B480" t="s">
        <v>26</v>
      </c>
      <c r="C480" t="s">
        <v>44</v>
      </c>
      <c r="D480" s="1">
        <v>42074</v>
      </c>
      <c r="E480" s="2">
        <v>0.72916666666666663</v>
      </c>
      <c r="F480" t="s">
        <v>43</v>
      </c>
      <c r="G480" t="s">
        <v>28</v>
      </c>
      <c r="H480">
        <v>0</v>
      </c>
      <c r="I480">
        <v>2</v>
      </c>
      <c r="J480" t="s">
        <v>30</v>
      </c>
      <c r="K480">
        <v>338</v>
      </c>
      <c r="L480">
        <v>331</v>
      </c>
      <c r="M480">
        <v>234</v>
      </c>
      <c r="N480">
        <v>345</v>
      </c>
      <c r="O480">
        <v>35</v>
      </c>
      <c r="P480">
        <v>238</v>
      </c>
      <c r="Q480">
        <v>312</v>
      </c>
      <c r="R480">
        <v>321</v>
      </c>
      <c r="S480">
        <v>228</v>
      </c>
      <c r="T480" t="s">
        <v>31</v>
      </c>
      <c r="U480" t="s">
        <v>31</v>
      </c>
      <c r="V480" t="s">
        <v>31</v>
      </c>
      <c r="W480" t="s">
        <v>31</v>
      </c>
      <c r="X480" t="s">
        <v>31</v>
      </c>
      <c r="Y480" t="s">
        <v>31</v>
      </c>
    </row>
    <row r="481" spans="1:25" hidden="1">
      <c r="A481" t="s">
        <v>25</v>
      </c>
      <c r="B481" t="s">
        <v>26</v>
      </c>
      <c r="C481" t="s">
        <v>44</v>
      </c>
      <c r="D481" s="1">
        <v>42077</v>
      </c>
      <c r="E481" s="2">
        <v>0.625</v>
      </c>
      <c r="F481" t="s">
        <v>37</v>
      </c>
      <c r="G481" t="s">
        <v>40</v>
      </c>
      <c r="H481">
        <v>1</v>
      </c>
      <c r="I481">
        <v>1</v>
      </c>
      <c r="J481" t="s">
        <v>41</v>
      </c>
      <c r="K481">
        <v>333</v>
      </c>
      <c r="L481">
        <v>345</v>
      </c>
      <c r="M481">
        <v>23</v>
      </c>
      <c r="N481">
        <v>334</v>
      </c>
      <c r="O481">
        <v>346</v>
      </c>
      <c r="P481">
        <v>248</v>
      </c>
      <c r="Q481">
        <v>301</v>
      </c>
      <c r="R481">
        <v>332</v>
      </c>
      <c r="S481">
        <v>229</v>
      </c>
      <c r="T481" t="s">
        <v>31</v>
      </c>
      <c r="U481" t="s">
        <v>31</v>
      </c>
      <c r="V481" t="s">
        <v>31</v>
      </c>
      <c r="W481" t="s">
        <v>31</v>
      </c>
      <c r="X481" t="s">
        <v>31</v>
      </c>
      <c r="Y481" t="s">
        <v>31</v>
      </c>
    </row>
    <row r="482" spans="1:25" hidden="1">
      <c r="A482" t="s">
        <v>25</v>
      </c>
      <c r="B482" t="s">
        <v>26</v>
      </c>
      <c r="C482" t="s">
        <v>44</v>
      </c>
      <c r="D482" s="1">
        <v>42077</v>
      </c>
      <c r="E482" s="2">
        <v>0.72916666666666663</v>
      </c>
      <c r="F482" t="s">
        <v>39</v>
      </c>
      <c r="G482" t="s">
        <v>33</v>
      </c>
      <c r="H482">
        <v>2</v>
      </c>
      <c r="I482">
        <v>0</v>
      </c>
      <c r="J482" t="s">
        <v>34</v>
      </c>
      <c r="K482">
        <v>176</v>
      </c>
      <c r="L482">
        <v>385</v>
      </c>
      <c r="M482">
        <v>508</v>
      </c>
      <c r="N482">
        <v>185</v>
      </c>
      <c r="O482">
        <v>4</v>
      </c>
      <c r="P482">
        <v>508</v>
      </c>
      <c r="Q482">
        <v>175</v>
      </c>
      <c r="R482">
        <v>367</v>
      </c>
      <c r="S482">
        <v>445</v>
      </c>
      <c r="T482" t="s">
        <v>31</v>
      </c>
      <c r="U482" t="s">
        <v>31</v>
      </c>
      <c r="V482" t="s">
        <v>31</v>
      </c>
      <c r="W482" t="s">
        <v>31</v>
      </c>
      <c r="X482" t="s">
        <v>31</v>
      </c>
      <c r="Y482" t="s">
        <v>31</v>
      </c>
    </row>
    <row r="483" spans="1:25" hidden="1">
      <c r="A483" t="s">
        <v>25</v>
      </c>
      <c r="B483" t="s">
        <v>26</v>
      </c>
      <c r="C483" t="s">
        <v>44</v>
      </c>
      <c r="D483" s="1">
        <v>42077</v>
      </c>
      <c r="E483" s="2">
        <v>0.72916666666666663</v>
      </c>
      <c r="F483" t="s">
        <v>45</v>
      </c>
      <c r="G483" t="s">
        <v>38</v>
      </c>
      <c r="H483">
        <v>2</v>
      </c>
      <c r="I483">
        <v>1</v>
      </c>
      <c r="J483" t="s">
        <v>34</v>
      </c>
      <c r="K483">
        <v>247</v>
      </c>
      <c r="L483">
        <v>33</v>
      </c>
      <c r="M483">
        <v>317</v>
      </c>
      <c r="N483">
        <v>247</v>
      </c>
      <c r="O483">
        <v>34</v>
      </c>
      <c r="P483">
        <v>34</v>
      </c>
      <c r="Q483">
        <v>23</v>
      </c>
      <c r="R483">
        <v>324</v>
      </c>
      <c r="S483">
        <v>305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</row>
    <row r="484" spans="1:25" hidden="1">
      <c r="A484" t="s">
        <v>25</v>
      </c>
      <c r="B484" t="s">
        <v>26</v>
      </c>
      <c r="C484" t="s">
        <v>44</v>
      </c>
      <c r="D484" s="1">
        <v>42077</v>
      </c>
      <c r="E484" s="2">
        <v>0.72916666666666663</v>
      </c>
      <c r="F484" t="s">
        <v>35</v>
      </c>
      <c r="G484" t="s">
        <v>43</v>
      </c>
      <c r="H484">
        <v>4</v>
      </c>
      <c r="I484">
        <v>0</v>
      </c>
      <c r="J484" t="s">
        <v>34</v>
      </c>
      <c r="K484">
        <v>132</v>
      </c>
      <c r="L484">
        <v>573</v>
      </c>
      <c r="M484">
        <v>1088</v>
      </c>
      <c r="N484">
        <v>145</v>
      </c>
      <c r="O484">
        <v>61</v>
      </c>
      <c r="P484">
        <v>11</v>
      </c>
      <c r="Q484">
        <v>132</v>
      </c>
      <c r="R484">
        <v>512</v>
      </c>
      <c r="S484">
        <v>901</v>
      </c>
      <c r="T484" t="s">
        <v>31</v>
      </c>
      <c r="U484" t="s">
        <v>31</v>
      </c>
      <c r="V484" t="s">
        <v>31</v>
      </c>
      <c r="W484" t="s">
        <v>31</v>
      </c>
      <c r="X484" t="s">
        <v>31</v>
      </c>
      <c r="Y484" t="s">
        <v>31</v>
      </c>
    </row>
    <row r="485" spans="1:25" hidden="1">
      <c r="A485" t="s">
        <v>25</v>
      </c>
      <c r="B485" t="s">
        <v>26</v>
      </c>
      <c r="C485" t="s">
        <v>44</v>
      </c>
      <c r="D485" s="1">
        <v>42078</v>
      </c>
      <c r="E485" s="2">
        <v>0.64583333333333337</v>
      </c>
      <c r="F485" t="s">
        <v>29</v>
      </c>
      <c r="G485" t="s">
        <v>28</v>
      </c>
      <c r="H485">
        <v>2</v>
      </c>
      <c r="I485">
        <v>1</v>
      </c>
      <c r="J485" t="s">
        <v>34</v>
      </c>
      <c r="K485">
        <v>149</v>
      </c>
      <c r="L485">
        <v>485</v>
      </c>
      <c r="M485">
        <v>687</v>
      </c>
      <c r="N485">
        <v>151</v>
      </c>
      <c r="O485">
        <v>534</v>
      </c>
      <c r="P485">
        <v>914</v>
      </c>
      <c r="Q485">
        <v>145</v>
      </c>
      <c r="R485">
        <v>451</v>
      </c>
      <c r="S485">
        <v>649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</row>
    <row r="486" spans="1:25" hidden="1">
      <c r="A486" t="s">
        <v>25</v>
      </c>
      <c r="B486" t="s">
        <v>26</v>
      </c>
      <c r="C486" t="s">
        <v>44</v>
      </c>
      <c r="D486" s="1">
        <v>42081</v>
      </c>
      <c r="E486" s="2">
        <v>0.72916666666666663</v>
      </c>
      <c r="F486" t="s">
        <v>43</v>
      </c>
      <c r="G486" t="s">
        <v>39</v>
      </c>
      <c r="H486">
        <v>2</v>
      </c>
      <c r="I486">
        <v>0</v>
      </c>
      <c r="J486" t="s">
        <v>34</v>
      </c>
      <c r="K486">
        <v>249</v>
      </c>
      <c r="L486">
        <v>341</v>
      </c>
      <c r="M486">
        <v>302</v>
      </c>
      <c r="N486">
        <v>265</v>
      </c>
      <c r="O486">
        <v>35</v>
      </c>
      <c r="P486">
        <v>31</v>
      </c>
      <c r="Q486">
        <v>246</v>
      </c>
      <c r="R486">
        <v>327</v>
      </c>
      <c r="S486">
        <v>28</v>
      </c>
      <c r="T486" t="s">
        <v>31</v>
      </c>
      <c r="U486" t="s">
        <v>31</v>
      </c>
      <c r="V486" t="s">
        <v>31</v>
      </c>
      <c r="W486" t="s">
        <v>31</v>
      </c>
      <c r="X486" t="s">
        <v>31</v>
      </c>
      <c r="Y486" t="s">
        <v>31</v>
      </c>
    </row>
    <row r="487" spans="1:25" hidden="1">
      <c r="A487" t="s">
        <v>25</v>
      </c>
      <c r="B487" t="s">
        <v>26</v>
      </c>
      <c r="C487" t="s">
        <v>44</v>
      </c>
      <c r="D487" s="1">
        <v>42084</v>
      </c>
      <c r="E487" s="2">
        <v>0.625</v>
      </c>
      <c r="F487" t="s">
        <v>40</v>
      </c>
      <c r="G487" t="s">
        <v>38</v>
      </c>
      <c r="H487">
        <v>0</v>
      </c>
      <c r="I487">
        <v>1</v>
      </c>
      <c r="J487" t="s">
        <v>30</v>
      </c>
      <c r="K487">
        <v>193</v>
      </c>
      <c r="L487">
        <v>376</v>
      </c>
      <c r="M487">
        <v>416</v>
      </c>
      <c r="N487">
        <v>193</v>
      </c>
      <c r="O487">
        <v>38</v>
      </c>
      <c r="P487">
        <v>465</v>
      </c>
      <c r="Q487">
        <v>182</v>
      </c>
      <c r="R487">
        <v>357</v>
      </c>
      <c r="S487">
        <v>415</v>
      </c>
      <c r="T487" t="s">
        <v>31</v>
      </c>
      <c r="U487" t="s">
        <v>31</v>
      </c>
      <c r="V487" t="s">
        <v>31</v>
      </c>
      <c r="W487" t="s">
        <v>31</v>
      </c>
      <c r="X487" t="s">
        <v>31</v>
      </c>
      <c r="Y487" t="s">
        <v>31</v>
      </c>
    </row>
    <row r="488" spans="1:25" hidden="1">
      <c r="A488" t="s">
        <v>25</v>
      </c>
      <c r="B488" t="s">
        <v>26</v>
      </c>
      <c r="C488" t="s">
        <v>44</v>
      </c>
      <c r="D488" s="1">
        <v>42084</v>
      </c>
      <c r="E488" s="2">
        <v>0.72916666666666663</v>
      </c>
      <c r="F488" t="s">
        <v>39</v>
      </c>
      <c r="G488" t="s">
        <v>29</v>
      </c>
      <c r="H488">
        <v>3</v>
      </c>
      <c r="I488">
        <v>2</v>
      </c>
      <c r="J488" t="s">
        <v>34</v>
      </c>
      <c r="K488">
        <v>766</v>
      </c>
      <c r="L488">
        <v>498</v>
      </c>
      <c r="M488">
        <v>144</v>
      </c>
      <c r="N488">
        <v>766</v>
      </c>
      <c r="O488">
        <v>54</v>
      </c>
      <c r="P488">
        <v>15</v>
      </c>
      <c r="Q488">
        <v>693</v>
      </c>
      <c r="R488">
        <v>451</v>
      </c>
      <c r="S488">
        <v>142</v>
      </c>
      <c r="T488" t="s">
        <v>31</v>
      </c>
      <c r="U488" t="s">
        <v>31</v>
      </c>
      <c r="V488" t="s">
        <v>31</v>
      </c>
      <c r="W488" t="s">
        <v>31</v>
      </c>
      <c r="X488" t="s">
        <v>31</v>
      </c>
      <c r="Y488" t="s">
        <v>31</v>
      </c>
    </row>
    <row r="489" spans="1:25" hidden="1">
      <c r="A489" t="s">
        <v>25</v>
      </c>
      <c r="B489" t="s">
        <v>26</v>
      </c>
      <c r="C489" t="s">
        <v>44</v>
      </c>
      <c r="D489" s="1">
        <v>42084</v>
      </c>
      <c r="E489" s="2">
        <v>0.72916666666666663</v>
      </c>
      <c r="F489" t="s">
        <v>43</v>
      </c>
      <c r="G489" t="s">
        <v>45</v>
      </c>
      <c r="H489">
        <v>0</v>
      </c>
      <c r="I489">
        <v>1</v>
      </c>
      <c r="J489" t="s">
        <v>30</v>
      </c>
      <c r="K489">
        <v>252</v>
      </c>
      <c r="L489">
        <v>333</v>
      </c>
      <c r="M489">
        <v>304</v>
      </c>
      <c r="N489">
        <v>264</v>
      </c>
      <c r="O489">
        <v>35</v>
      </c>
      <c r="P489">
        <v>304</v>
      </c>
      <c r="Q489">
        <v>247</v>
      </c>
      <c r="R489">
        <v>323</v>
      </c>
      <c r="S489">
        <v>281</v>
      </c>
      <c r="T489" t="s">
        <v>31</v>
      </c>
      <c r="U489" t="s">
        <v>31</v>
      </c>
      <c r="V489" t="s">
        <v>31</v>
      </c>
      <c r="W489" t="s">
        <v>31</v>
      </c>
      <c r="X489" t="s">
        <v>31</v>
      </c>
      <c r="Y489" t="s">
        <v>31</v>
      </c>
    </row>
    <row r="490" spans="1:25" hidden="1">
      <c r="A490" t="s">
        <v>25</v>
      </c>
      <c r="B490" t="s">
        <v>26</v>
      </c>
      <c r="C490" t="s">
        <v>44</v>
      </c>
      <c r="D490" s="1">
        <v>42084</v>
      </c>
      <c r="E490" s="2">
        <v>0.72916666666666663</v>
      </c>
      <c r="F490" t="s">
        <v>28</v>
      </c>
      <c r="G490" t="s">
        <v>37</v>
      </c>
      <c r="H490">
        <v>3</v>
      </c>
      <c r="I490">
        <v>1</v>
      </c>
      <c r="J490" t="s">
        <v>34</v>
      </c>
      <c r="K490">
        <v>154</v>
      </c>
      <c r="L490">
        <v>429</v>
      </c>
      <c r="M490">
        <v>696</v>
      </c>
      <c r="N490">
        <v>165</v>
      </c>
      <c r="O490">
        <v>436</v>
      </c>
      <c r="P490">
        <v>75</v>
      </c>
      <c r="Q490">
        <v>155</v>
      </c>
      <c r="R490">
        <v>393</v>
      </c>
      <c r="S490">
        <v>59</v>
      </c>
      <c r="T490" t="s">
        <v>31</v>
      </c>
      <c r="U490" t="s">
        <v>31</v>
      </c>
      <c r="V490" t="s">
        <v>31</v>
      </c>
      <c r="W490" t="s">
        <v>31</v>
      </c>
      <c r="X490" t="s">
        <v>31</v>
      </c>
      <c r="Y490" t="s">
        <v>31</v>
      </c>
    </row>
    <row r="491" spans="1:25" hidden="1">
      <c r="A491" t="s">
        <v>25</v>
      </c>
      <c r="B491" t="s">
        <v>26</v>
      </c>
      <c r="C491" t="s">
        <v>44</v>
      </c>
      <c r="D491" s="1">
        <v>42085</v>
      </c>
      <c r="E491" s="2">
        <v>0.64583333333333337</v>
      </c>
      <c r="F491" t="s">
        <v>33</v>
      </c>
      <c r="G491" t="s">
        <v>35</v>
      </c>
      <c r="H491">
        <v>0</v>
      </c>
      <c r="I491">
        <v>1</v>
      </c>
      <c r="J491" t="s">
        <v>30</v>
      </c>
      <c r="K491">
        <v>801</v>
      </c>
      <c r="L491">
        <v>476</v>
      </c>
      <c r="M491">
        <v>145</v>
      </c>
      <c r="N491">
        <v>805</v>
      </c>
      <c r="O491">
        <v>495</v>
      </c>
      <c r="P491">
        <v>16</v>
      </c>
      <c r="Q491">
        <v>674</v>
      </c>
      <c r="R491">
        <v>427</v>
      </c>
      <c r="S491">
        <v>146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</row>
    <row r="492" spans="1:25" hidden="1">
      <c r="A492" t="s">
        <v>25</v>
      </c>
      <c r="B492" t="s">
        <v>26</v>
      </c>
      <c r="C492" t="s">
        <v>44</v>
      </c>
      <c r="D492" s="1">
        <v>42098</v>
      </c>
      <c r="E492" s="2">
        <v>0.625</v>
      </c>
      <c r="F492" t="s">
        <v>29</v>
      </c>
      <c r="G492" t="s">
        <v>40</v>
      </c>
      <c r="H492">
        <v>3</v>
      </c>
      <c r="I492">
        <v>1</v>
      </c>
      <c r="J492" t="s">
        <v>34</v>
      </c>
      <c r="K492">
        <v>144</v>
      </c>
      <c r="L492">
        <v>524</v>
      </c>
      <c r="M492">
        <v>71</v>
      </c>
      <c r="N492">
        <v>15</v>
      </c>
      <c r="O492">
        <v>56</v>
      </c>
      <c r="P492">
        <v>8</v>
      </c>
      <c r="Q492">
        <v>14</v>
      </c>
      <c r="R492">
        <v>482</v>
      </c>
      <c r="S492">
        <v>68</v>
      </c>
      <c r="T492" t="s">
        <v>31</v>
      </c>
      <c r="U492" t="s">
        <v>31</v>
      </c>
      <c r="V492" t="s">
        <v>31</v>
      </c>
      <c r="W492" t="s">
        <v>31</v>
      </c>
      <c r="X492" t="s">
        <v>31</v>
      </c>
      <c r="Y492" t="s">
        <v>31</v>
      </c>
    </row>
    <row r="493" spans="1:25" hidden="1">
      <c r="A493" t="s">
        <v>25</v>
      </c>
      <c r="B493" t="s">
        <v>26</v>
      </c>
      <c r="C493" t="s">
        <v>44</v>
      </c>
      <c r="D493" s="1">
        <v>42098</v>
      </c>
      <c r="E493" s="2">
        <v>0.72916666666666663</v>
      </c>
      <c r="F493" t="s">
        <v>37</v>
      </c>
      <c r="G493" t="s">
        <v>43</v>
      </c>
      <c r="H493">
        <v>2</v>
      </c>
      <c r="I493">
        <v>3</v>
      </c>
      <c r="J493" t="s">
        <v>30</v>
      </c>
      <c r="K493">
        <v>227</v>
      </c>
      <c r="L493">
        <v>336</v>
      </c>
      <c r="M493">
        <v>349</v>
      </c>
      <c r="N493">
        <v>232</v>
      </c>
      <c r="O493">
        <v>35</v>
      </c>
      <c r="P493">
        <v>349</v>
      </c>
      <c r="Q493">
        <v>22</v>
      </c>
      <c r="R493">
        <v>329</v>
      </c>
      <c r="S493">
        <v>321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</row>
    <row r="494" spans="1:25" hidden="1">
      <c r="A494" t="s">
        <v>25</v>
      </c>
      <c r="B494" t="s">
        <v>26</v>
      </c>
      <c r="C494" t="s">
        <v>44</v>
      </c>
      <c r="D494" s="1">
        <v>42098</v>
      </c>
      <c r="E494" s="2">
        <v>0.72916666666666663</v>
      </c>
      <c r="F494" t="s">
        <v>35</v>
      </c>
      <c r="G494" t="s">
        <v>39</v>
      </c>
      <c r="H494">
        <v>4</v>
      </c>
      <c r="I494">
        <v>1</v>
      </c>
      <c r="J494" t="s">
        <v>34</v>
      </c>
      <c r="K494">
        <v>148</v>
      </c>
      <c r="L494">
        <v>466</v>
      </c>
      <c r="M494">
        <v>735</v>
      </c>
      <c r="N494">
        <v>148</v>
      </c>
      <c r="O494">
        <v>5</v>
      </c>
      <c r="P494">
        <v>84</v>
      </c>
      <c r="Q494">
        <v>143</v>
      </c>
      <c r="R494">
        <v>431</v>
      </c>
      <c r="S494">
        <v>719</v>
      </c>
      <c r="T494" t="s">
        <v>31</v>
      </c>
      <c r="U494" t="s">
        <v>31</v>
      </c>
      <c r="V494" t="s">
        <v>31</v>
      </c>
      <c r="W494" t="s">
        <v>31</v>
      </c>
      <c r="X494" t="s">
        <v>31</v>
      </c>
      <c r="Y494" t="s">
        <v>31</v>
      </c>
    </row>
    <row r="495" spans="1:25" hidden="1">
      <c r="A495" t="s">
        <v>25</v>
      </c>
      <c r="B495" t="s">
        <v>26</v>
      </c>
      <c r="C495" t="s">
        <v>44</v>
      </c>
      <c r="D495" s="1">
        <v>42099</v>
      </c>
      <c r="E495" s="2">
        <v>0.64583333333333337</v>
      </c>
      <c r="F495" t="s">
        <v>38</v>
      </c>
      <c r="G495" t="s">
        <v>28</v>
      </c>
      <c r="H495">
        <v>1</v>
      </c>
      <c r="I495">
        <v>2</v>
      </c>
      <c r="J495" t="s">
        <v>30</v>
      </c>
      <c r="K495">
        <v>261</v>
      </c>
      <c r="L495">
        <v>341</v>
      </c>
      <c r="M495">
        <v>286</v>
      </c>
      <c r="N495">
        <v>282</v>
      </c>
      <c r="O495">
        <v>345</v>
      </c>
      <c r="P495">
        <v>286</v>
      </c>
      <c r="Q495">
        <v>255</v>
      </c>
      <c r="R495">
        <v>326</v>
      </c>
      <c r="S495">
        <v>269</v>
      </c>
      <c r="T495" t="s">
        <v>31</v>
      </c>
      <c r="U495" t="s">
        <v>31</v>
      </c>
      <c r="V495" t="s">
        <v>31</v>
      </c>
      <c r="W495" t="s">
        <v>31</v>
      </c>
      <c r="X495" t="s">
        <v>31</v>
      </c>
      <c r="Y495" t="s">
        <v>31</v>
      </c>
    </row>
    <row r="496" spans="1:25" hidden="1">
      <c r="A496" t="s">
        <v>25</v>
      </c>
      <c r="B496" t="s">
        <v>26</v>
      </c>
      <c r="C496" t="s">
        <v>44</v>
      </c>
      <c r="D496" s="1">
        <v>42105</v>
      </c>
      <c r="E496" s="2">
        <v>0.625</v>
      </c>
      <c r="F496" t="s">
        <v>28</v>
      </c>
      <c r="G496" t="s">
        <v>45</v>
      </c>
      <c r="H496">
        <v>5</v>
      </c>
      <c r="I496">
        <v>0</v>
      </c>
      <c r="J496" t="s">
        <v>34</v>
      </c>
      <c r="K496">
        <v>153</v>
      </c>
      <c r="L496">
        <v>427</v>
      </c>
      <c r="M496">
        <v>725</v>
      </c>
      <c r="N496">
        <v>16</v>
      </c>
      <c r="O496">
        <v>427</v>
      </c>
      <c r="P496">
        <v>725</v>
      </c>
      <c r="Q496">
        <v>152</v>
      </c>
      <c r="R496">
        <v>399</v>
      </c>
      <c r="S496">
        <v>62</v>
      </c>
      <c r="T496" t="s">
        <v>31</v>
      </c>
      <c r="U496" t="s">
        <v>31</v>
      </c>
      <c r="V496" t="s">
        <v>31</v>
      </c>
      <c r="W496" t="s">
        <v>31</v>
      </c>
      <c r="X496" t="s">
        <v>31</v>
      </c>
      <c r="Y496" t="s">
        <v>31</v>
      </c>
    </row>
    <row r="497" spans="1:25" hidden="1">
      <c r="A497" t="s">
        <v>25</v>
      </c>
      <c r="B497" t="s">
        <v>26</v>
      </c>
      <c r="C497" t="s">
        <v>44</v>
      </c>
      <c r="D497" s="1">
        <v>42105</v>
      </c>
      <c r="E497" s="2">
        <v>0.72916666666666663</v>
      </c>
      <c r="F497" t="s">
        <v>39</v>
      </c>
      <c r="G497" t="s">
        <v>37</v>
      </c>
      <c r="H497">
        <v>2</v>
      </c>
      <c r="I497">
        <v>0</v>
      </c>
      <c r="J497" t="s">
        <v>34</v>
      </c>
      <c r="K497">
        <v>196</v>
      </c>
      <c r="L497">
        <v>384</v>
      </c>
      <c r="M497">
        <v>391</v>
      </c>
      <c r="N497">
        <v>21</v>
      </c>
      <c r="O497">
        <v>384</v>
      </c>
      <c r="P497">
        <v>4</v>
      </c>
      <c r="Q497">
        <v>198</v>
      </c>
      <c r="R497">
        <v>348</v>
      </c>
      <c r="S497">
        <v>361</v>
      </c>
      <c r="T497" t="s">
        <v>31</v>
      </c>
      <c r="U497" t="s">
        <v>31</v>
      </c>
      <c r="V497" t="s">
        <v>31</v>
      </c>
      <c r="W497" t="s">
        <v>31</v>
      </c>
      <c r="X497" t="s">
        <v>31</v>
      </c>
      <c r="Y497" t="s">
        <v>31</v>
      </c>
    </row>
    <row r="498" spans="1:25" hidden="1">
      <c r="A498" t="s">
        <v>25</v>
      </c>
      <c r="B498" t="s">
        <v>26</v>
      </c>
      <c r="C498" t="s">
        <v>44</v>
      </c>
      <c r="D498" s="1">
        <v>42105</v>
      </c>
      <c r="E498" s="2">
        <v>0.72916666666666663</v>
      </c>
      <c r="F498" t="s">
        <v>43</v>
      </c>
      <c r="G498" t="s">
        <v>40</v>
      </c>
      <c r="H498">
        <v>1</v>
      </c>
      <c r="I498">
        <v>1</v>
      </c>
      <c r="J498" t="s">
        <v>41</v>
      </c>
      <c r="K498">
        <v>309</v>
      </c>
      <c r="L498">
        <v>348</v>
      </c>
      <c r="M498">
        <v>242</v>
      </c>
      <c r="N498">
        <v>31</v>
      </c>
      <c r="O498">
        <v>348</v>
      </c>
      <c r="P498">
        <v>242</v>
      </c>
      <c r="Q498">
        <v>298</v>
      </c>
      <c r="R498">
        <v>333</v>
      </c>
      <c r="S498">
        <v>23</v>
      </c>
      <c r="T498" t="s">
        <v>31</v>
      </c>
      <c r="U498" t="s">
        <v>31</v>
      </c>
      <c r="V498" t="s">
        <v>31</v>
      </c>
      <c r="W498" t="s">
        <v>31</v>
      </c>
      <c r="X498" t="s">
        <v>31</v>
      </c>
      <c r="Y498" t="s">
        <v>31</v>
      </c>
    </row>
    <row r="499" spans="1:25" hidden="1">
      <c r="A499" t="s">
        <v>25</v>
      </c>
      <c r="B499" t="s">
        <v>26</v>
      </c>
      <c r="C499" t="s">
        <v>44</v>
      </c>
      <c r="D499" s="1">
        <v>42105</v>
      </c>
      <c r="E499" s="2">
        <v>0.72916666666666663</v>
      </c>
      <c r="F499" t="s">
        <v>33</v>
      </c>
      <c r="G499" t="s">
        <v>38</v>
      </c>
      <c r="H499">
        <v>0</v>
      </c>
      <c r="I499">
        <v>1</v>
      </c>
      <c r="J499" t="s">
        <v>30</v>
      </c>
      <c r="K499">
        <v>381</v>
      </c>
      <c r="L499">
        <v>371</v>
      </c>
      <c r="M499">
        <v>203</v>
      </c>
      <c r="N499">
        <v>381</v>
      </c>
      <c r="O499">
        <v>381</v>
      </c>
      <c r="P499">
        <v>212</v>
      </c>
      <c r="Q499">
        <v>348</v>
      </c>
      <c r="R499">
        <v>346</v>
      </c>
      <c r="S499">
        <v>202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</row>
    <row r="500" spans="1:25" hidden="1">
      <c r="A500" t="s">
        <v>25</v>
      </c>
      <c r="B500" t="s">
        <v>26</v>
      </c>
      <c r="C500" t="s">
        <v>44</v>
      </c>
      <c r="D500" s="1">
        <v>42106</v>
      </c>
      <c r="E500" s="2">
        <v>0.70833333333333337</v>
      </c>
      <c r="F500" t="s">
        <v>35</v>
      </c>
      <c r="G500" t="s">
        <v>29</v>
      </c>
      <c r="H500">
        <v>3</v>
      </c>
      <c r="I500">
        <v>3</v>
      </c>
      <c r="J500" t="s">
        <v>41</v>
      </c>
      <c r="K500">
        <v>246</v>
      </c>
      <c r="L500">
        <v>359</v>
      </c>
      <c r="M500">
        <v>296</v>
      </c>
      <c r="N500">
        <v>27</v>
      </c>
      <c r="O500">
        <v>359</v>
      </c>
      <c r="P500">
        <v>296</v>
      </c>
      <c r="Q500">
        <v>245</v>
      </c>
      <c r="R500">
        <v>338</v>
      </c>
      <c r="S500">
        <v>273</v>
      </c>
      <c r="T500" t="s">
        <v>31</v>
      </c>
      <c r="U500" t="s">
        <v>31</v>
      </c>
      <c r="V500" t="s">
        <v>31</v>
      </c>
      <c r="W500" t="s">
        <v>31</v>
      </c>
      <c r="X500" t="s">
        <v>31</v>
      </c>
      <c r="Y500" t="s">
        <v>31</v>
      </c>
    </row>
    <row r="501" spans="1:25" hidden="1">
      <c r="A501" t="s">
        <v>25</v>
      </c>
      <c r="B501" t="s">
        <v>26</v>
      </c>
      <c r="C501" t="s">
        <v>44</v>
      </c>
      <c r="D501" s="1">
        <v>42109</v>
      </c>
      <c r="E501" s="2">
        <v>0.72916666666666663</v>
      </c>
      <c r="F501" t="s">
        <v>45</v>
      </c>
      <c r="G501" t="s">
        <v>33</v>
      </c>
      <c r="H501">
        <v>3</v>
      </c>
      <c r="I501">
        <v>1</v>
      </c>
      <c r="J501" t="s">
        <v>34</v>
      </c>
      <c r="K501">
        <v>167</v>
      </c>
      <c r="L501">
        <v>402</v>
      </c>
      <c r="M501">
        <v>549</v>
      </c>
      <c r="N501">
        <v>17</v>
      </c>
      <c r="O501">
        <v>43</v>
      </c>
      <c r="P501">
        <v>57</v>
      </c>
      <c r="Q501">
        <v>164</v>
      </c>
      <c r="R501">
        <v>383</v>
      </c>
      <c r="S501">
        <v>502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 t="s">
        <v>31</v>
      </c>
    </row>
    <row r="502" spans="1:25" hidden="1">
      <c r="A502" t="s">
        <v>25</v>
      </c>
      <c r="B502" t="s">
        <v>26</v>
      </c>
      <c r="C502" t="s">
        <v>44</v>
      </c>
      <c r="D502" s="1">
        <v>42112</v>
      </c>
      <c r="E502" s="2">
        <v>0.625</v>
      </c>
      <c r="F502" t="s">
        <v>38</v>
      </c>
      <c r="G502" t="s">
        <v>35</v>
      </c>
      <c r="H502">
        <v>0</v>
      </c>
      <c r="I502">
        <v>1</v>
      </c>
      <c r="J502" t="s">
        <v>30</v>
      </c>
      <c r="K502">
        <v>326</v>
      </c>
      <c r="L502">
        <v>365</v>
      </c>
      <c r="M502">
        <v>225</v>
      </c>
      <c r="N502">
        <v>4</v>
      </c>
      <c r="O502">
        <v>378</v>
      </c>
      <c r="P502">
        <v>228</v>
      </c>
      <c r="Q502">
        <v>324</v>
      </c>
      <c r="R502">
        <v>345</v>
      </c>
      <c r="S502">
        <v>212</v>
      </c>
      <c r="T502" t="s">
        <v>31</v>
      </c>
      <c r="U502" t="s">
        <v>31</v>
      </c>
      <c r="V502" t="s">
        <v>31</v>
      </c>
      <c r="W502" t="s">
        <v>31</v>
      </c>
      <c r="X502" t="s">
        <v>31</v>
      </c>
      <c r="Y502" t="s">
        <v>31</v>
      </c>
    </row>
    <row r="503" spans="1:25" hidden="1">
      <c r="A503" t="s">
        <v>25</v>
      </c>
      <c r="B503" t="s">
        <v>26</v>
      </c>
      <c r="C503" t="s">
        <v>44</v>
      </c>
      <c r="D503" s="1">
        <v>42112</v>
      </c>
      <c r="E503" s="2">
        <v>0.72916666666666663</v>
      </c>
      <c r="F503" t="s">
        <v>37</v>
      </c>
      <c r="G503" t="s">
        <v>45</v>
      </c>
      <c r="H503">
        <v>2</v>
      </c>
      <c r="I503">
        <v>2</v>
      </c>
      <c r="J503" t="s">
        <v>41</v>
      </c>
      <c r="K503">
        <v>219</v>
      </c>
      <c r="L503">
        <v>368</v>
      </c>
      <c r="M503">
        <v>337</v>
      </c>
      <c r="N503">
        <v>24</v>
      </c>
      <c r="O503">
        <v>368</v>
      </c>
      <c r="P503">
        <v>34</v>
      </c>
      <c r="Q503">
        <v>221</v>
      </c>
      <c r="R503">
        <v>344</v>
      </c>
      <c r="S503">
        <v>307</v>
      </c>
      <c r="T503" t="s">
        <v>31</v>
      </c>
      <c r="U503" t="s">
        <v>31</v>
      </c>
      <c r="V503" t="s">
        <v>31</v>
      </c>
      <c r="W503" t="s">
        <v>31</v>
      </c>
      <c r="X503" t="s">
        <v>31</v>
      </c>
      <c r="Y503" t="s">
        <v>31</v>
      </c>
    </row>
    <row r="504" spans="1:25" hidden="1">
      <c r="A504" t="s">
        <v>25</v>
      </c>
      <c r="B504" t="s">
        <v>26</v>
      </c>
      <c r="C504" t="s">
        <v>44</v>
      </c>
      <c r="D504" s="1">
        <v>42112</v>
      </c>
      <c r="E504" s="2">
        <v>0.72916666666666663</v>
      </c>
      <c r="F504" t="s">
        <v>29</v>
      </c>
      <c r="G504" t="s">
        <v>33</v>
      </c>
      <c r="H504">
        <v>6</v>
      </c>
      <c r="I504">
        <v>0</v>
      </c>
      <c r="J504" t="s">
        <v>34</v>
      </c>
      <c r="K504">
        <v>109</v>
      </c>
      <c r="L504">
        <v>1375</v>
      </c>
      <c r="M504">
        <v>2719</v>
      </c>
      <c r="N504">
        <v>112</v>
      </c>
      <c r="O504">
        <v>1441</v>
      </c>
      <c r="P504">
        <v>3522</v>
      </c>
      <c r="Q504">
        <v>108</v>
      </c>
      <c r="R504">
        <v>1028</v>
      </c>
      <c r="S504">
        <v>2327</v>
      </c>
      <c r="T504" t="s">
        <v>31</v>
      </c>
      <c r="U504" t="s">
        <v>31</v>
      </c>
      <c r="V504" t="s">
        <v>31</v>
      </c>
      <c r="W504" t="s">
        <v>31</v>
      </c>
      <c r="X504" t="s">
        <v>31</v>
      </c>
      <c r="Y504" t="s">
        <v>31</v>
      </c>
    </row>
    <row r="505" spans="1:25" hidden="1">
      <c r="A505" t="s">
        <v>25</v>
      </c>
      <c r="B505" t="s">
        <v>26</v>
      </c>
      <c r="C505" t="s">
        <v>44</v>
      </c>
      <c r="D505" s="1">
        <v>42112</v>
      </c>
      <c r="E505" s="2">
        <v>0.72916666666666663</v>
      </c>
      <c r="F505" t="s">
        <v>28</v>
      </c>
      <c r="G505" t="s">
        <v>43</v>
      </c>
      <c r="H505">
        <v>2</v>
      </c>
      <c r="I505">
        <v>1</v>
      </c>
      <c r="J505" t="s">
        <v>34</v>
      </c>
      <c r="K505">
        <v>158</v>
      </c>
      <c r="L505">
        <v>45</v>
      </c>
      <c r="M505">
        <v>58</v>
      </c>
      <c r="N505">
        <v>158</v>
      </c>
      <c r="O505">
        <v>5</v>
      </c>
      <c r="P505">
        <v>9</v>
      </c>
      <c r="Q505">
        <v>147</v>
      </c>
      <c r="R505">
        <v>43</v>
      </c>
      <c r="S505">
        <v>64</v>
      </c>
      <c r="T505" t="s">
        <v>31</v>
      </c>
      <c r="U505" t="s">
        <v>31</v>
      </c>
      <c r="V505" t="s">
        <v>31</v>
      </c>
      <c r="W505" t="s">
        <v>31</v>
      </c>
      <c r="X505" t="s">
        <v>31</v>
      </c>
      <c r="Y505" t="s">
        <v>31</v>
      </c>
    </row>
    <row r="506" spans="1:25" hidden="1">
      <c r="A506" t="s">
        <v>25</v>
      </c>
      <c r="B506" t="s">
        <v>26</v>
      </c>
      <c r="C506" t="s">
        <v>44</v>
      </c>
      <c r="D506" s="1">
        <v>42113</v>
      </c>
      <c r="E506" s="2">
        <v>0.64583333333333337</v>
      </c>
      <c r="F506" t="s">
        <v>40</v>
      </c>
      <c r="G506" t="s">
        <v>39</v>
      </c>
      <c r="H506">
        <v>1</v>
      </c>
      <c r="I506">
        <v>1</v>
      </c>
      <c r="J506" t="s">
        <v>41</v>
      </c>
      <c r="K506">
        <v>174</v>
      </c>
      <c r="L506">
        <v>412</v>
      </c>
      <c r="M506">
        <v>481</v>
      </c>
      <c r="N506">
        <v>174</v>
      </c>
      <c r="O506">
        <v>43</v>
      </c>
      <c r="P506">
        <v>53</v>
      </c>
      <c r="Q506">
        <v>168</v>
      </c>
      <c r="R506">
        <v>381</v>
      </c>
      <c r="S506">
        <v>471</v>
      </c>
      <c r="T506" t="s">
        <v>31</v>
      </c>
      <c r="U506" t="s">
        <v>31</v>
      </c>
      <c r="V506" t="s">
        <v>31</v>
      </c>
      <c r="W506" t="s">
        <v>31</v>
      </c>
      <c r="X506" t="s">
        <v>31</v>
      </c>
      <c r="Y506" t="s">
        <v>31</v>
      </c>
    </row>
    <row r="507" spans="1:25" hidden="1">
      <c r="A507" t="s">
        <v>25</v>
      </c>
      <c r="B507" t="s">
        <v>26</v>
      </c>
      <c r="C507" t="s">
        <v>44</v>
      </c>
      <c r="D507" s="1">
        <v>42119</v>
      </c>
      <c r="E507" s="2">
        <v>0.625</v>
      </c>
      <c r="F507" t="s">
        <v>29</v>
      </c>
      <c r="G507" t="s">
        <v>38</v>
      </c>
      <c r="H507">
        <v>2</v>
      </c>
      <c r="I507">
        <v>1</v>
      </c>
      <c r="J507" t="s">
        <v>34</v>
      </c>
      <c r="K507">
        <v>124</v>
      </c>
      <c r="L507">
        <v>74</v>
      </c>
      <c r="M507">
        <v>115</v>
      </c>
      <c r="N507">
        <v>125</v>
      </c>
      <c r="O507">
        <v>81</v>
      </c>
      <c r="P507">
        <v>13</v>
      </c>
      <c r="Q507">
        <v>122</v>
      </c>
      <c r="R507">
        <v>654</v>
      </c>
      <c r="S507">
        <v>1049</v>
      </c>
      <c r="T507" t="s">
        <v>31</v>
      </c>
      <c r="U507" t="s">
        <v>31</v>
      </c>
      <c r="V507" t="s">
        <v>31</v>
      </c>
      <c r="W507" t="s">
        <v>31</v>
      </c>
      <c r="X507" t="s">
        <v>31</v>
      </c>
      <c r="Y507" t="s">
        <v>31</v>
      </c>
    </row>
    <row r="508" spans="1:25" hidden="1">
      <c r="A508" t="s">
        <v>25</v>
      </c>
      <c r="B508" t="s">
        <v>26</v>
      </c>
      <c r="C508" t="s">
        <v>44</v>
      </c>
      <c r="D508" s="1">
        <v>42119</v>
      </c>
      <c r="E508" s="2">
        <v>0.72916666666666663</v>
      </c>
      <c r="F508" t="s">
        <v>39</v>
      </c>
      <c r="G508" t="s">
        <v>43</v>
      </c>
      <c r="H508">
        <v>2</v>
      </c>
      <c r="I508">
        <v>1</v>
      </c>
      <c r="J508" t="s">
        <v>34</v>
      </c>
      <c r="K508">
        <v>213</v>
      </c>
      <c r="L508">
        <v>357</v>
      </c>
      <c r="M508">
        <v>362</v>
      </c>
      <c r="N508">
        <v>215</v>
      </c>
      <c r="O508">
        <v>362</v>
      </c>
      <c r="P508">
        <v>365</v>
      </c>
      <c r="Q508">
        <v>207</v>
      </c>
      <c r="R508">
        <v>343</v>
      </c>
      <c r="S508">
        <v>337</v>
      </c>
      <c r="T508" t="s">
        <v>31</v>
      </c>
      <c r="U508" t="s">
        <v>31</v>
      </c>
      <c r="V508" t="s">
        <v>31</v>
      </c>
      <c r="W508" t="s">
        <v>31</v>
      </c>
      <c r="X508" t="s">
        <v>31</v>
      </c>
      <c r="Y508" t="s">
        <v>31</v>
      </c>
    </row>
    <row r="509" spans="1:25" hidden="1">
      <c r="A509" t="s">
        <v>25</v>
      </c>
      <c r="B509" t="s">
        <v>26</v>
      </c>
      <c r="C509" t="s">
        <v>44</v>
      </c>
      <c r="D509" s="1">
        <v>42119</v>
      </c>
      <c r="E509" s="2">
        <v>0.72916666666666663</v>
      </c>
      <c r="F509" t="s">
        <v>33</v>
      </c>
      <c r="G509" t="s">
        <v>28</v>
      </c>
      <c r="H509">
        <v>4</v>
      </c>
      <c r="I509">
        <v>4</v>
      </c>
      <c r="J509" t="s">
        <v>41</v>
      </c>
      <c r="K509">
        <v>448</v>
      </c>
      <c r="L509">
        <v>389</v>
      </c>
      <c r="M509">
        <v>183</v>
      </c>
      <c r="N509">
        <v>58</v>
      </c>
      <c r="O509">
        <v>43</v>
      </c>
      <c r="P509">
        <v>187</v>
      </c>
      <c r="Q509">
        <v>446</v>
      </c>
      <c r="R509">
        <v>375</v>
      </c>
      <c r="S509">
        <v>173</v>
      </c>
      <c r="T509" t="s">
        <v>31</v>
      </c>
      <c r="U509" t="s">
        <v>31</v>
      </c>
      <c r="V509" t="s">
        <v>31</v>
      </c>
      <c r="W509" t="s">
        <v>31</v>
      </c>
      <c r="X509" t="s">
        <v>31</v>
      </c>
      <c r="Y509" t="s">
        <v>31</v>
      </c>
    </row>
    <row r="510" spans="1:25" hidden="1">
      <c r="A510" t="s">
        <v>25</v>
      </c>
      <c r="B510" t="s">
        <v>26</v>
      </c>
      <c r="C510" t="s">
        <v>44</v>
      </c>
      <c r="D510" s="1">
        <v>42119</v>
      </c>
      <c r="E510" s="2">
        <v>0.72916666666666663</v>
      </c>
      <c r="F510" t="s">
        <v>35</v>
      </c>
      <c r="G510" t="s">
        <v>37</v>
      </c>
      <c r="H510">
        <v>1</v>
      </c>
      <c r="I510">
        <v>1</v>
      </c>
      <c r="J510" t="s">
        <v>41</v>
      </c>
      <c r="K510">
        <v>138</v>
      </c>
      <c r="L510">
        <v>55</v>
      </c>
      <c r="M510">
        <v>849</v>
      </c>
      <c r="N510">
        <v>141</v>
      </c>
      <c r="O510">
        <v>55</v>
      </c>
      <c r="P510">
        <v>105</v>
      </c>
      <c r="Q510">
        <v>135</v>
      </c>
      <c r="R510">
        <v>494</v>
      </c>
      <c r="S510">
        <v>81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</row>
    <row r="511" spans="1:25" hidden="1">
      <c r="A511" t="s">
        <v>25</v>
      </c>
      <c r="B511" t="s">
        <v>26</v>
      </c>
      <c r="C511" t="s">
        <v>44</v>
      </c>
      <c r="D511" s="1">
        <v>42120</v>
      </c>
      <c r="E511" s="2">
        <v>0.64583333333333337</v>
      </c>
      <c r="F511" t="s">
        <v>45</v>
      </c>
      <c r="G511" t="s">
        <v>40</v>
      </c>
      <c r="H511">
        <v>2</v>
      </c>
      <c r="I511">
        <v>0</v>
      </c>
      <c r="J511" t="s">
        <v>34</v>
      </c>
      <c r="K511">
        <v>31</v>
      </c>
      <c r="L511">
        <v>356</v>
      </c>
      <c r="M511">
        <v>236</v>
      </c>
      <c r="N511">
        <v>315</v>
      </c>
      <c r="O511">
        <v>366</v>
      </c>
      <c r="P511">
        <v>237</v>
      </c>
      <c r="Q511">
        <v>3</v>
      </c>
      <c r="R511">
        <v>339</v>
      </c>
      <c r="S511">
        <v>225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</row>
    <row r="512" spans="1:25" hidden="1">
      <c r="A512" t="s">
        <v>25</v>
      </c>
      <c r="B512" t="s">
        <v>26</v>
      </c>
      <c r="C512" t="s">
        <v>44</v>
      </c>
      <c r="D512" s="1">
        <v>42126</v>
      </c>
      <c r="E512" s="2">
        <v>0.625</v>
      </c>
      <c r="F512" t="s">
        <v>39</v>
      </c>
      <c r="G512" t="s">
        <v>45</v>
      </c>
      <c r="H512">
        <v>2</v>
      </c>
      <c r="I512">
        <v>0</v>
      </c>
      <c r="J512" t="s">
        <v>34</v>
      </c>
      <c r="K512">
        <v>2</v>
      </c>
      <c r="L512">
        <v>367</v>
      </c>
      <c r="M512">
        <v>395</v>
      </c>
      <c r="N512">
        <v>215</v>
      </c>
      <c r="O512">
        <v>37</v>
      </c>
      <c r="P512">
        <v>395</v>
      </c>
      <c r="Q512">
        <v>202</v>
      </c>
      <c r="R512">
        <v>344</v>
      </c>
      <c r="S512">
        <v>353</v>
      </c>
      <c r="T512" t="s">
        <v>31</v>
      </c>
      <c r="U512" t="s">
        <v>31</v>
      </c>
      <c r="V512" t="s">
        <v>31</v>
      </c>
      <c r="W512" t="s">
        <v>31</v>
      </c>
      <c r="X512" t="s">
        <v>31</v>
      </c>
      <c r="Y512" t="s">
        <v>31</v>
      </c>
    </row>
    <row r="513" spans="1:25" hidden="1">
      <c r="A513" t="s">
        <v>25</v>
      </c>
      <c r="B513" t="s">
        <v>26</v>
      </c>
      <c r="C513" t="s">
        <v>44</v>
      </c>
      <c r="D513" s="1">
        <v>42126</v>
      </c>
      <c r="E513" s="2">
        <v>0.72916666666666663</v>
      </c>
      <c r="F513" t="s">
        <v>37</v>
      </c>
      <c r="G513" t="s">
        <v>38</v>
      </c>
      <c r="H513">
        <v>1</v>
      </c>
      <c r="I513">
        <v>0</v>
      </c>
      <c r="J513" t="s">
        <v>34</v>
      </c>
      <c r="K513">
        <v>264</v>
      </c>
      <c r="L513">
        <v>35</v>
      </c>
      <c r="M513">
        <v>276</v>
      </c>
      <c r="N513">
        <v>264</v>
      </c>
      <c r="O513">
        <v>351</v>
      </c>
      <c r="P513">
        <v>286</v>
      </c>
      <c r="Q513">
        <v>252</v>
      </c>
      <c r="R513">
        <v>33</v>
      </c>
      <c r="S513">
        <v>269</v>
      </c>
      <c r="T513" t="s">
        <v>31</v>
      </c>
      <c r="U513" t="s">
        <v>31</v>
      </c>
      <c r="V513" t="s">
        <v>31</v>
      </c>
      <c r="W513" t="s">
        <v>31</v>
      </c>
      <c r="X513" t="s">
        <v>31</v>
      </c>
      <c r="Y513" t="s">
        <v>31</v>
      </c>
    </row>
    <row r="514" spans="1:25" hidden="1">
      <c r="A514" t="s">
        <v>25</v>
      </c>
      <c r="B514" t="s">
        <v>26</v>
      </c>
      <c r="C514" t="s">
        <v>44</v>
      </c>
      <c r="D514" s="1">
        <v>42126</v>
      </c>
      <c r="E514" s="2">
        <v>0.72916666666666663</v>
      </c>
      <c r="F514" t="s">
        <v>40</v>
      </c>
      <c r="G514" t="s">
        <v>33</v>
      </c>
      <c r="H514">
        <v>2</v>
      </c>
      <c r="I514">
        <v>1</v>
      </c>
      <c r="J514" t="s">
        <v>34</v>
      </c>
      <c r="K514">
        <v>137</v>
      </c>
      <c r="L514">
        <v>555</v>
      </c>
      <c r="M514">
        <v>88</v>
      </c>
      <c r="N514">
        <v>15</v>
      </c>
      <c r="O514">
        <v>555</v>
      </c>
      <c r="P514">
        <v>10</v>
      </c>
      <c r="Q514">
        <v>136</v>
      </c>
      <c r="R514">
        <v>491</v>
      </c>
      <c r="S514">
        <v>765</v>
      </c>
      <c r="T514" t="s">
        <v>31</v>
      </c>
      <c r="U514" t="s">
        <v>31</v>
      </c>
      <c r="V514" t="s">
        <v>31</v>
      </c>
      <c r="W514" t="s">
        <v>31</v>
      </c>
      <c r="X514" t="s">
        <v>31</v>
      </c>
      <c r="Y514" t="s">
        <v>31</v>
      </c>
    </row>
    <row r="515" spans="1:25" hidden="1">
      <c r="A515" t="s">
        <v>25</v>
      </c>
      <c r="B515" t="s">
        <v>26</v>
      </c>
      <c r="C515" t="s">
        <v>44</v>
      </c>
      <c r="D515" s="1">
        <v>42126</v>
      </c>
      <c r="E515" s="2">
        <v>0.72916666666666663</v>
      </c>
      <c r="F515" t="s">
        <v>43</v>
      </c>
      <c r="G515" t="s">
        <v>29</v>
      </c>
      <c r="H515">
        <v>0</v>
      </c>
      <c r="I515">
        <v>3</v>
      </c>
      <c r="J515" t="s">
        <v>30</v>
      </c>
      <c r="K515">
        <v>1054</v>
      </c>
      <c r="L515">
        <v>608</v>
      </c>
      <c r="M515">
        <v>131</v>
      </c>
      <c r="N515">
        <v>15</v>
      </c>
      <c r="O515">
        <v>657</v>
      </c>
      <c r="P515">
        <v>136</v>
      </c>
      <c r="Q515">
        <v>1011</v>
      </c>
      <c r="R515">
        <v>558</v>
      </c>
      <c r="S515">
        <v>127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</row>
    <row r="516" spans="1:25" hidden="1">
      <c r="A516" t="s">
        <v>25</v>
      </c>
      <c r="B516" t="s">
        <v>26</v>
      </c>
      <c r="C516" t="s">
        <v>44</v>
      </c>
      <c r="D516" s="1">
        <v>42127</v>
      </c>
      <c r="E516" s="2">
        <v>0.64583333333333337</v>
      </c>
      <c r="F516" t="s">
        <v>28</v>
      </c>
      <c r="G516" t="s">
        <v>35</v>
      </c>
      <c r="H516">
        <v>2</v>
      </c>
      <c r="I516">
        <v>2</v>
      </c>
      <c r="J516" t="s">
        <v>41</v>
      </c>
      <c r="K516">
        <v>311</v>
      </c>
      <c r="L516">
        <v>356</v>
      </c>
      <c r="M516">
        <v>237</v>
      </c>
      <c r="N516">
        <v>325</v>
      </c>
      <c r="O516">
        <v>356</v>
      </c>
      <c r="P516">
        <v>265</v>
      </c>
      <c r="Q516">
        <v>286</v>
      </c>
      <c r="R516">
        <v>333</v>
      </c>
      <c r="S516">
        <v>239</v>
      </c>
      <c r="T516" t="s">
        <v>31</v>
      </c>
      <c r="U516" t="s">
        <v>31</v>
      </c>
      <c r="V516" t="s">
        <v>31</v>
      </c>
      <c r="W516" t="s">
        <v>31</v>
      </c>
      <c r="X516" t="s">
        <v>31</v>
      </c>
      <c r="Y516" t="s">
        <v>31</v>
      </c>
    </row>
    <row r="517" spans="1:25" hidden="1">
      <c r="A517" t="s">
        <v>25</v>
      </c>
      <c r="B517" t="s">
        <v>26</v>
      </c>
      <c r="C517" t="s">
        <v>44</v>
      </c>
      <c r="D517" s="1">
        <v>42133</v>
      </c>
      <c r="E517" s="2">
        <v>0.625</v>
      </c>
      <c r="F517" t="s">
        <v>40</v>
      </c>
      <c r="G517" t="s">
        <v>28</v>
      </c>
      <c r="H517">
        <v>0</v>
      </c>
      <c r="I517">
        <v>0</v>
      </c>
      <c r="J517" t="s">
        <v>41</v>
      </c>
      <c r="K517">
        <v>231</v>
      </c>
      <c r="L517">
        <v>357</v>
      </c>
      <c r="M517">
        <v>32</v>
      </c>
      <c r="N517">
        <v>231</v>
      </c>
      <c r="O517">
        <v>36</v>
      </c>
      <c r="P517">
        <v>36</v>
      </c>
      <c r="Q517">
        <v>219</v>
      </c>
      <c r="R517">
        <v>341</v>
      </c>
      <c r="S517">
        <v>311</v>
      </c>
      <c r="T517" t="s">
        <v>31</v>
      </c>
      <c r="U517" t="s">
        <v>31</v>
      </c>
      <c r="V517" t="s">
        <v>31</v>
      </c>
      <c r="W517" t="s">
        <v>31</v>
      </c>
      <c r="X517" t="s">
        <v>31</v>
      </c>
      <c r="Y517" t="s">
        <v>31</v>
      </c>
    </row>
    <row r="518" spans="1:25" hidden="1">
      <c r="A518" t="s">
        <v>25</v>
      </c>
      <c r="B518" t="s">
        <v>26</v>
      </c>
      <c r="C518" t="s">
        <v>44</v>
      </c>
      <c r="D518" s="1">
        <v>42133</v>
      </c>
      <c r="E518" s="2">
        <v>0.72916666666666663</v>
      </c>
      <c r="F518" t="s">
        <v>33</v>
      </c>
      <c r="G518" t="s">
        <v>43</v>
      </c>
      <c r="H518">
        <v>2</v>
      </c>
      <c r="I518">
        <v>4</v>
      </c>
      <c r="J518" t="s">
        <v>30</v>
      </c>
      <c r="K518">
        <v>277</v>
      </c>
      <c r="L518">
        <v>365</v>
      </c>
      <c r="M518">
        <v>256</v>
      </c>
      <c r="N518">
        <v>288</v>
      </c>
      <c r="O518">
        <v>371</v>
      </c>
      <c r="P518">
        <v>256</v>
      </c>
      <c r="Q518">
        <v>272</v>
      </c>
      <c r="R518">
        <v>343</v>
      </c>
      <c r="S518">
        <v>243</v>
      </c>
      <c r="T518" t="s">
        <v>31</v>
      </c>
      <c r="U518" t="s">
        <v>31</v>
      </c>
      <c r="V518" t="s">
        <v>31</v>
      </c>
      <c r="W518" t="s">
        <v>31</v>
      </c>
      <c r="X518" t="s">
        <v>31</v>
      </c>
      <c r="Y518" t="s">
        <v>31</v>
      </c>
    </row>
    <row r="519" spans="1:25" hidden="1">
      <c r="A519" t="s">
        <v>25</v>
      </c>
      <c r="B519" t="s">
        <v>26</v>
      </c>
      <c r="C519" t="s">
        <v>44</v>
      </c>
      <c r="D519" s="1">
        <v>42133</v>
      </c>
      <c r="E519" s="2">
        <v>0.72916666666666663</v>
      </c>
      <c r="F519" t="s">
        <v>38</v>
      </c>
      <c r="G519" t="s">
        <v>39</v>
      </c>
      <c r="H519">
        <v>4</v>
      </c>
      <c r="I519">
        <v>0</v>
      </c>
      <c r="J519" t="s">
        <v>34</v>
      </c>
      <c r="K519">
        <v>201</v>
      </c>
      <c r="L519">
        <v>391</v>
      </c>
      <c r="M519">
        <v>362</v>
      </c>
      <c r="N519">
        <v>21</v>
      </c>
      <c r="O519">
        <v>396</v>
      </c>
      <c r="P519">
        <v>38</v>
      </c>
      <c r="Q519">
        <v>198</v>
      </c>
      <c r="R519">
        <v>354</v>
      </c>
      <c r="S519">
        <v>354</v>
      </c>
      <c r="T519" t="s">
        <v>31</v>
      </c>
      <c r="U519" t="s">
        <v>31</v>
      </c>
      <c r="V519" t="s">
        <v>31</v>
      </c>
      <c r="W519" t="s">
        <v>31</v>
      </c>
      <c r="X519" t="s">
        <v>31</v>
      </c>
      <c r="Y519" t="s">
        <v>31</v>
      </c>
    </row>
    <row r="520" spans="1:25" hidden="1">
      <c r="A520" t="s">
        <v>25</v>
      </c>
      <c r="B520" t="s">
        <v>26</v>
      </c>
      <c r="C520" t="s">
        <v>44</v>
      </c>
      <c r="D520" s="1">
        <v>42133</v>
      </c>
      <c r="E520" s="2">
        <v>0.72916666666666663</v>
      </c>
      <c r="F520" t="s">
        <v>29</v>
      </c>
      <c r="G520" t="s">
        <v>37</v>
      </c>
      <c r="H520">
        <v>4</v>
      </c>
      <c r="I520">
        <v>0</v>
      </c>
      <c r="J520" t="s">
        <v>34</v>
      </c>
      <c r="N520">
        <v>113</v>
      </c>
      <c r="O520">
        <v>12</v>
      </c>
      <c r="P520">
        <v>271</v>
      </c>
      <c r="Q520">
        <v>111</v>
      </c>
      <c r="R520">
        <v>869</v>
      </c>
      <c r="S520">
        <v>1934</v>
      </c>
      <c r="T520" t="s">
        <v>31</v>
      </c>
      <c r="U520" t="s">
        <v>31</v>
      </c>
      <c r="V520" t="s">
        <v>31</v>
      </c>
      <c r="W520" t="s">
        <v>31</v>
      </c>
      <c r="X520" t="s">
        <v>31</v>
      </c>
      <c r="Y520" t="s">
        <v>31</v>
      </c>
    </row>
    <row r="521" spans="1:25" hidden="1">
      <c r="A521" t="s">
        <v>25</v>
      </c>
      <c r="B521" t="s">
        <v>26</v>
      </c>
      <c r="C521" t="s">
        <v>44</v>
      </c>
      <c r="D521" s="1">
        <v>42134</v>
      </c>
      <c r="E521" s="2">
        <v>0.64583333333333337</v>
      </c>
      <c r="F521" t="s">
        <v>45</v>
      </c>
      <c r="G521" t="s">
        <v>35</v>
      </c>
      <c r="H521">
        <v>1</v>
      </c>
      <c r="I521">
        <v>3</v>
      </c>
      <c r="J521" t="s">
        <v>30</v>
      </c>
      <c r="K521">
        <v>517</v>
      </c>
      <c r="L521">
        <v>415</v>
      </c>
      <c r="M521">
        <v>169</v>
      </c>
      <c r="N521">
        <v>52</v>
      </c>
      <c r="O521">
        <v>415</v>
      </c>
      <c r="P521">
        <v>19</v>
      </c>
      <c r="Q521">
        <v>463</v>
      </c>
      <c r="R521">
        <v>379</v>
      </c>
      <c r="S521">
        <v>17</v>
      </c>
      <c r="T521" t="s">
        <v>31</v>
      </c>
      <c r="U521" t="s">
        <v>31</v>
      </c>
      <c r="V521" t="s">
        <v>31</v>
      </c>
      <c r="W521" t="s">
        <v>31</v>
      </c>
      <c r="X521" t="s">
        <v>31</v>
      </c>
      <c r="Y521" t="s">
        <v>31</v>
      </c>
    </row>
    <row r="522" spans="1:25" hidden="1">
      <c r="A522" t="s">
        <v>25</v>
      </c>
      <c r="B522" t="s">
        <v>26</v>
      </c>
      <c r="C522" t="s">
        <v>44</v>
      </c>
      <c r="D522" s="1">
        <v>42140</v>
      </c>
      <c r="E522" s="2">
        <v>0.625</v>
      </c>
      <c r="F522" t="s">
        <v>45</v>
      </c>
      <c r="G522" t="s">
        <v>29</v>
      </c>
      <c r="H522">
        <v>2</v>
      </c>
      <c r="I522">
        <v>2</v>
      </c>
      <c r="J522" t="s">
        <v>41</v>
      </c>
      <c r="K522">
        <v>772</v>
      </c>
      <c r="L522">
        <v>59</v>
      </c>
      <c r="M522">
        <v>138</v>
      </c>
      <c r="N522">
        <v>11</v>
      </c>
      <c r="O522">
        <v>64</v>
      </c>
      <c r="P522">
        <v>138</v>
      </c>
      <c r="Q522">
        <v>846</v>
      </c>
      <c r="R522">
        <v>541</v>
      </c>
      <c r="S522">
        <v>131</v>
      </c>
      <c r="T522" t="s">
        <v>31</v>
      </c>
      <c r="U522" t="s">
        <v>31</v>
      </c>
      <c r="V522" t="s">
        <v>31</v>
      </c>
      <c r="W522" t="s">
        <v>31</v>
      </c>
      <c r="X522" t="s">
        <v>31</v>
      </c>
      <c r="Y522" t="s">
        <v>31</v>
      </c>
    </row>
    <row r="523" spans="1:25" hidden="1">
      <c r="A523" t="s">
        <v>25</v>
      </c>
      <c r="B523" t="s">
        <v>26</v>
      </c>
      <c r="C523" t="s">
        <v>44</v>
      </c>
      <c r="D523" s="1">
        <v>42140</v>
      </c>
      <c r="E523" s="2">
        <v>0.72916666666666663</v>
      </c>
      <c r="F523" t="s">
        <v>39</v>
      </c>
      <c r="G523" t="s">
        <v>28</v>
      </c>
      <c r="H523">
        <v>1</v>
      </c>
      <c r="I523">
        <v>0</v>
      </c>
      <c r="J523" t="s">
        <v>34</v>
      </c>
      <c r="K523">
        <v>321</v>
      </c>
      <c r="L523">
        <v>356</v>
      </c>
      <c r="M523">
        <v>231</v>
      </c>
      <c r="N523">
        <v>322</v>
      </c>
      <c r="O523">
        <v>385</v>
      </c>
      <c r="P523">
        <v>244</v>
      </c>
      <c r="Q523">
        <v>302</v>
      </c>
      <c r="R523">
        <v>339</v>
      </c>
      <c r="S523">
        <v>225</v>
      </c>
      <c r="T523" t="s">
        <v>31</v>
      </c>
      <c r="U523" t="s">
        <v>31</v>
      </c>
      <c r="V523" t="s">
        <v>31</v>
      </c>
      <c r="W523" t="s">
        <v>31</v>
      </c>
      <c r="X523" t="s">
        <v>31</v>
      </c>
      <c r="Y523" t="s">
        <v>31</v>
      </c>
    </row>
    <row r="524" spans="1:25" hidden="1">
      <c r="A524" t="s">
        <v>25</v>
      </c>
      <c r="B524" t="s">
        <v>26</v>
      </c>
      <c r="C524" t="s">
        <v>44</v>
      </c>
      <c r="D524" s="1">
        <v>42140</v>
      </c>
      <c r="E524" s="2">
        <v>0.72916666666666663</v>
      </c>
      <c r="F524" t="s">
        <v>37</v>
      </c>
      <c r="G524" t="s">
        <v>33</v>
      </c>
      <c r="H524">
        <v>0</v>
      </c>
      <c r="I524">
        <v>0</v>
      </c>
      <c r="J524" t="s">
        <v>41</v>
      </c>
      <c r="K524">
        <v>165</v>
      </c>
      <c r="L524">
        <v>428</v>
      </c>
      <c r="M524">
        <v>535</v>
      </c>
      <c r="N524">
        <v>173</v>
      </c>
      <c r="O524">
        <v>428</v>
      </c>
      <c r="P524">
        <v>575</v>
      </c>
      <c r="Q524">
        <v>165</v>
      </c>
      <c r="R524">
        <v>391</v>
      </c>
      <c r="S524">
        <v>481</v>
      </c>
      <c r="T524" t="s">
        <v>31</v>
      </c>
      <c r="U524" t="s">
        <v>31</v>
      </c>
      <c r="V524" t="s">
        <v>31</v>
      </c>
      <c r="W524" t="s">
        <v>31</v>
      </c>
      <c r="X524" t="s">
        <v>31</v>
      </c>
      <c r="Y524" t="s">
        <v>31</v>
      </c>
    </row>
    <row r="525" spans="1:25" hidden="1">
      <c r="A525" t="s">
        <v>25</v>
      </c>
      <c r="B525" t="s">
        <v>26</v>
      </c>
      <c r="C525" t="s">
        <v>44</v>
      </c>
      <c r="D525" s="1">
        <v>42140</v>
      </c>
      <c r="E525" s="2">
        <v>0.72916666666666663</v>
      </c>
      <c r="F525" t="s">
        <v>43</v>
      </c>
      <c r="G525" t="s">
        <v>38</v>
      </c>
      <c r="H525">
        <v>3</v>
      </c>
      <c r="I525">
        <v>2</v>
      </c>
      <c r="J525" t="s">
        <v>34</v>
      </c>
      <c r="K525">
        <v>285</v>
      </c>
      <c r="L525">
        <v>354</v>
      </c>
      <c r="M525">
        <v>255</v>
      </c>
      <c r="N525">
        <v>286</v>
      </c>
      <c r="O525">
        <v>36</v>
      </c>
      <c r="P525">
        <v>265</v>
      </c>
      <c r="Q525">
        <v>268</v>
      </c>
      <c r="R525">
        <v>337</v>
      </c>
      <c r="S525">
        <v>249</v>
      </c>
      <c r="T525" t="s">
        <v>31</v>
      </c>
      <c r="U525" t="s">
        <v>31</v>
      </c>
      <c r="V525" t="s">
        <v>31</v>
      </c>
      <c r="W525" t="s">
        <v>31</v>
      </c>
      <c r="X525" t="s">
        <v>31</v>
      </c>
      <c r="Y525" t="s">
        <v>31</v>
      </c>
    </row>
    <row r="526" spans="1:25" hidden="1">
      <c r="A526" t="s">
        <v>25</v>
      </c>
      <c r="B526" t="s">
        <v>26</v>
      </c>
      <c r="C526" t="s">
        <v>44</v>
      </c>
      <c r="D526" s="1">
        <v>42141</v>
      </c>
      <c r="E526" s="2">
        <v>0.64583333333333337</v>
      </c>
      <c r="F526" t="s">
        <v>35</v>
      </c>
      <c r="G526" t="s">
        <v>40</v>
      </c>
      <c r="H526">
        <v>4</v>
      </c>
      <c r="I526">
        <v>1</v>
      </c>
      <c r="J526" t="s">
        <v>34</v>
      </c>
      <c r="K526">
        <v>17</v>
      </c>
      <c r="L526">
        <v>408</v>
      </c>
      <c r="M526">
        <v>522</v>
      </c>
      <c r="N526">
        <v>17</v>
      </c>
      <c r="O526">
        <v>41</v>
      </c>
      <c r="P526">
        <v>553</v>
      </c>
      <c r="Q526">
        <v>164</v>
      </c>
      <c r="R526">
        <v>385</v>
      </c>
      <c r="S526">
        <v>502</v>
      </c>
      <c r="T526" t="s">
        <v>31</v>
      </c>
      <c r="U526" t="s">
        <v>31</v>
      </c>
      <c r="V526" t="s">
        <v>31</v>
      </c>
      <c r="W526" t="s">
        <v>31</v>
      </c>
      <c r="X526" t="s">
        <v>31</v>
      </c>
      <c r="Y526" t="s">
        <v>31</v>
      </c>
    </row>
    <row r="527" spans="1:25" hidden="1">
      <c r="A527" t="s">
        <v>25</v>
      </c>
      <c r="B527" t="s">
        <v>26</v>
      </c>
      <c r="C527" t="s">
        <v>44</v>
      </c>
      <c r="D527" s="1">
        <v>42143</v>
      </c>
      <c r="E527" s="2">
        <v>0.75</v>
      </c>
      <c r="F527" t="s">
        <v>38</v>
      </c>
      <c r="G527" t="s">
        <v>45</v>
      </c>
      <c r="H527">
        <v>4</v>
      </c>
      <c r="I527">
        <v>1</v>
      </c>
      <c r="J527" t="s">
        <v>34</v>
      </c>
      <c r="K527">
        <v>239</v>
      </c>
      <c r="L527">
        <v>376</v>
      </c>
      <c r="M527">
        <v>294</v>
      </c>
      <c r="N527">
        <v>242</v>
      </c>
      <c r="O527">
        <v>38</v>
      </c>
      <c r="P527">
        <v>304</v>
      </c>
      <c r="Q527">
        <v>228</v>
      </c>
      <c r="R527">
        <v>348</v>
      </c>
      <c r="S527">
        <v>289</v>
      </c>
      <c r="T527" t="s">
        <v>31</v>
      </c>
      <c r="U527" t="s">
        <v>31</v>
      </c>
      <c r="V527" t="s">
        <v>31</v>
      </c>
      <c r="W527" t="s">
        <v>31</v>
      </c>
      <c r="X527" t="s">
        <v>31</v>
      </c>
      <c r="Y527" t="s">
        <v>31</v>
      </c>
    </row>
    <row r="528" spans="1:25" hidden="1">
      <c r="A528" t="s">
        <v>25</v>
      </c>
      <c r="B528" t="s">
        <v>26</v>
      </c>
      <c r="C528" t="s">
        <v>44</v>
      </c>
      <c r="D528" s="1">
        <v>42144</v>
      </c>
      <c r="E528" s="2">
        <v>0.8125</v>
      </c>
      <c r="F528" t="s">
        <v>40</v>
      </c>
      <c r="G528" t="s">
        <v>37</v>
      </c>
      <c r="H528">
        <v>0</v>
      </c>
      <c r="I528">
        <v>1</v>
      </c>
      <c r="J528" t="s">
        <v>30</v>
      </c>
      <c r="K528">
        <v>195</v>
      </c>
      <c r="L528">
        <v>381</v>
      </c>
      <c r="M528">
        <v>399</v>
      </c>
      <c r="N528">
        <v>197</v>
      </c>
      <c r="O528">
        <v>39</v>
      </c>
      <c r="P528">
        <v>42</v>
      </c>
      <c r="Q528">
        <v>188</v>
      </c>
      <c r="R528">
        <v>36</v>
      </c>
      <c r="S528">
        <v>382</v>
      </c>
      <c r="T528" t="s">
        <v>31</v>
      </c>
      <c r="U528" t="s">
        <v>31</v>
      </c>
      <c r="V528" t="s">
        <v>31</v>
      </c>
      <c r="W528" t="s">
        <v>31</v>
      </c>
      <c r="X528" t="s">
        <v>31</v>
      </c>
      <c r="Y528" t="s">
        <v>31</v>
      </c>
    </row>
    <row r="529" spans="1:25" hidden="1">
      <c r="A529" t="s">
        <v>25</v>
      </c>
      <c r="B529" t="s">
        <v>26</v>
      </c>
      <c r="C529" t="s">
        <v>44</v>
      </c>
      <c r="D529" s="1">
        <v>42144</v>
      </c>
      <c r="E529" s="2">
        <v>0.8125</v>
      </c>
      <c r="F529" t="s">
        <v>33</v>
      </c>
      <c r="G529" t="s">
        <v>39</v>
      </c>
      <c r="H529">
        <v>2</v>
      </c>
      <c r="I529">
        <v>0</v>
      </c>
      <c r="J529" t="s">
        <v>34</v>
      </c>
      <c r="K529">
        <v>279</v>
      </c>
      <c r="L529">
        <v>365</v>
      </c>
      <c r="M529">
        <v>255</v>
      </c>
      <c r="N529">
        <v>298</v>
      </c>
      <c r="O529">
        <v>375</v>
      </c>
      <c r="P529">
        <v>259</v>
      </c>
      <c r="Q529">
        <v>276</v>
      </c>
      <c r="R529">
        <v>342</v>
      </c>
      <c r="S529">
        <v>24</v>
      </c>
      <c r="T529" t="s">
        <v>31</v>
      </c>
      <c r="U529" t="s">
        <v>31</v>
      </c>
      <c r="V529" t="s">
        <v>31</v>
      </c>
      <c r="W529" t="s">
        <v>31</v>
      </c>
      <c r="X529" t="s">
        <v>31</v>
      </c>
      <c r="Y529" t="s">
        <v>31</v>
      </c>
    </row>
    <row r="530" spans="1:25" hidden="1">
      <c r="A530" t="s">
        <v>25</v>
      </c>
      <c r="B530" t="s">
        <v>26</v>
      </c>
      <c r="C530" t="s">
        <v>44</v>
      </c>
      <c r="D530" s="1">
        <v>42144</v>
      </c>
      <c r="E530" s="2">
        <v>0.8125</v>
      </c>
      <c r="F530" t="s">
        <v>28</v>
      </c>
      <c r="G530" t="s">
        <v>29</v>
      </c>
      <c r="H530">
        <v>0</v>
      </c>
      <c r="I530">
        <v>0</v>
      </c>
      <c r="J530" t="s">
        <v>41</v>
      </c>
      <c r="K530">
        <v>443</v>
      </c>
      <c r="L530">
        <v>409</v>
      </c>
      <c r="M530">
        <v>179</v>
      </c>
      <c r="N530">
        <v>475</v>
      </c>
      <c r="O530">
        <v>41</v>
      </c>
      <c r="P530">
        <v>189</v>
      </c>
      <c r="Q530">
        <v>418</v>
      </c>
      <c r="R530">
        <v>373</v>
      </c>
      <c r="S530">
        <v>178</v>
      </c>
      <c r="T530" t="s">
        <v>31</v>
      </c>
      <c r="U530" t="s">
        <v>31</v>
      </c>
      <c r="V530" t="s">
        <v>31</v>
      </c>
      <c r="W530" t="s">
        <v>31</v>
      </c>
      <c r="X530" t="s">
        <v>31</v>
      </c>
      <c r="Y530" t="s">
        <v>31</v>
      </c>
    </row>
    <row r="531" spans="1:25" hidden="1">
      <c r="A531" t="s">
        <v>25</v>
      </c>
      <c r="B531" t="s">
        <v>26</v>
      </c>
      <c r="C531" t="s">
        <v>44</v>
      </c>
      <c r="D531" s="1">
        <v>42148</v>
      </c>
      <c r="E531" s="2">
        <v>0.69791666666666663</v>
      </c>
      <c r="F531" t="s">
        <v>37</v>
      </c>
      <c r="G531" t="s">
        <v>28</v>
      </c>
      <c r="H531">
        <v>1</v>
      </c>
      <c r="I531">
        <v>2</v>
      </c>
      <c r="J531" t="s">
        <v>30</v>
      </c>
      <c r="K531">
        <v>289</v>
      </c>
      <c r="L531">
        <v>331</v>
      </c>
      <c r="M531">
        <v>266</v>
      </c>
      <c r="N531">
        <v>3</v>
      </c>
      <c r="O531">
        <v>35</v>
      </c>
      <c r="P531">
        <v>266</v>
      </c>
      <c r="Q531">
        <v>28</v>
      </c>
      <c r="R531">
        <v>325</v>
      </c>
      <c r="S531">
        <v>246</v>
      </c>
      <c r="T531" t="s">
        <v>31</v>
      </c>
      <c r="U531" t="s">
        <v>31</v>
      </c>
      <c r="V531" t="s">
        <v>31</v>
      </c>
      <c r="W531" t="s">
        <v>31</v>
      </c>
      <c r="X531" t="s">
        <v>31</v>
      </c>
      <c r="Y531" t="s">
        <v>31</v>
      </c>
    </row>
    <row r="532" spans="1:25" hidden="1">
      <c r="A532" t="s">
        <v>25</v>
      </c>
      <c r="B532" t="s">
        <v>26</v>
      </c>
      <c r="C532" t="s">
        <v>44</v>
      </c>
      <c r="D532" s="1">
        <v>42148</v>
      </c>
      <c r="E532" s="2">
        <v>0.69791666666666663</v>
      </c>
      <c r="F532" t="s">
        <v>45</v>
      </c>
      <c r="G532" t="s">
        <v>43</v>
      </c>
      <c r="H532">
        <v>2</v>
      </c>
      <c r="I532">
        <v>0</v>
      </c>
      <c r="J532" t="s">
        <v>34</v>
      </c>
      <c r="K532">
        <v>172</v>
      </c>
      <c r="L532">
        <v>434</v>
      </c>
      <c r="M532">
        <v>46</v>
      </c>
      <c r="N532">
        <v>175</v>
      </c>
      <c r="O532">
        <v>44</v>
      </c>
      <c r="P532">
        <v>475</v>
      </c>
      <c r="Q532">
        <v>171</v>
      </c>
      <c r="R532">
        <v>389</v>
      </c>
      <c r="S532">
        <v>439</v>
      </c>
      <c r="T532" t="s">
        <v>31</v>
      </c>
      <c r="U532" t="s">
        <v>31</v>
      </c>
      <c r="V532" t="s">
        <v>31</v>
      </c>
      <c r="W532" t="s">
        <v>31</v>
      </c>
      <c r="X532" t="s">
        <v>31</v>
      </c>
      <c r="Y532" t="s">
        <v>31</v>
      </c>
    </row>
    <row r="533" spans="1:25" hidden="1">
      <c r="A533" t="s">
        <v>25</v>
      </c>
      <c r="B533" t="s">
        <v>26</v>
      </c>
      <c r="C533" t="s">
        <v>44</v>
      </c>
      <c r="D533" s="1">
        <v>42148</v>
      </c>
      <c r="E533" s="2">
        <v>0.69791666666666663</v>
      </c>
      <c r="F533" t="s">
        <v>35</v>
      </c>
      <c r="G533" t="s">
        <v>33</v>
      </c>
      <c r="H533">
        <v>0</v>
      </c>
      <c r="I533">
        <v>0</v>
      </c>
      <c r="J533" t="s">
        <v>41</v>
      </c>
      <c r="K533">
        <v>125</v>
      </c>
      <c r="L533">
        <v>721</v>
      </c>
      <c r="M533">
        <v>1181</v>
      </c>
      <c r="N533">
        <v>125</v>
      </c>
      <c r="O533">
        <v>721</v>
      </c>
      <c r="P533">
        <v>1348</v>
      </c>
      <c r="Q533">
        <v>122</v>
      </c>
      <c r="R533">
        <v>643</v>
      </c>
      <c r="S533">
        <v>1109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</row>
    <row r="534" spans="1:25" hidden="1">
      <c r="A534" t="s">
        <v>25</v>
      </c>
      <c r="B534" t="s">
        <v>26</v>
      </c>
      <c r="C534" t="s">
        <v>44</v>
      </c>
      <c r="D534" s="1">
        <v>42148</v>
      </c>
      <c r="E534" s="2">
        <v>0.69791666666666663</v>
      </c>
      <c r="F534" t="s">
        <v>38</v>
      </c>
      <c r="G534" t="s">
        <v>40</v>
      </c>
      <c r="H534">
        <v>0</v>
      </c>
      <c r="I534">
        <v>2</v>
      </c>
      <c r="J534" t="s">
        <v>30</v>
      </c>
      <c r="K534">
        <v>224</v>
      </c>
      <c r="L534">
        <v>366</v>
      </c>
      <c r="M534">
        <v>328</v>
      </c>
      <c r="N534">
        <v>23</v>
      </c>
      <c r="O534">
        <v>366</v>
      </c>
      <c r="P534">
        <v>344</v>
      </c>
      <c r="Q534">
        <v>217</v>
      </c>
      <c r="R534">
        <v>34</v>
      </c>
      <c r="S534">
        <v>315</v>
      </c>
      <c r="T534" t="s">
        <v>31</v>
      </c>
      <c r="U534" t="s">
        <v>31</v>
      </c>
      <c r="V534" t="s">
        <v>31</v>
      </c>
      <c r="W534" t="s">
        <v>31</v>
      </c>
      <c r="X534" t="s">
        <v>31</v>
      </c>
      <c r="Y534" t="s">
        <v>31</v>
      </c>
    </row>
    <row r="535" spans="1:25" hidden="1">
      <c r="A535" t="s">
        <v>25</v>
      </c>
      <c r="B535" t="s">
        <v>26</v>
      </c>
      <c r="C535" t="s">
        <v>44</v>
      </c>
      <c r="D535" s="1">
        <v>42148</v>
      </c>
      <c r="E535" s="2">
        <v>0.69791666666666663</v>
      </c>
      <c r="F535" t="s">
        <v>29</v>
      </c>
      <c r="G535" t="s">
        <v>39</v>
      </c>
      <c r="H535">
        <v>3</v>
      </c>
      <c r="I535">
        <v>0</v>
      </c>
      <c r="J535" t="s">
        <v>34</v>
      </c>
      <c r="K535">
        <v>123</v>
      </c>
      <c r="L535">
        <v>745</v>
      </c>
      <c r="M535">
        <v>1288</v>
      </c>
      <c r="N535">
        <v>125</v>
      </c>
      <c r="O535">
        <v>8</v>
      </c>
      <c r="P535">
        <v>185</v>
      </c>
      <c r="Q535">
        <v>119</v>
      </c>
      <c r="R535">
        <v>679</v>
      </c>
      <c r="S535">
        <v>1262</v>
      </c>
      <c r="T535" t="s">
        <v>31</v>
      </c>
      <c r="U535" t="s">
        <v>31</v>
      </c>
      <c r="V535" t="s">
        <v>31</v>
      </c>
      <c r="W535" t="s">
        <v>31</v>
      </c>
      <c r="X535" t="s">
        <v>31</v>
      </c>
      <c r="Y535" t="s">
        <v>31</v>
      </c>
    </row>
    <row r="536" spans="1:25" hidden="1">
      <c r="A536" t="s">
        <v>25</v>
      </c>
      <c r="B536" t="s">
        <v>26</v>
      </c>
      <c r="C536" t="s">
        <v>44</v>
      </c>
      <c r="D536" s="1">
        <v>42151</v>
      </c>
      <c r="E536" s="2">
        <v>0.72916666666666663</v>
      </c>
      <c r="F536" t="s">
        <v>43</v>
      </c>
      <c r="G536" t="s">
        <v>35</v>
      </c>
      <c r="H536">
        <v>0</v>
      </c>
      <c r="I536">
        <v>2</v>
      </c>
      <c r="J536" t="s">
        <v>30</v>
      </c>
      <c r="K536">
        <v>507</v>
      </c>
      <c r="L536">
        <v>429</v>
      </c>
      <c r="M536">
        <v>167</v>
      </c>
      <c r="N536">
        <v>507</v>
      </c>
      <c r="O536">
        <v>435</v>
      </c>
      <c r="P536">
        <v>17</v>
      </c>
      <c r="Q536">
        <v>472</v>
      </c>
      <c r="R536">
        <v>398</v>
      </c>
      <c r="S536">
        <v>164</v>
      </c>
      <c r="T536" t="s">
        <v>31</v>
      </c>
      <c r="U536" t="s">
        <v>31</v>
      </c>
      <c r="V536" t="s">
        <v>31</v>
      </c>
      <c r="W536" t="s">
        <v>31</v>
      </c>
      <c r="X536" t="s">
        <v>31</v>
      </c>
      <c r="Y536" t="s">
        <v>31</v>
      </c>
    </row>
    <row r="537" spans="1:25" hidden="1">
      <c r="A537" t="s">
        <v>25</v>
      </c>
      <c r="B537" t="s">
        <v>26</v>
      </c>
      <c r="C537" t="s">
        <v>44</v>
      </c>
      <c r="D537" s="1">
        <v>42155</v>
      </c>
      <c r="E537" s="2">
        <v>0.64583333333333337</v>
      </c>
      <c r="F537" t="s">
        <v>39</v>
      </c>
      <c r="G537" t="s">
        <v>35</v>
      </c>
      <c r="H537">
        <v>0</v>
      </c>
      <c r="I537">
        <v>5</v>
      </c>
      <c r="J537" t="s">
        <v>30</v>
      </c>
      <c r="K537">
        <v>443</v>
      </c>
      <c r="L537">
        <v>396</v>
      </c>
      <c r="M537">
        <v>183</v>
      </c>
      <c r="N537">
        <v>443</v>
      </c>
      <c r="O537">
        <v>4</v>
      </c>
      <c r="P537">
        <v>22</v>
      </c>
      <c r="Q537">
        <v>361</v>
      </c>
      <c r="R537">
        <v>363</v>
      </c>
      <c r="S537">
        <v>193</v>
      </c>
      <c r="T537" t="s">
        <v>31</v>
      </c>
      <c r="U537" t="s">
        <v>31</v>
      </c>
      <c r="V537" t="s">
        <v>31</v>
      </c>
      <c r="W537" t="s">
        <v>31</v>
      </c>
      <c r="X537" t="s">
        <v>31</v>
      </c>
      <c r="Y537" t="s">
        <v>31</v>
      </c>
    </row>
    <row r="538" spans="1:25" hidden="1">
      <c r="A538" t="s">
        <v>25</v>
      </c>
      <c r="B538" t="s">
        <v>26</v>
      </c>
      <c r="C538" t="s">
        <v>44</v>
      </c>
      <c r="D538" s="1">
        <v>42155</v>
      </c>
      <c r="E538" s="2">
        <v>0.64583333333333337</v>
      </c>
      <c r="F538" t="s">
        <v>40</v>
      </c>
      <c r="G538" t="s">
        <v>29</v>
      </c>
      <c r="H538">
        <v>1</v>
      </c>
      <c r="I538">
        <v>1</v>
      </c>
      <c r="J538" t="s">
        <v>41</v>
      </c>
      <c r="K538">
        <v>355</v>
      </c>
      <c r="L538">
        <v>373</v>
      </c>
      <c r="M538">
        <v>21</v>
      </c>
      <c r="N538">
        <v>4</v>
      </c>
      <c r="O538">
        <v>39</v>
      </c>
      <c r="P538">
        <v>213</v>
      </c>
      <c r="Q538">
        <v>342</v>
      </c>
      <c r="R538">
        <v>36</v>
      </c>
      <c r="S538">
        <v>2</v>
      </c>
      <c r="T538" t="s">
        <v>31</v>
      </c>
      <c r="U538" t="s">
        <v>31</v>
      </c>
      <c r="V538" t="s">
        <v>31</v>
      </c>
      <c r="W538" t="s">
        <v>31</v>
      </c>
      <c r="X538" t="s">
        <v>31</v>
      </c>
      <c r="Y538" t="s">
        <v>31</v>
      </c>
    </row>
    <row r="539" spans="1:25" hidden="1">
      <c r="A539" t="s">
        <v>25</v>
      </c>
      <c r="B539" t="s">
        <v>26</v>
      </c>
      <c r="C539" t="s">
        <v>44</v>
      </c>
      <c r="D539" s="1">
        <v>42155</v>
      </c>
      <c r="E539" s="2">
        <v>0.64583333333333337</v>
      </c>
      <c r="F539" t="s">
        <v>43</v>
      </c>
      <c r="G539" t="s">
        <v>37</v>
      </c>
      <c r="H539">
        <v>0</v>
      </c>
      <c r="I539">
        <v>1</v>
      </c>
      <c r="J539" t="s">
        <v>30</v>
      </c>
      <c r="K539">
        <v>387</v>
      </c>
      <c r="L539">
        <v>358</v>
      </c>
      <c r="M539">
        <v>204</v>
      </c>
      <c r="N539">
        <v>387</v>
      </c>
      <c r="O539">
        <v>369</v>
      </c>
      <c r="P539">
        <v>217</v>
      </c>
      <c r="Q539">
        <v>354</v>
      </c>
      <c r="R539">
        <v>338</v>
      </c>
      <c r="S539">
        <v>202</v>
      </c>
      <c r="T539" t="s">
        <v>31</v>
      </c>
      <c r="U539" t="s">
        <v>31</v>
      </c>
      <c r="V539" t="s">
        <v>31</v>
      </c>
      <c r="W539" t="s">
        <v>31</v>
      </c>
      <c r="X539" t="s">
        <v>31</v>
      </c>
      <c r="Y539" t="s">
        <v>31</v>
      </c>
    </row>
    <row r="540" spans="1:25" hidden="1">
      <c r="A540" t="s">
        <v>25</v>
      </c>
      <c r="B540" t="s">
        <v>26</v>
      </c>
      <c r="C540" t="s">
        <v>44</v>
      </c>
      <c r="D540" s="1">
        <v>42155</v>
      </c>
      <c r="E540" s="2">
        <v>0.64583333333333337</v>
      </c>
      <c r="F540" t="s">
        <v>33</v>
      </c>
      <c r="G540" t="s">
        <v>45</v>
      </c>
      <c r="H540">
        <v>0</v>
      </c>
      <c r="I540">
        <v>1</v>
      </c>
      <c r="J540" t="s">
        <v>30</v>
      </c>
      <c r="K540">
        <v>215</v>
      </c>
      <c r="L540">
        <v>387</v>
      </c>
      <c r="M540">
        <v>333</v>
      </c>
      <c r="N540">
        <v>225</v>
      </c>
      <c r="O540">
        <v>387</v>
      </c>
      <c r="P540">
        <v>333</v>
      </c>
      <c r="Q540">
        <v>213</v>
      </c>
      <c r="R540">
        <v>356</v>
      </c>
      <c r="S540">
        <v>31</v>
      </c>
      <c r="T540" t="s">
        <v>31</v>
      </c>
      <c r="U540" t="s">
        <v>31</v>
      </c>
      <c r="V540" t="s">
        <v>31</v>
      </c>
      <c r="W540" t="s">
        <v>31</v>
      </c>
      <c r="X540" t="s">
        <v>31</v>
      </c>
      <c r="Y540" t="s">
        <v>31</v>
      </c>
    </row>
    <row r="541" spans="1:25" hidden="1">
      <c r="A541" t="s">
        <v>25</v>
      </c>
      <c r="B541" t="s">
        <v>26</v>
      </c>
      <c r="C541" t="s">
        <v>44</v>
      </c>
      <c r="D541" s="1">
        <v>42155</v>
      </c>
      <c r="E541" s="2">
        <v>0.64583333333333337</v>
      </c>
      <c r="F541" t="s">
        <v>28</v>
      </c>
      <c r="G541" t="s">
        <v>38</v>
      </c>
      <c r="H541">
        <v>0</v>
      </c>
      <c r="I541">
        <v>0</v>
      </c>
      <c r="J541" t="s">
        <v>41</v>
      </c>
      <c r="K541">
        <v>167</v>
      </c>
      <c r="L541">
        <v>43</v>
      </c>
      <c r="M541">
        <v>522</v>
      </c>
      <c r="N541">
        <v>169</v>
      </c>
      <c r="O541">
        <v>435</v>
      </c>
      <c r="P541">
        <v>55</v>
      </c>
      <c r="Q541">
        <v>161</v>
      </c>
      <c r="R541">
        <v>395</v>
      </c>
      <c r="S541">
        <v>501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  <c r="Y541" t="s">
        <v>31</v>
      </c>
    </row>
    <row r="542" spans="1:25" hidden="1">
      <c r="A542" t="s">
        <v>25</v>
      </c>
      <c r="B542" t="s">
        <v>26</v>
      </c>
      <c r="C542" t="s">
        <v>46</v>
      </c>
      <c r="D542" s="1">
        <v>42210</v>
      </c>
      <c r="E542" s="2">
        <v>0.625</v>
      </c>
      <c r="F542" t="s">
        <v>32</v>
      </c>
      <c r="G542" t="s">
        <v>29</v>
      </c>
      <c r="H542">
        <v>2</v>
      </c>
      <c r="I542">
        <v>1</v>
      </c>
      <c r="J542" t="s">
        <v>34</v>
      </c>
      <c r="K542">
        <v>61</v>
      </c>
      <c r="L542">
        <v>467</v>
      </c>
      <c r="M542">
        <v>154</v>
      </c>
      <c r="N542">
        <v>7</v>
      </c>
      <c r="O542">
        <v>47</v>
      </c>
      <c r="P542">
        <v>157</v>
      </c>
      <c r="Q542">
        <v>572</v>
      </c>
      <c r="R542">
        <v>424</v>
      </c>
      <c r="S542">
        <v>151</v>
      </c>
      <c r="T542" t="s">
        <v>31</v>
      </c>
      <c r="U542" t="s">
        <v>31</v>
      </c>
      <c r="V542" t="s">
        <v>31</v>
      </c>
      <c r="W542" t="s">
        <v>31</v>
      </c>
      <c r="X542" t="s">
        <v>31</v>
      </c>
      <c r="Y542" t="s">
        <v>31</v>
      </c>
    </row>
    <row r="543" spans="1:25" hidden="1">
      <c r="A543" t="s">
        <v>25</v>
      </c>
      <c r="B543" t="s">
        <v>26</v>
      </c>
      <c r="C543" t="s">
        <v>46</v>
      </c>
      <c r="D543" s="1">
        <v>42210</v>
      </c>
      <c r="E543" s="2">
        <v>0.72916666666666663</v>
      </c>
      <c r="F543" t="s">
        <v>43</v>
      </c>
      <c r="G543" t="s">
        <v>45</v>
      </c>
      <c r="H543">
        <v>2</v>
      </c>
      <c r="I543">
        <v>1</v>
      </c>
      <c r="J543" t="s">
        <v>34</v>
      </c>
      <c r="K543">
        <v>267</v>
      </c>
      <c r="L543">
        <v>353</v>
      </c>
      <c r="M543">
        <v>272</v>
      </c>
      <c r="N543">
        <v>267</v>
      </c>
      <c r="O543">
        <v>37</v>
      </c>
      <c r="P543">
        <v>28</v>
      </c>
      <c r="Q543">
        <v>25</v>
      </c>
      <c r="R543">
        <v>333</v>
      </c>
      <c r="S543">
        <v>269</v>
      </c>
      <c r="T543" t="s">
        <v>31</v>
      </c>
      <c r="U543" t="s">
        <v>31</v>
      </c>
      <c r="V543" t="s">
        <v>31</v>
      </c>
      <c r="W543" t="s">
        <v>31</v>
      </c>
      <c r="X543" t="s">
        <v>31</v>
      </c>
      <c r="Y543" t="s">
        <v>31</v>
      </c>
    </row>
    <row r="544" spans="1:25" hidden="1">
      <c r="A544" t="s">
        <v>25</v>
      </c>
      <c r="B544" t="s">
        <v>26</v>
      </c>
      <c r="C544" t="s">
        <v>46</v>
      </c>
      <c r="D544" s="1">
        <v>42210</v>
      </c>
      <c r="E544" s="2">
        <v>0.72916666666666663</v>
      </c>
      <c r="F544" t="s">
        <v>35</v>
      </c>
      <c r="G544" t="s">
        <v>38</v>
      </c>
      <c r="H544">
        <v>3</v>
      </c>
      <c r="I544">
        <v>0</v>
      </c>
      <c r="J544" t="s">
        <v>34</v>
      </c>
      <c r="K544">
        <v>137</v>
      </c>
      <c r="L544">
        <v>527</v>
      </c>
      <c r="M544">
        <v>925</v>
      </c>
      <c r="N544">
        <v>145</v>
      </c>
      <c r="O544">
        <v>56</v>
      </c>
      <c r="P544">
        <v>115</v>
      </c>
      <c r="Q544">
        <v>133</v>
      </c>
      <c r="R544">
        <v>495</v>
      </c>
      <c r="S544">
        <v>877</v>
      </c>
      <c r="T544" t="s">
        <v>31</v>
      </c>
      <c r="U544" t="s">
        <v>31</v>
      </c>
      <c r="V544" t="s">
        <v>31</v>
      </c>
      <c r="W544" t="s">
        <v>31</v>
      </c>
      <c r="X544" t="s">
        <v>31</v>
      </c>
      <c r="Y544" t="s">
        <v>31</v>
      </c>
    </row>
    <row r="545" spans="1:25" hidden="1">
      <c r="A545" t="s">
        <v>25</v>
      </c>
      <c r="B545" t="s">
        <v>26</v>
      </c>
      <c r="C545" t="s">
        <v>46</v>
      </c>
      <c r="D545" s="1">
        <v>42210</v>
      </c>
      <c r="E545" s="2">
        <v>0.72916666666666663</v>
      </c>
      <c r="F545" t="s">
        <v>28</v>
      </c>
      <c r="G545" t="s">
        <v>37</v>
      </c>
      <c r="H545">
        <v>1</v>
      </c>
      <c r="I545">
        <v>1</v>
      </c>
      <c r="J545" t="s">
        <v>41</v>
      </c>
      <c r="K545">
        <v>146</v>
      </c>
      <c r="L545">
        <v>465</v>
      </c>
      <c r="M545">
        <v>795</v>
      </c>
      <c r="N545">
        <v>146</v>
      </c>
      <c r="O545">
        <v>48</v>
      </c>
      <c r="P545">
        <v>93</v>
      </c>
      <c r="Q545">
        <v>141</v>
      </c>
      <c r="R545">
        <v>433</v>
      </c>
      <c r="S545">
        <v>753</v>
      </c>
      <c r="T545" t="s">
        <v>31</v>
      </c>
      <c r="U545" t="s">
        <v>31</v>
      </c>
      <c r="V545" t="s">
        <v>31</v>
      </c>
      <c r="W545" t="s">
        <v>31</v>
      </c>
      <c r="X545" t="s">
        <v>31</v>
      </c>
      <c r="Y545" t="s">
        <v>31</v>
      </c>
    </row>
    <row r="546" spans="1:25" hidden="1">
      <c r="A546" t="s">
        <v>25</v>
      </c>
      <c r="B546" t="s">
        <v>26</v>
      </c>
      <c r="C546" t="s">
        <v>46</v>
      </c>
      <c r="D546" s="1">
        <v>42211</v>
      </c>
      <c r="E546" s="2">
        <v>0.64583333333333337</v>
      </c>
      <c r="F546" t="s">
        <v>39</v>
      </c>
      <c r="G546" t="s">
        <v>40</v>
      </c>
      <c r="H546">
        <v>0</v>
      </c>
      <c r="I546">
        <v>2</v>
      </c>
      <c r="J546" t="s">
        <v>30</v>
      </c>
      <c r="K546">
        <v>314</v>
      </c>
      <c r="L546">
        <v>345</v>
      </c>
      <c r="M546">
        <v>24</v>
      </c>
      <c r="N546">
        <v>33</v>
      </c>
      <c r="O546">
        <v>348</v>
      </c>
      <c r="P546">
        <v>24</v>
      </c>
      <c r="Q546">
        <v>299</v>
      </c>
      <c r="R546">
        <v>325</v>
      </c>
      <c r="S546">
        <v>233</v>
      </c>
      <c r="T546" t="s">
        <v>31</v>
      </c>
      <c r="U546" t="s">
        <v>31</v>
      </c>
      <c r="V546" t="s">
        <v>31</v>
      </c>
      <c r="W546" t="s">
        <v>31</v>
      </c>
      <c r="X546" t="s">
        <v>31</v>
      </c>
      <c r="Y546" t="s">
        <v>31</v>
      </c>
    </row>
    <row r="547" spans="1:25" hidden="1">
      <c r="A547" t="s">
        <v>25</v>
      </c>
      <c r="B547" t="s">
        <v>26</v>
      </c>
      <c r="C547" t="s">
        <v>46</v>
      </c>
      <c r="D547" s="1">
        <v>42217</v>
      </c>
      <c r="E547" s="2">
        <v>0.625</v>
      </c>
      <c r="F547" t="s">
        <v>29</v>
      </c>
      <c r="G547" t="s">
        <v>35</v>
      </c>
      <c r="H547">
        <v>1</v>
      </c>
      <c r="I547">
        <v>2</v>
      </c>
      <c r="J547" t="s">
        <v>30</v>
      </c>
      <c r="K547">
        <v>213</v>
      </c>
      <c r="L547">
        <v>35</v>
      </c>
      <c r="M547">
        <v>37</v>
      </c>
      <c r="N547">
        <v>215</v>
      </c>
      <c r="O547">
        <v>37</v>
      </c>
      <c r="P547">
        <v>378</v>
      </c>
      <c r="Q547">
        <v>204</v>
      </c>
      <c r="R547">
        <v>342</v>
      </c>
      <c r="S547">
        <v>345</v>
      </c>
      <c r="T547" t="s">
        <v>31</v>
      </c>
      <c r="U547" t="s">
        <v>31</v>
      </c>
      <c r="V547" t="s">
        <v>31</v>
      </c>
      <c r="W547" t="s">
        <v>31</v>
      </c>
      <c r="X547" t="s">
        <v>31</v>
      </c>
      <c r="Y547" t="s">
        <v>31</v>
      </c>
    </row>
    <row r="548" spans="1:25" hidden="1">
      <c r="A548" t="s">
        <v>25</v>
      </c>
      <c r="B548" t="s">
        <v>26</v>
      </c>
      <c r="C548" t="s">
        <v>46</v>
      </c>
      <c r="D548" s="1">
        <v>42217</v>
      </c>
      <c r="E548" s="2">
        <v>0.72916666666666663</v>
      </c>
      <c r="F548" t="s">
        <v>37</v>
      </c>
      <c r="G548" t="s">
        <v>32</v>
      </c>
      <c r="H548">
        <v>2</v>
      </c>
      <c r="I548">
        <v>1</v>
      </c>
      <c r="J548" t="s">
        <v>34</v>
      </c>
      <c r="K548">
        <v>288</v>
      </c>
      <c r="L548">
        <v>342</v>
      </c>
      <c r="M548">
        <v>259</v>
      </c>
      <c r="N548">
        <v>292</v>
      </c>
      <c r="O548">
        <v>342</v>
      </c>
      <c r="P548">
        <v>269</v>
      </c>
      <c r="Q548">
        <v>271</v>
      </c>
      <c r="R548">
        <v>323</v>
      </c>
      <c r="S548">
        <v>253</v>
      </c>
      <c r="T548" t="s">
        <v>31</v>
      </c>
      <c r="U548" t="s">
        <v>31</v>
      </c>
      <c r="V548" t="s">
        <v>31</v>
      </c>
      <c r="W548" t="s">
        <v>31</v>
      </c>
      <c r="X548" t="s">
        <v>31</v>
      </c>
      <c r="Y548" t="s">
        <v>31</v>
      </c>
    </row>
    <row r="549" spans="1:25" hidden="1">
      <c r="A549" t="s">
        <v>25</v>
      </c>
      <c r="B549" t="s">
        <v>26</v>
      </c>
      <c r="C549" t="s">
        <v>46</v>
      </c>
      <c r="D549" s="1">
        <v>42218</v>
      </c>
      <c r="E549" s="2">
        <v>0.64583333333333337</v>
      </c>
      <c r="F549" t="s">
        <v>40</v>
      </c>
      <c r="G549" t="s">
        <v>45</v>
      </c>
      <c r="H549">
        <v>3</v>
      </c>
      <c r="I549">
        <v>1</v>
      </c>
      <c r="J549" t="s">
        <v>34</v>
      </c>
      <c r="K549">
        <v>145</v>
      </c>
      <c r="L549">
        <v>467</v>
      </c>
      <c r="M549">
        <v>829</v>
      </c>
      <c r="N549">
        <v>147</v>
      </c>
      <c r="O549">
        <v>467</v>
      </c>
      <c r="P549">
        <v>86</v>
      </c>
      <c r="Q549">
        <v>142</v>
      </c>
      <c r="R549">
        <v>427</v>
      </c>
      <c r="S549">
        <v>741</v>
      </c>
      <c r="T549" t="s">
        <v>31</v>
      </c>
      <c r="U549" t="s">
        <v>31</v>
      </c>
      <c r="V549" t="s">
        <v>31</v>
      </c>
      <c r="W549" t="s">
        <v>31</v>
      </c>
      <c r="X549" t="s">
        <v>31</v>
      </c>
      <c r="Y549" t="s">
        <v>31</v>
      </c>
    </row>
    <row r="550" spans="1:25" hidden="1">
      <c r="A550" t="s">
        <v>25</v>
      </c>
      <c r="B550" t="s">
        <v>26</v>
      </c>
      <c r="C550" t="s">
        <v>46</v>
      </c>
      <c r="D550" s="1">
        <v>42218</v>
      </c>
      <c r="E550" s="2">
        <v>0.64583333333333337</v>
      </c>
      <c r="F550" t="s">
        <v>38</v>
      </c>
      <c r="G550" t="s">
        <v>39</v>
      </c>
      <c r="H550">
        <v>0</v>
      </c>
      <c r="I550">
        <v>0</v>
      </c>
      <c r="J550" t="s">
        <v>41</v>
      </c>
      <c r="K550">
        <v>206</v>
      </c>
      <c r="L550">
        <v>359</v>
      </c>
      <c r="M550">
        <v>382</v>
      </c>
      <c r="N550">
        <v>225</v>
      </c>
      <c r="O550">
        <v>36</v>
      </c>
      <c r="P550">
        <v>382</v>
      </c>
      <c r="Q550">
        <v>203</v>
      </c>
      <c r="R550">
        <v>341</v>
      </c>
      <c r="S550">
        <v>351</v>
      </c>
      <c r="T550" t="s">
        <v>31</v>
      </c>
      <c r="U550" t="s">
        <v>31</v>
      </c>
      <c r="V550" t="s">
        <v>31</v>
      </c>
      <c r="W550" t="s">
        <v>31</v>
      </c>
      <c r="X550" t="s">
        <v>31</v>
      </c>
      <c r="Y550" t="s">
        <v>31</v>
      </c>
    </row>
    <row r="551" spans="1:25" hidden="1">
      <c r="A551" t="s">
        <v>25</v>
      </c>
      <c r="B551" t="s">
        <v>26</v>
      </c>
      <c r="C551" t="s">
        <v>46</v>
      </c>
      <c r="D551" s="1">
        <v>42218</v>
      </c>
      <c r="E551" s="2">
        <v>0.75</v>
      </c>
      <c r="F551" t="s">
        <v>28</v>
      </c>
      <c r="G551" t="s">
        <v>43</v>
      </c>
      <c r="H551">
        <v>1</v>
      </c>
      <c r="I551">
        <v>1</v>
      </c>
      <c r="J551" t="s">
        <v>41</v>
      </c>
      <c r="K551">
        <v>164</v>
      </c>
      <c r="L551">
        <v>419</v>
      </c>
      <c r="M551">
        <v>571</v>
      </c>
      <c r="N551">
        <v>164</v>
      </c>
      <c r="O551">
        <v>425</v>
      </c>
      <c r="P551">
        <v>62</v>
      </c>
      <c r="Q551">
        <v>157</v>
      </c>
      <c r="R551">
        <v>395</v>
      </c>
      <c r="S551">
        <v>553</v>
      </c>
      <c r="T551" t="s">
        <v>31</v>
      </c>
      <c r="U551" t="s">
        <v>31</v>
      </c>
      <c r="V551" t="s">
        <v>31</v>
      </c>
      <c r="W551" t="s">
        <v>31</v>
      </c>
      <c r="X551" t="s">
        <v>31</v>
      </c>
      <c r="Y551" t="s">
        <v>31</v>
      </c>
    </row>
    <row r="552" spans="1:25" hidden="1">
      <c r="A552" t="s">
        <v>25</v>
      </c>
      <c r="B552" t="s">
        <v>26</v>
      </c>
      <c r="C552" t="s">
        <v>46</v>
      </c>
      <c r="D552" s="1">
        <v>42224</v>
      </c>
      <c r="E552" s="2">
        <v>0.625</v>
      </c>
      <c r="F552" t="s">
        <v>43</v>
      </c>
      <c r="G552" t="s">
        <v>40</v>
      </c>
      <c r="H552">
        <v>2</v>
      </c>
      <c r="I552">
        <v>2</v>
      </c>
      <c r="J552" t="s">
        <v>41</v>
      </c>
      <c r="K552">
        <v>411</v>
      </c>
      <c r="L552">
        <v>369</v>
      </c>
      <c r="M552">
        <v>195</v>
      </c>
      <c r="N552">
        <v>411</v>
      </c>
      <c r="O552">
        <v>38</v>
      </c>
      <c r="P552">
        <v>2</v>
      </c>
      <c r="Q552">
        <v>374</v>
      </c>
      <c r="R552">
        <v>349</v>
      </c>
      <c r="S552">
        <v>192</v>
      </c>
      <c r="T552" t="s">
        <v>31</v>
      </c>
      <c r="U552" t="s">
        <v>31</v>
      </c>
      <c r="V552" t="s">
        <v>31</v>
      </c>
      <c r="W552" t="s">
        <v>31</v>
      </c>
      <c r="X552" t="s">
        <v>31</v>
      </c>
      <c r="Y552" t="s">
        <v>31</v>
      </c>
    </row>
    <row r="553" spans="1:25" hidden="1">
      <c r="A553" t="s">
        <v>25</v>
      </c>
      <c r="B553" t="s">
        <v>26</v>
      </c>
      <c r="C553" t="s">
        <v>46</v>
      </c>
      <c r="D553" s="1">
        <v>42224</v>
      </c>
      <c r="E553" s="2">
        <v>0.72916666666666663</v>
      </c>
      <c r="F553" t="s">
        <v>37</v>
      </c>
      <c r="G553" t="s">
        <v>29</v>
      </c>
      <c r="H553">
        <v>2</v>
      </c>
      <c r="I553">
        <v>2</v>
      </c>
      <c r="J553" t="s">
        <v>41</v>
      </c>
      <c r="K553">
        <v>561</v>
      </c>
      <c r="L553">
        <v>441</v>
      </c>
      <c r="M553">
        <v>161</v>
      </c>
      <c r="N553">
        <v>58</v>
      </c>
      <c r="O553">
        <v>445</v>
      </c>
      <c r="P553">
        <v>175</v>
      </c>
      <c r="Q553">
        <v>517</v>
      </c>
      <c r="R553">
        <v>405</v>
      </c>
      <c r="S553">
        <v>158</v>
      </c>
      <c r="T553" t="s">
        <v>31</v>
      </c>
      <c r="U553" t="s">
        <v>31</v>
      </c>
      <c r="V553" t="s">
        <v>31</v>
      </c>
      <c r="W553" t="s">
        <v>31</v>
      </c>
      <c r="X553" t="s">
        <v>31</v>
      </c>
      <c r="Y553" t="s">
        <v>31</v>
      </c>
    </row>
    <row r="554" spans="1:25" hidden="1">
      <c r="A554" t="s">
        <v>25</v>
      </c>
      <c r="B554" t="s">
        <v>26</v>
      </c>
      <c r="C554" t="s">
        <v>46</v>
      </c>
      <c r="D554" s="1">
        <v>42224</v>
      </c>
      <c r="E554" s="2">
        <v>0.72916666666666663</v>
      </c>
      <c r="F554" t="s">
        <v>32</v>
      </c>
      <c r="G554" t="s">
        <v>38</v>
      </c>
      <c r="H554">
        <v>4</v>
      </c>
      <c r="I554">
        <v>1</v>
      </c>
      <c r="J554" t="s">
        <v>34</v>
      </c>
      <c r="K554">
        <v>202</v>
      </c>
      <c r="L554">
        <v>372</v>
      </c>
      <c r="M554">
        <v>381</v>
      </c>
      <c r="N554">
        <v>205</v>
      </c>
      <c r="O554">
        <v>38</v>
      </c>
      <c r="P554">
        <v>405</v>
      </c>
      <c r="Q554">
        <v>193</v>
      </c>
      <c r="R554">
        <v>352</v>
      </c>
      <c r="S554">
        <v>373</v>
      </c>
      <c r="T554" t="s">
        <v>31</v>
      </c>
      <c r="U554" t="s">
        <v>31</v>
      </c>
      <c r="V554" t="s">
        <v>31</v>
      </c>
      <c r="W554" t="s">
        <v>31</v>
      </c>
      <c r="X554" t="s">
        <v>31</v>
      </c>
      <c r="Y554" t="s">
        <v>31</v>
      </c>
    </row>
    <row r="555" spans="1:25" hidden="1">
      <c r="A555" t="s">
        <v>25</v>
      </c>
      <c r="B555" t="s">
        <v>26</v>
      </c>
      <c r="C555" t="s">
        <v>46</v>
      </c>
      <c r="D555" s="1">
        <v>42225</v>
      </c>
      <c r="E555" s="2">
        <v>0.64583333333333337</v>
      </c>
      <c r="F555" t="s">
        <v>45</v>
      </c>
      <c r="G555" t="s">
        <v>28</v>
      </c>
      <c r="H555">
        <v>0</v>
      </c>
      <c r="I555">
        <v>1</v>
      </c>
      <c r="J555" t="s">
        <v>30</v>
      </c>
      <c r="K555">
        <v>31</v>
      </c>
      <c r="L555">
        <v>343</v>
      </c>
      <c r="M555">
        <v>243</v>
      </c>
      <c r="N555">
        <v>32</v>
      </c>
      <c r="O555">
        <v>36</v>
      </c>
      <c r="P555">
        <v>264</v>
      </c>
      <c r="Q555">
        <v>286</v>
      </c>
      <c r="R555">
        <v>331</v>
      </c>
      <c r="S555">
        <v>238</v>
      </c>
      <c r="T555" t="s">
        <v>31</v>
      </c>
      <c r="U555" t="s">
        <v>31</v>
      </c>
      <c r="V555" t="s">
        <v>31</v>
      </c>
      <c r="W555" t="s">
        <v>31</v>
      </c>
      <c r="X555" t="s">
        <v>31</v>
      </c>
      <c r="Y555" t="s">
        <v>31</v>
      </c>
    </row>
    <row r="556" spans="1:25" hidden="1">
      <c r="A556" t="s">
        <v>25</v>
      </c>
      <c r="B556" t="s">
        <v>26</v>
      </c>
      <c r="C556" t="s">
        <v>46</v>
      </c>
      <c r="D556" s="1">
        <v>42225</v>
      </c>
      <c r="E556" s="2">
        <v>0.75</v>
      </c>
      <c r="F556" t="s">
        <v>35</v>
      </c>
      <c r="G556" t="s">
        <v>39</v>
      </c>
      <c r="H556">
        <v>2</v>
      </c>
      <c r="I556">
        <v>1</v>
      </c>
      <c r="J556" t="s">
        <v>34</v>
      </c>
      <c r="K556">
        <v>127</v>
      </c>
      <c r="L556">
        <v>63</v>
      </c>
      <c r="M556">
        <v>126</v>
      </c>
      <c r="N556">
        <v>13</v>
      </c>
      <c r="O556">
        <v>63</v>
      </c>
      <c r="P556">
        <v>15</v>
      </c>
      <c r="Q556">
        <v>126</v>
      </c>
      <c r="R556">
        <v>543</v>
      </c>
      <c r="S556">
        <v>1162</v>
      </c>
      <c r="T556" t="s">
        <v>31</v>
      </c>
      <c r="U556" t="s">
        <v>31</v>
      </c>
      <c r="V556" t="s">
        <v>31</v>
      </c>
      <c r="W556" t="s">
        <v>31</v>
      </c>
      <c r="X556" t="s">
        <v>31</v>
      </c>
      <c r="Y556" t="s">
        <v>31</v>
      </c>
    </row>
    <row r="557" spans="1:25" hidden="1">
      <c r="A557" t="s">
        <v>25</v>
      </c>
      <c r="B557" t="s">
        <v>26</v>
      </c>
      <c r="C557" t="s">
        <v>46</v>
      </c>
      <c r="D557" s="1">
        <v>42227</v>
      </c>
      <c r="E557" s="2">
        <v>0.72916666666666663</v>
      </c>
      <c r="F557" t="s">
        <v>38</v>
      </c>
      <c r="G557" t="s">
        <v>29</v>
      </c>
      <c r="H557">
        <v>1</v>
      </c>
      <c r="I557">
        <v>4</v>
      </c>
      <c r="J557" t="s">
        <v>30</v>
      </c>
      <c r="K557">
        <v>725</v>
      </c>
      <c r="L557">
        <v>482</v>
      </c>
      <c r="M557">
        <v>147</v>
      </c>
      <c r="N557">
        <v>815</v>
      </c>
      <c r="O557">
        <v>5</v>
      </c>
      <c r="P557">
        <v>155</v>
      </c>
      <c r="Q557">
        <v>642</v>
      </c>
      <c r="R557">
        <v>448</v>
      </c>
      <c r="S557">
        <v>145</v>
      </c>
      <c r="T557" t="s">
        <v>31</v>
      </c>
      <c r="U557" t="s">
        <v>31</v>
      </c>
      <c r="V557" t="s">
        <v>31</v>
      </c>
      <c r="W557" t="s">
        <v>31</v>
      </c>
      <c r="X557" t="s">
        <v>31</v>
      </c>
      <c r="Y557" t="s">
        <v>31</v>
      </c>
    </row>
    <row r="558" spans="1:25" hidden="1">
      <c r="A558" t="s">
        <v>25</v>
      </c>
      <c r="B558" t="s">
        <v>26</v>
      </c>
      <c r="C558" t="s">
        <v>46</v>
      </c>
      <c r="D558" s="1">
        <v>42228</v>
      </c>
      <c r="E558" s="2">
        <v>0.8125</v>
      </c>
      <c r="F558" t="s">
        <v>39</v>
      </c>
      <c r="G558" t="s">
        <v>28</v>
      </c>
      <c r="H558">
        <v>0</v>
      </c>
      <c r="I558">
        <v>2</v>
      </c>
      <c r="J558" t="s">
        <v>30</v>
      </c>
      <c r="K558">
        <v>328</v>
      </c>
      <c r="L558">
        <v>359</v>
      </c>
      <c r="M558">
        <v>227</v>
      </c>
      <c r="N558">
        <v>35</v>
      </c>
      <c r="O558">
        <v>359</v>
      </c>
      <c r="P558">
        <v>23</v>
      </c>
      <c r="Q558">
        <v>316</v>
      </c>
      <c r="R558">
        <v>333</v>
      </c>
      <c r="S558">
        <v>22</v>
      </c>
      <c r="T558" t="s">
        <v>31</v>
      </c>
      <c r="U558" t="s">
        <v>31</v>
      </c>
      <c r="V558" t="s">
        <v>31</v>
      </c>
      <c r="W558" t="s">
        <v>31</v>
      </c>
      <c r="X558" t="s">
        <v>31</v>
      </c>
      <c r="Y558" t="s">
        <v>31</v>
      </c>
    </row>
    <row r="559" spans="1:25" hidden="1">
      <c r="A559" t="s">
        <v>25</v>
      </c>
      <c r="B559" t="s">
        <v>26</v>
      </c>
      <c r="C559" t="s">
        <v>46</v>
      </c>
      <c r="D559" s="1">
        <v>42228</v>
      </c>
      <c r="E559" s="2">
        <v>0.8125</v>
      </c>
      <c r="F559" t="s">
        <v>45</v>
      </c>
      <c r="G559" t="s">
        <v>32</v>
      </c>
      <c r="H559">
        <v>3</v>
      </c>
      <c r="I559">
        <v>1</v>
      </c>
      <c r="J559" t="s">
        <v>34</v>
      </c>
      <c r="K559">
        <v>221</v>
      </c>
      <c r="L559">
        <v>369</v>
      </c>
      <c r="M559">
        <v>333</v>
      </c>
      <c r="N559">
        <v>255</v>
      </c>
      <c r="O559">
        <v>369</v>
      </c>
      <c r="P559">
        <v>335</v>
      </c>
      <c r="Q559">
        <v>217</v>
      </c>
      <c r="R559">
        <v>348</v>
      </c>
      <c r="S559">
        <v>308</v>
      </c>
      <c r="T559" t="s">
        <v>31</v>
      </c>
      <c r="U559" t="s">
        <v>31</v>
      </c>
      <c r="V559" t="s">
        <v>31</v>
      </c>
      <c r="W559" t="s">
        <v>31</v>
      </c>
      <c r="X559" t="s">
        <v>31</v>
      </c>
      <c r="Y559" t="s">
        <v>31</v>
      </c>
    </row>
    <row r="560" spans="1:25" hidden="1">
      <c r="A560" t="s">
        <v>25</v>
      </c>
      <c r="B560" t="s">
        <v>26</v>
      </c>
      <c r="C560" t="s">
        <v>46</v>
      </c>
      <c r="D560" s="1">
        <v>42228</v>
      </c>
      <c r="E560" s="2">
        <v>0.8125</v>
      </c>
      <c r="F560" t="s">
        <v>40</v>
      </c>
      <c r="G560" t="s">
        <v>35</v>
      </c>
      <c r="H560">
        <v>2</v>
      </c>
      <c r="I560">
        <v>5</v>
      </c>
      <c r="J560" t="s">
        <v>30</v>
      </c>
      <c r="K560">
        <v>346</v>
      </c>
      <c r="L560">
        <v>363</v>
      </c>
      <c r="M560">
        <v>217</v>
      </c>
      <c r="N560">
        <v>346</v>
      </c>
      <c r="O560">
        <v>363</v>
      </c>
      <c r="P560">
        <v>24</v>
      </c>
      <c r="Q560">
        <v>308</v>
      </c>
      <c r="R560">
        <v>337</v>
      </c>
      <c r="S560">
        <v>223</v>
      </c>
      <c r="T560" t="s">
        <v>31</v>
      </c>
      <c r="U560" t="s">
        <v>31</v>
      </c>
      <c r="V560" t="s">
        <v>31</v>
      </c>
      <c r="W560" t="s">
        <v>31</v>
      </c>
      <c r="X560" t="s">
        <v>31</v>
      </c>
      <c r="Y560" t="s">
        <v>31</v>
      </c>
    </row>
    <row r="561" spans="1:25" hidden="1">
      <c r="A561" t="s">
        <v>25</v>
      </c>
      <c r="B561" t="s">
        <v>26</v>
      </c>
      <c r="C561" t="s">
        <v>46</v>
      </c>
      <c r="D561" s="1">
        <v>42228</v>
      </c>
      <c r="E561" s="2">
        <v>0.8125</v>
      </c>
      <c r="F561" t="s">
        <v>43</v>
      </c>
      <c r="G561" t="s">
        <v>37</v>
      </c>
      <c r="H561">
        <v>2</v>
      </c>
      <c r="I561">
        <v>3</v>
      </c>
      <c r="J561" t="s">
        <v>30</v>
      </c>
      <c r="K561">
        <v>202</v>
      </c>
      <c r="L561">
        <v>381</v>
      </c>
      <c r="M561">
        <v>374</v>
      </c>
      <c r="N561">
        <v>215</v>
      </c>
      <c r="O561">
        <v>39</v>
      </c>
      <c r="P561">
        <v>379</v>
      </c>
      <c r="Q561">
        <v>201</v>
      </c>
      <c r="R561">
        <v>353</v>
      </c>
      <c r="S561">
        <v>344</v>
      </c>
      <c r="T561" t="s">
        <v>31</v>
      </c>
      <c r="U561" t="s">
        <v>31</v>
      </c>
      <c r="V561" t="s">
        <v>31</v>
      </c>
      <c r="W561" t="s">
        <v>31</v>
      </c>
      <c r="X561" t="s">
        <v>31</v>
      </c>
      <c r="Y561" t="s">
        <v>31</v>
      </c>
    </row>
    <row r="562" spans="1:25" hidden="1">
      <c r="A562" t="s">
        <v>25</v>
      </c>
      <c r="B562" t="s">
        <v>26</v>
      </c>
      <c r="C562" t="s">
        <v>46</v>
      </c>
      <c r="D562" s="1">
        <v>42231</v>
      </c>
      <c r="E562" s="2">
        <v>0.625</v>
      </c>
      <c r="F562" t="s">
        <v>40</v>
      </c>
      <c r="G562" t="s">
        <v>32</v>
      </c>
      <c r="H562">
        <v>5</v>
      </c>
      <c r="I562">
        <v>1</v>
      </c>
      <c r="J562" t="s">
        <v>34</v>
      </c>
      <c r="K562">
        <v>157</v>
      </c>
      <c r="L562">
        <v>436</v>
      </c>
      <c r="M562">
        <v>629</v>
      </c>
      <c r="N562">
        <v>157</v>
      </c>
      <c r="O562">
        <v>485</v>
      </c>
      <c r="P562">
        <v>7</v>
      </c>
      <c r="Q562">
        <v>152</v>
      </c>
      <c r="R562">
        <v>409</v>
      </c>
      <c r="S562">
        <v>589</v>
      </c>
      <c r="T562" t="s">
        <v>31</v>
      </c>
      <c r="U562" t="s">
        <v>31</v>
      </c>
      <c r="V562" t="s">
        <v>31</v>
      </c>
      <c r="W562" t="s">
        <v>31</v>
      </c>
      <c r="X562" t="s">
        <v>31</v>
      </c>
      <c r="Y562" t="s">
        <v>31</v>
      </c>
    </row>
    <row r="563" spans="1:25" hidden="1">
      <c r="A563" t="s">
        <v>25</v>
      </c>
      <c r="B563" t="s">
        <v>26</v>
      </c>
      <c r="C563" t="s">
        <v>46</v>
      </c>
      <c r="D563" s="1">
        <v>42231</v>
      </c>
      <c r="E563" s="2">
        <v>0.72916666666666663</v>
      </c>
      <c r="F563" t="s">
        <v>39</v>
      </c>
      <c r="G563" t="s">
        <v>43</v>
      </c>
      <c r="H563">
        <v>3</v>
      </c>
      <c r="I563">
        <v>2</v>
      </c>
      <c r="J563" t="s">
        <v>34</v>
      </c>
      <c r="K563">
        <v>206</v>
      </c>
      <c r="L563">
        <v>375</v>
      </c>
      <c r="M563">
        <v>366</v>
      </c>
      <c r="N563">
        <v>224</v>
      </c>
      <c r="O563">
        <v>378</v>
      </c>
      <c r="P563">
        <v>366</v>
      </c>
      <c r="Q563">
        <v>205</v>
      </c>
      <c r="R563">
        <v>347</v>
      </c>
      <c r="S563">
        <v>341</v>
      </c>
      <c r="T563" t="s">
        <v>31</v>
      </c>
      <c r="U563" t="s">
        <v>31</v>
      </c>
      <c r="V563" t="s">
        <v>31</v>
      </c>
      <c r="W563" t="s">
        <v>31</v>
      </c>
      <c r="X563" t="s">
        <v>31</v>
      </c>
      <c r="Y563" t="s">
        <v>31</v>
      </c>
    </row>
    <row r="564" spans="1:25" hidden="1">
      <c r="A564" t="s">
        <v>25</v>
      </c>
      <c r="B564" t="s">
        <v>26</v>
      </c>
      <c r="C564" t="s">
        <v>46</v>
      </c>
      <c r="D564" s="1">
        <v>42231</v>
      </c>
      <c r="E564" s="2">
        <v>0.72916666666666663</v>
      </c>
      <c r="F564" t="s">
        <v>37</v>
      </c>
      <c r="G564" t="s">
        <v>38</v>
      </c>
      <c r="H564">
        <v>3</v>
      </c>
      <c r="I564">
        <v>1</v>
      </c>
      <c r="J564" t="s">
        <v>34</v>
      </c>
      <c r="K564">
        <v>212</v>
      </c>
      <c r="L564">
        <v>369</v>
      </c>
      <c r="M564">
        <v>355</v>
      </c>
      <c r="N564">
        <v>215</v>
      </c>
      <c r="O564">
        <v>375</v>
      </c>
      <c r="P564">
        <v>394</v>
      </c>
      <c r="Q564">
        <v>202</v>
      </c>
      <c r="R564">
        <v>343</v>
      </c>
      <c r="S564">
        <v>352</v>
      </c>
      <c r="T564" t="s">
        <v>31</v>
      </c>
      <c r="U564" t="s">
        <v>31</v>
      </c>
      <c r="V564" t="s">
        <v>31</v>
      </c>
      <c r="W564" t="s">
        <v>31</v>
      </c>
      <c r="X564" t="s">
        <v>31</v>
      </c>
      <c r="Y564" t="s">
        <v>31</v>
      </c>
    </row>
    <row r="565" spans="1:25" hidden="1">
      <c r="A565" t="s">
        <v>25</v>
      </c>
      <c r="B565" t="s">
        <v>26</v>
      </c>
      <c r="C565" t="s">
        <v>46</v>
      </c>
      <c r="D565" s="1">
        <v>42231</v>
      </c>
      <c r="E565" s="2">
        <v>0.72916666666666663</v>
      </c>
      <c r="F565" t="s">
        <v>29</v>
      </c>
      <c r="G565" t="s">
        <v>45</v>
      </c>
      <c r="H565">
        <v>2</v>
      </c>
      <c r="I565">
        <v>0</v>
      </c>
      <c r="J565" t="s">
        <v>34</v>
      </c>
      <c r="K565">
        <v>119</v>
      </c>
      <c r="L565">
        <v>79</v>
      </c>
      <c r="M565">
        <v>166</v>
      </c>
      <c r="N565">
        <v>125</v>
      </c>
      <c r="O565">
        <v>798</v>
      </c>
      <c r="P565">
        <v>21</v>
      </c>
      <c r="Q565">
        <v>118</v>
      </c>
      <c r="R565">
        <v>682</v>
      </c>
      <c r="S565">
        <v>1346</v>
      </c>
      <c r="T565" t="s">
        <v>31</v>
      </c>
      <c r="U565" t="s">
        <v>31</v>
      </c>
      <c r="V565" t="s">
        <v>31</v>
      </c>
      <c r="W565" t="s">
        <v>31</v>
      </c>
      <c r="X565" t="s">
        <v>31</v>
      </c>
      <c r="Y565" t="s">
        <v>31</v>
      </c>
    </row>
    <row r="566" spans="1:25" hidden="1">
      <c r="A566" t="s">
        <v>25</v>
      </c>
      <c r="B566" t="s">
        <v>26</v>
      </c>
      <c r="C566" t="s">
        <v>46</v>
      </c>
      <c r="D566" s="1">
        <v>42232</v>
      </c>
      <c r="E566" s="2">
        <v>0.64583333333333337</v>
      </c>
      <c r="F566" t="s">
        <v>28</v>
      </c>
      <c r="G566" t="s">
        <v>35</v>
      </c>
      <c r="H566">
        <v>2</v>
      </c>
      <c r="I566">
        <v>2</v>
      </c>
      <c r="J566" t="s">
        <v>41</v>
      </c>
      <c r="K566">
        <v>331</v>
      </c>
      <c r="L566">
        <v>351</v>
      </c>
      <c r="M566">
        <v>228</v>
      </c>
      <c r="N566">
        <v>331</v>
      </c>
      <c r="O566">
        <v>37</v>
      </c>
      <c r="P566">
        <v>239</v>
      </c>
      <c r="Q566">
        <v>303</v>
      </c>
      <c r="R566">
        <v>337</v>
      </c>
      <c r="S566">
        <v>224</v>
      </c>
      <c r="T566" t="s">
        <v>31</v>
      </c>
      <c r="U566" t="s">
        <v>31</v>
      </c>
      <c r="V566" t="s">
        <v>31</v>
      </c>
      <c r="W566" t="s">
        <v>31</v>
      </c>
      <c r="X566" t="s">
        <v>31</v>
      </c>
      <c r="Y566" t="s">
        <v>31</v>
      </c>
    </row>
    <row r="567" spans="1:25" hidden="1">
      <c r="A567" t="s">
        <v>25</v>
      </c>
      <c r="B567" t="s">
        <v>26</v>
      </c>
      <c r="C567" t="s">
        <v>46</v>
      </c>
      <c r="D567" s="1">
        <v>42238</v>
      </c>
      <c r="E567" s="2">
        <v>0.625</v>
      </c>
      <c r="F567" t="s">
        <v>35</v>
      </c>
      <c r="G567" t="s">
        <v>43</v>
      </c>
      <c r="H567">
        <v>3</v>
      </c>
      <c r="I567">
        <v>0</v>
      </c>
      <c r="J567" t="s">
        <v>34</v>
      </c>
      <c r="K567">
        <v>132</v>
      </c>
      <c r="L567">
        <v>634</v>
      </c>
      <c r="M567">
        <v>929</v>
      </c>
      <c r="N567">
        <v>132</v>
      </c>
      <c r="O567">
        <v>634</v>
      </c>
      <c r="P567">
        <v>105</v>
      </c>
      <c r="Q567">
        <v>129</v>
      </c>
      <c r="R567">
        <v>554</v>
      </c>
      <c r="S567">
        <v>896</v>
      </c>
      <c r="T567" t="s">
        <v>31</v>
      </c>
      <c r="U567" t="s">
        <v>31</v>
      </c>
      <c r="V567" t="s">
        <v>31</v>
      </c>
      <c r="W567" t="s">
        <v>31</v>
      </c>
      <c r="X567" t="s">
        <v>31</v>
      </c>
      <c r="Y567" t="s">
        <v>31</v>
      </c>
    </row>
    <row r="568" spans="1:25" hidden="1">
      <c r="A568" t="s">
        <v>25</v>
      </c>
      <c r="B568" t="s">
        <v>26</v>
      </c>
      <c r="C568" t="s">
        <v>46</v>
      </c>
      <c r="D568" s="1">
        <v>42238</v>
      </c>
      <c r="E568" s="2">
        <v>0.72916666666666663</v>
      </c>
      <c r="F568" t="s">
        <v>32</v>
      </c>
      <c r="G568" t="s">
        <v>39</v>
      </c>
      <c r="H568">
        <v>1</v>
      </c>
      <c r="I568">
        <v>0</v>
      </c>
      <c r="J568" t="s">
        <v>34</v>
      </c>
      <c r="K568">
        <v>218</v>
      </c>
      <c r="L568">
        <v>35</v>
      </c>
      <c r="M568">
        <v>357</v>
      </c>
      <c r="N568">
        <v>22</v>
      </c>
      <c r="O568">
        <v>36</v>
      </c>
      <c r="P568">
        <v>36</v>
      </c>
      <c r="Q568">
        <v>21</v>
      </c>
      <c r="R568">
        <v>338</v>
      </c>
      <c r="S568">
        <v>334</v>
      </c>
      <c r="T568" t="s">
        <v>31</v>
      </c>
      <c r="U568" t="s">
        <v>31</v>
      </c>
      <c r="V568" t="s">
        <v>31</v>
      </c>
      <c r="W568" t="s">
        <v>31</v>
      </c>
      <c r="X568" t="s">
        <v>31</v>
      </c>
      <c r="Y568" t="s">
        <v>31</v>
      </c>
    </row>
    <row r="569" spans="1:25" hidden="1">
      <c r="A569" t="s">
        <v>25</v>
      </c>
      <c r="B569" t="s">
        <v>26</v>
      </c>
      <c r="C569" t="s">
        <v>46</v>
      </c>
      <c r="D569" s="1">
        <v>42238</v>
      </c>
      <c r="E569" s="2">
        <v>0.72916666666666663</v>
      </c>
      <c r="F569" t="s">
        <v>38</v>
      </c>
      <c r="G569" t="s">
        <v>28</v>
      </c>
      <c r="H569">
        <v>1</v>
      </c>
      <c r="I569">
        <v>0</v>
      </c>
      <c r="J569" t="s">
        <v>34</v>
      </c>
      <c r="K569">
        <v>403</v>
      </c>
      <c r="L569">
        <v>382</v>
      </c>
      <c r="M569">
        <v>194</v>
      </c>
      <c r="N569">
        <v>45</v>
      </c>
      <c r="O569">
        <v>382</v>
      </c>
      <c r="P569">
        <v>198</v>
      </c>
      <c r="Q569">
        <v>385</v>
      </c>
      <c r="R569">
        <v>356</v>
      </c>
      <c r="S569">
        <v>189</v>
      </c>
      <c r="T569" t="s">
        <v>31</v>
      </c>
      <c r="U569" t="s">
        <v>31</v>
      </c>
      <c r="V569" t="s">
        <v>31</v>
      </c>
      <c r="W569" t="s">
        <v>31</v>
      </c>
      <c r="X569" t="s">
        <v>31</v>
      </c>
      <c r="Y569" t="s">
        <v>31</v>
      </c>
    </row>
    <row r="570" spans="1:25" hidden="1">
      <c r="A570" t="s">
        <v>25</v>
      </c>
      <c r="B570" t="s">
        <v>26</v>
      </c>
      <c r="C570" t="s">
        <v>46</v>
      </c>
      <c r="D570" s="1">
        <v>42239</v>
      </c>
      <c r="E570" s="2">
        <v>0.64583333333333337</v>
      </c>
      <c r="F570" t="s">
        <v>29</v>
      </c>
      <c r="G570" t="s">
        <v>40</v>
      </c>
      <c r="H570">
        <v>2</v>
      </c>
      <c r="I570">
        <v>2</v>
      </c>
      <c r="J570" t="s">
        <v>41</v>
      </c>
      <c r="K570">
        <v>183</v>
      </c>
      <c r="L570">
        <v>398</v>
      </c>
      <c r="M570">
        <v>438</v>
      </c>
      <c r="N570">
        <v>2</v>
      </c>
      <c r="O570">
        <v>405</v>
      </c>
      <c r="P570">
        <v>475</v>
      </c>
      <c r="Q570">
        <v>181</v>
      </c>
      <c r="R570">
        <v>375</v>
      </c>
      <c r="S570">
        <v>397</v>
      </c>
      <c r="T570" t="s">
        <v>31</v>
      </c>
      <c r="U570" t="s">
        <v>31</v>
      </c>
      <c r="V570" t="s">
        <v>31</v>
      </c>
      <c r="W570" t="s">
        <v>31</v>
      </c>
      <c r="X570" t="s">
        <v>31</v>
      </c>
      <c r="Y570" t="s">
        <v>31</v>
      </c>
    </row>
    <row r="571" spans="1:25" hidden="1">
      <c r="A571" t="s">
        <v>25</v>
      </c>
      <c r="B571" t="s">
        <v>26</v>
      </c>
      <c r="C571" t="s">
        <v>46</v>
      </c>
      <c r="D571" s="1">
        <v>42239</v>
      </c>
      <c r="E571" s="2">
        <v>0.75</v>
      </c>
      <c r="F571" t="s">
        <v>45</v>
      </c>
      <c r="G571" t="s">
        <v>37</v>
      </c>
      <c r="H571">
        <v>1</v>
      </c>
      <c r="I571">
        <v>2</v>
      </c>
      <c r="J571" t="s">
        <v>30</v>
      </c>
      <c r="K571">
        <v>216</v>
      </c>
      <c r="L571">
        <v>358</v>
      </c>
      <c r="M571">
        <v>357</v>
      </c>
      <c r="N571">
        <v>22</v>
      </c>
      <c r="O571">
        <v>358</v>
      </c>
      <c r="P571">
        <v>361</v>
      </c>
      <c r="Q571">
        <v>21</v>
      </c>
      <c r="R571">
        <v>339</v>
      </c>
      <c r="S571">
        <v>333</v>
      </c>
      <c r="T571" t="s">
        <v>31</v>
      </c>
      <c r="U571" t="s">
        <v>31</v>
      </c>
      <c r="V571" t="s">
        <v>31</v>
      </c>
      <c r="W571" t="s">
        <v>31</v>
      </c>
      <c r="X571" t="s">
        <v>31</v>
      </c>
      <c r="Y571" t="s">
        <v>31</v>
      </c>
    </row>
    <row r="572" spans="1:25" hidden="1">
      <c r="A572" t="s">
        <v>25</v>
      </c>
      <c r="B572" t="s">
        <v>26</v>
      </c>
      <c r="C572" t="s">
        <v>46</v>
      </c>
      <c r="D572" s="1">
        <v>42245</v>
      </c>
      <c r="E572" s="2">
        <v>0.625</v>
      </c>
      <c r="F572" t="s">
        <v>37</v>
      </c>
      <c r="G572" t="s">
        <v>40</v>
      </c>
      <c r="H572">
        <v>0</v>
      </c>
      <c r="I572">
        <v>1</v>
      </c>
      <c r="J572" t="s">
        <v>30</v>
      </c>
      <c r="K572">
        <v>41</v>
      </c>
      <c r="L572">
        <v>38</v>
      </c>
      <c r="M572">
        <v>193</v>
      </c>
      <c r="N572">
        <v>433</v>
      </c>
      <c r="O572">
        <v>39</v>
      </c>
      <c r="P572">
        <v>2</v>
      </c>
      <c r="Q572">
        <v>393</v>
      </c>
      <c r="R572">
        <v>361</v>
      </c>
      <c r="S572">
        <v>186</v>
      </c>
      <c r="T572" t="s">
        <v>31</v>
      </c>
      <c r="U572" t="s">
        <v>31</v>
      </c>
      <c r="V572" t="s">
        <v>31</v>
      </c>
      <c r="W572" t="s">
        <v>31</v>
      </c>
      <c r="X572" t="s">
        <v>31</v>
      </c>
      <c r="Y572" t="s">
        <v>31</v>
      </c>
    </row>
    <row r="573" spans="1:25" hidden="1">
      <c r="A573" t="s">
        <v>25</v>
      </c>
      <c r="B573" t="s">
        <v>26</v>
      </c>
      <c r="C573" t="s">
        <v>46</v>
      </c>
      <c r="D573" s="1">
        <v>42245</v>
      </c>
      <c r="E573" s="2">
        <v>0.72916666666666663</v>
      </c>
      <c r="F573" t="s">
        <v>43</v>
      </c>
      <c r="G573" t="s">
        <v>38</v>
      </c>
      <c r="H573">
        <v>4</v>
      </c>
      <c r="I573">
        <v>1</v>
      </c>
      <c r="J573" t="s">
        <v>34</v>
      </c>
      <c r="K573">
        <v>248</v>
      </c>
      <c r="L573">
        <v>365</v>
      </c>
      <c r="M573">
        <v>287</v>
      </c>
      <c r="N573">
        <v>249</v>
      </c>
      <c r="O573">
        <v>365</v>
      </c>
      <c r="P573">
        <v>32</v>
      </c>
      <c r="Q573">
        <v>234</v>
      </c>
      <c r="R573">
        <v>338</v>
      </c>
      <c r="S573">
        <v>288</v>
      </c>
      <c r="T573" t="s">
        <v>31</v>
      </c>
      <c r="U573" t="s">
        <v>31</v>
      </c>
      <c r="V573" t="s">
        <v>31</v>
      </c>
      <c r="W573" t="s">
        <v>31</v>
      </c>
      <c r="X573" t="s">
        <v>31</v>
      </c>
      <c r="Y573" t="s">
        <v>31</v>
      </c>
    </row>
    <row r="574" spans="1:25" hidden="1">
      <c r="A574" t="s">
        <v>25</v>
      </c>
      <c r="B574" t="s">
        <v>26</v>
      </c>
      <c r="C574" t="s">
        <v>46</v>
      </c>
      <c r="D574" s="1">
        <v>42245</v>
      </c>
      <c r="E574" s="2">
        <v>0.72916666666666663</v>
      </c>
      <c r="F574" t="s">
        <v>35</v>
      </c>
      <c r="G574" t="s">
        <v>32</v>
      </c>
      <c r="H574">
        <v>2</v>
      </c>
      <c r="I574">
        <v>4</v>
      </c>
      <c r="J574" t="s">
        <v>30</v>
      </c>
      <c r="K574">
        <v>125</v>
      </c>
      <c r="L574">
        <v>693</v>
      </c>
      <c r="M574">
        <v>1266</v>
      </c>
      <c r="N574">
        <v>13</v>
      </c>
      <c r="O574">
        <v>693</v>
      </c>
      <c r="P574">
        <v>1266</v>
      </c>
      <c r="Q574">
        <v>124</v>
      </c>
      <c r="R574">
        <v>604</v>
      </c>
      <c r="S574">
        <v>1056</v>
      </c>
      <c r="T574" t="s">
        <v>31</v>
      </c>
      <c r="U574" t="s">
        <v>31</v>
      </c>
      <c r="V574" t="s">
        <v>31</v>
      </c>
      <c r="W574" t="s">
        <v>31</v>
      </c>
      <c r="X574" t="s">
        <v>31</v>
      </c>
      <c r="Y574" t="s">
        <v>31</v>
      </c>
    </row>
    <row r="575" spans="1:25" hidden="1">
      <c r="A575" t="s">
        <v>25</v>
      </c>
      <c r="B575" t="s">
        <v>26</v>
      </c>
      <c r="C575" t="s">
        <v>46</v>
      </c>
      <c r="D575" s="1">
        <v>42246</v>
      </c>
      <c r="E575" s="2">
        <v>0.64583333333333337</v>
      </c>
      <c r="F575" t="s">
        <v>28</v>
      </c>
      <c r="G575" t="s">
        <v>29</v>
      </c>
      <c r="H575">
        <v>2</v>
      </c>
      <c r="I575">
        <v>3</v>
      </c>
      <c r="J575" t="s">
        <v>30</v>
      </c>
      <c r="K575">
        <v>248</v>
      </c>
      <c r="L575">
        <v>353</v>
      </c>
      <c r="M575">
        <v>294</v>
      </c>
      <c r="N575">
        <v>3</v>
      </c>
      <c r="O575">
        <v>36</v>
      </c>
      <c r="P575">
        <v>294</v>
      </c>
      <c r="Q575">
        <v>253</v>
      </c>
      <c r="R575">
        <v>338</v>
      </c>
      <c r="S575">
        <v>263</v>
      </c>
      <c r="T575" t="s">
        <v>31</v>
      </c>
      <c r="U575" t="s">
        <v>31</v>
      </c>
      <c r="V575" t="s">
        <v>31</v>
      </c>
      <c r="W575" t="s">
        <v>31</v>
      </c>
      <c r="X575" t="s">
        <v>31</v>
      </c>
      <c r="Y575" t="s">
        <v>31</v>
      </c>
    </row>
    <row r="576" spans="1:25" hidden="1">
      <c r="A576" t="s">
        <v>25</v>
      </c>
      <c r="B576" t="s">
        <v>26</v>
      </c>
      <c r="C576" t="s">
        <v>46</v>
      </c>
      <c r="D576" s="1">
        <v>42246</v>
      </c>
      <c r="E576" s="2">
        <v>0.75</v>
      </c>
      <c r="F576" t="s">
        <v>39</v>
      </c>
      <c r="G576" t="s">
        <v>45</v>
      </c>
      <c r="H576">
        <v>0</v>
      </c>
      <c r="I576">
        <v>2</v>
      </c>
      <c r="J576" t="s">
        <v>30</v>
      </c>
      <c r="K576">
        <v>207</v>
      </c>
      <c r="L576">
        <v>355</v>
      </c>
      <c r="M576">
        <v>382</v>
      </c>
      <c r="N576">
        <v>207</v>
      </c>
      <c r="O576">
        <v>36</v>
      </c>
      <c r="P576">
        <v>391</v>
      </c>
      <c r="Q576">
        <v>201</v>
      </c>
      <c r="R576">
        <v>342</v>
      </c>
      <c r="S576">
        <v>357</v>
      </c>
      <c r="T576" t="s">
        <v>31</v>
      </c>
      <c r="U576" t="s">
        <v>31</v>
      </c>
      <c r="V576" t="s">
        <v>31</v>
      </c>
      <c r="W576" t="s">
        <v>31</v>
      </c>
      <c r="X576" t="s">
        <v>31</v>
      </c>
      <c r="Y576" t="s">
        <v>31</v>
      </c>
    </row>
    <row r="577" spans="1:25" hidden="1">
      <c r="A577" t="s">
        <v>25</v>
      </c>
      <c r="B577" t="s">
        <v>26</v>
      </c>
      <c r="C577" t="s">
        <v>46</v>
      </c>
      <c r="D577" s="1">
        <v>42259</v>
      </c>
      <c r="E577" s="2">
        <v>0.625</v>
      </c>
      <c r="F577" t="s">
        <v>45</v>
      </c>
      <c r="G577" t="s">
        <v>35</v>
      </c>
      <c r="H577">
        <v>2</v>
      </c>
      <c r="I577">
        <v>0</v>
      </c>
      <c r="J577" t="s">
        <v>34</v>
      </c>
      <c r="K577">
        <v>492</v>
      </c>
      <c r="L577">
        <v>405</v>
      </c>
      <c r="M577">
        <v>174</v>
      </c>
      <c r="N577">
        <v>55</v>
      </c>
      <c r="O577">
        <v>425</v>
      </c>
      <c r="P577">
        <v>181</v>
      </c>
      <c r="Q577">
        <v>467</v>
      </c>
      <c r="R577">
        <v>381</v>
      </c>
      <c r="S577">
        <v>168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  <c r="Y577" t="s">
        <v>31</v>
      </c>
    </row>
    <row r="578" spans="1:25" hidden="1">
      <c r="A578" t="s">
        <v>25</v>
      </c>
      <c r="B578" t="s">
        <v>26</v>
      </c>
      <c r="C578" t="s">
        <v>46</v>
      </c>
      <c r="D578" s="1">
        <v>42259</v>
      </c>
      <c r="E578" s="2">
        <v>0.72916666666666663</v>
      </c>
      <c r="F578" t="s">
        <v>37</v>
      </c>
      <c r="G578" t="s">
        <v>39</v>
      </c>
      <c r="H578">
        <v>1</v>
      </c>
      <c r="I578">
        <v>0</v>
      </c>
      <c r="J578" t="s">
        <v>34</v>
      </c>
      <c r="K578">
        <v>217</v>
      </c>
      <c r="L578">
        <v>35</v>
      </c>
      <c r="M578">
        <v>36</v>
      </c>
      <c r="N578">
        <v>219</v>
      </c>
      <c r="O578">
        <v>36</v>
      </c>
      <c r="P578">
        <v>36</v>
      </c>
      <c r="Q578">
        <v>209</v>
      </c>
      <c r="R578">
        <v>338</v>
      </c>
      <c r="S578">
        <v>337</v>
      </c>
      <c r="T578" t="s">
        <v>31</v>
      </c>
      <c r="U578" t="s">
        <v>31</v>
      </c>
      <c r="V578" t="s">
        <v>31</v>
      </c>
      <c r="W578" t="s">
        <v>31</v>
      </c>
      <c r="X578" t="s">
        <v>31</v>
      </c>
      <c r="Y578" t="s">
        <v>31</v>
      </c>
    </row>
    <row r="579" spans="1:25" hidden="1">
      <c r="A579" t="s">
        <v>25</v>
      </c>
      <c r="B579" t="s">
        <v>26</v>
      </c>
      <c r="C579" t="s">
        <v>46</v>
      </c>
      <c r="D579" s="1">
        <v>42259</v>
      </c>
      <c r="E579" s="2">
        <v>0.72916666666666663</v>
      </c>
      <c r="F579" t="s">
        <v>40</v>
      </c>
      <c r="G579" t="s">
        <v>38</v>
      </c>
      <c r="H579">
        <v>1</v>
      </c>
      <c r="I579">
        <v>1</v>
      </c>
      <c r="J579" t="s">
        <v>41</v>
      </c>
      <c r="K579">
        <v>146</v>
      </c>
      <c r="L579">
        <v>48</v>
      </c>
      <c r="M579">
        <v>767</v>
      </c>
      <c r="N579">
        <v>146</v>
      </c>
      <c r="O579">
        <v>52</v>
      </c>
      <c r="P579">
        <v>932</v>
      </c>
      <c r="Q579">
        <v>138</v>
      </c>
      <c r="R579">
        <v>464</v>
      </c>
      <c r="S579">
        <v>767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  <c r="Y579" t="s">
        <v>31</v>
      </c>
    </row>
    <row r="580" spans="1:25" hidden="1">
      <c r="A580" t="s">
        <v>25</v>
      </c>
      <c r="B580" t="s">
        <v>26</v>
      </c>
      <c r="C580" t="s">
        <v>46</v>
      </c>
      <c r="D580" s="1">
        <v>42259</v>
      </c>
      <c r="E580" s="2">
        <v>0.72916666666666663</v>
      </c>
      <c r="F580" t="s">
        <v>29</v>
      </c>
      <c r="G580" t="s">
        <v>43</v>
      </c>
      <c r="H580">
        <v>4</v>
      </c>
      <c r="I580">
        <v>2</v>
      </c>
      <c r="J580" t="s">
        <v>34</v>
      </c>
      <c r="K580">
        <v>122</v>
      </c>
      <c r="L580">
        <v>792</v>
      </c>
      <c r="M580">
        <v>1323</v>
      </c>
      <c r="N580">
        <v>125</v>
      </c>
      <c r="O580">
        <v>83</v>
      </c>
      <c r="P580">
        <v>17</v>
      </c>
      <c r="Q580">
        <v>118</v>
      </c>
      <c r="R580">
        <v>711</v>
      </c>
      <c r="S580">
        <v>1245</v>
      </c>
      <c r="T580" t="s">
        <v>31</v>
      </c>
      <c r="U580" t="s">
        <v>31</v>
      </c>
      <c r="V580" t="s">
        <v>31</v>
      </c>
      <c r="W580" t="s">
        <v>31</v>
      </c>
      <c r="X580" t="s">
        <v>31</v>
      </c>
      <c r="Y580" t="s">
        <v>31</v>
      </c>
    </row>
    <row r="581" spans="1:25" hidden="1">
      <c r="A581" t="s">
        <v>25</v>
      </c>
      <c r="B581" t="s">
        <v>26</v>
      </c>
      <c r="C581" t="s">
        <v>46</v>
      </c>
      <c r="D581" s="1">
        <v>42260</v>
      </c>
      <c r="E581" s="2">
        <v>0.64583333333333337</v>
      </c>
      <c r="F581" t="s">
        <v>32</v>
      </c>
      <c r="G581" t="s">
        <v>28</v>
      </c>
      <c r="H581">
        <v>2</v>
      </c>
      <c r="I581">
        <v>0</v>
      </c>
      <c r="J581" t="s">
        <v>34</v>
      </c>
      <c r="K581">
        <v>304</v>
      </c>
      <c r="L581">
        <v>362</v>
      </c>
      <c r="M581">
        <v>241</v>
      </c>
      <c r="N581">
        <v>31</v>
      </c>
      <c r="O581">
        <v>362</v>
      </c>
      <c r="P581">
        <v>242</v>
      </c>
      <c r="Q581">
        <v>295</v>
      </c>
      <c r="R581">
        <v>337</v>
      </c>
      <c r="S581">
        <v>23</v>
      </c>
      <c r="T581" t="s">
        <v>31</v>
      </c>
      <c r="U581" t="s">
        <v>31</v>
      </c>
      <c r="V581" t="s">
        <v>31</v>
      </c>
      <c r="W581" t="s">
        <v>31</v>
      </c>
      <c r="X581" t="s">
        <v>31</v>
      </c>
      <c r="Y581" t="s">
        <v>31</v>
      </c>
    </row>
    <row r="582" spans="1:25" hidden="1">
      <c r="A582" t="s">
        <v>25</v>
      </c>
      <c r="B582" t="s">
        <v>26</v>
      </c>
      <c r="C582" t="s">
        <v>46</v>
      </c>
      <c r="D582" s="1">
        <v>42266</v>
      </c>
      <c r="E582" s="2">
        <v>0.625</v>
      </c>
      <c r="F582" t="s">
        <v>28</v>
      </c>
      <c r="G582" t="s">
        <v>40</v>
      </c>
      <c r="H582">
        <v>2</v>
      </c>
      <c r="I582">
        <v>0</v>
      </c>
      <c r="J582" t="s">
        <v>34</v>
      </c>
      <c r="K582">
        <v>225</v>
      </c>
      <c r="L582">
        <v>359</v>
      </c>
      <c r="M582">
        <v>332</v>
      </c>
      <c r="N582">
        <v>236</v>
      </c>
      <c r="O582">
        <v>359</v>
      </c>
      <c r="P582">
        <v>335</v>
      </c>
      <c r="Q582">
        <v>219</v>
      </c>
      <c r="R582">
        <v>338</v>
      </c>
      <c r="S582">
        <v>314</v>
      </c>
      <c r="T582" t="s">
        <v>31</v>
      </c>
      <c r="U582" t="s">
        <v>31</v>
      </c>
      <c r="V582" t="s">
        <v>31</v>
      </c>
      <c r="W582" t="s">
        <v>31</v>
      </c>
      <c r="X582" t="s">
        <v>31</v>
      </c>
      <c r="Y582" t="s">
        <v>31</v>
      </c>
    </row>
    <row r="583" spans="1:25" hidden="1">
      <c r="A583" t="s">
        <v>25</v>
      </c>
      <c r="B583" t="s">
        <v>26</v>
      </c>
      <c r="C583" t="s">
        <v>46</v>
      </c>
      <c r="D583" s="1">
        <v>42266</v>
      </c>
      <c r="E583" s="2">
        <v>0.72916666666666663</v>
      </c>
      <c r="F583" t="s">
        <v>39</v>
      </c>
      <c r="G583" t="s">
        <v>29</v>
      </c>
      <c r="H583">
        <v>1</v>
      </c>
      <c r="I583">
        <v>1</v>
      </c>
      <c r="J583" t="s">
        <v>41</v>
      </c>
      <c r="K583">
        <v>696</v>
      </c>
      <c r="L583">
        <v>488</v>
      </c>
      <c r="M583">
        <v>148</v>
      </c>
      <c r="N583">
        <v>7</v>
      </c>
      <c r="O583">
        <v>5</v>
      </c>
      <c r="P583">
        <v>151</v>
      </c>
      <c r="Q583">
        <v>638</v>
      </c>
      <c r="R583">
        <v>448</v>
      </c>
      <c r="S583">
        <v>145</v>
      </c>
      <c r="T583" t="s">
        <v>31</v>
      </c>
      <c r="U583" t="s">
        <v>31</v>
      </c>
      <c r="V583" t="s">
        <v>31</v>
      </c>
      <c r="W583" t="s">
        <v>31</v>
      </c>
      <c r="X583" t="s">
        <v>31</v>
      </c>
      <c r="Y583" t="s">
        <v>31</v>
      </c>
    </row>
    <row r="584" spans="1:25" hidden="1">
      <c r="A584" t="s">
        <v>25</v>
      </c>
      <c r="B584" t="s">
        <v>26</v>
      </c>
      <c r="C584" t="s">
        <v>46</v>
      </c>
      <c r="D584" s="1">
        <v>42266</v>
      </c>
      <c r="E584" s="2">
        <v>0.72916666666666663</v>
      </c>
      <c r="F584" t="s">
        <v>43</v>
      </c>
      <c r="G584" t="s">
        <v>32</v>
      </c>
      <c r="H584">
        <v>1</v>
      </c>
      <c r="I584">
        <v>1</v>
      </c>
      <c r="J584" t="s">
        <v>41</v>
      </c>
      <c r="K584">
        <v>273</v>
      </c>
      <c r="L584">
        <v>37</v>
      </c>
      <c r="M584">
        <v>258</v>
      </c>
      <c r="N584">
        <v>273</v>
      </c>
      <c r="O584">
        <v>375</v>
      </c>
      <c r="P584">
        <v>264</v>
      </c>
      <c r="Q584">
        <v>26</v>
      </c>
      <c r="R584">
        <v>347</v>
      </c>
      <c r="S584">
        <v>25</v>
      </c>
      <c r="T584" t="s">
        <v>31</v>
      </c>
      <c r="U584" t="s">
        <v>31</v>
      </c>
      <c r="V584" t="s">
        <v>31</v>
      </c>
      <c r="W584" t="s">
        <v>31</v>
      </c>
      <c r="X584" t="s">
        <v>31</v>
      </c>
      <c r="Y584" t="s">
        <v>31</v>
      </c>
    </row>
    <row r="585" spans="1:25" hidden="1">
      <c r="A585" t="s">
        <v>25</v>
      </c>
      <c r="B585" t="s">
        <v>26</v>
      </c>
      <c r="C585" t="s">
        <v>46</v>
      </c>
      <c r="D585" s="1">
        <v>42266</v>
      </c>
      <c r="E585" s="2">
        <v>0.72916666666666663</v>
      </c>
      <c r="F585" t="s">
        <v>38</v>
      </c>
      <c r="G585" t="s">
        <v>45</v>
      </c>
      <c r="H585">
        <v>2</v>
      </c>
      <c r="I585">
        <v>0</v>
      </c>
      <c r="J585" t="s">
        <v>34</v>
      </c>
      <c r="K585">
        <v>214</v>
      </c>
      <c r="L585">
        <v>361</v>
      </c>
      <c r="M585">
        <v>357</v>
      </c>
      <c r="N585">
        <v>222</v>
      </c>
      <c r="O585">
        <v>367</v>
      </c>
      <c r="P585">
        <v>36</v>
      </c>
      <c r="Q585">
        <v>209</v>
      </c>
      <c r="R585">
        <v>34</v>
      </c>
      <c r="S585">
        <v>334</v>
      </c>
      <c r="T585" t="s">
        <v>31</v>
      </c>
      <c r="U585" t="s">
        <v>31</v>
      </c>
      <c r="V585" t="s">
        <v>31</v>
      </c>
      <c r="W585" t="s">
        <v>31</v>
      </c>
      <c r="X585" t="s">
        <v>31</v>
      </c>
      <c r="Y585" t="s">
        <v>31</v>
      </c>
    </row>
    <row r="586" spans="1:25" hidden="1">
      <c r="A586" t="s">
        <v>25</v>
      </c>
      <c r="B586" t="s">
        <v>26</v>
      </c>
      <c r="C586" t="s">
        <v>46</v>
      </c>
      <c r="D586" s="1">
        <v>42267</v>
      </c>
      <c r="E586" s="2">
        <v>0.64583333333333337</v>
      </c>
      <c r="F586" t="s">
        <v>35</v>
      </c>
      <c r="G586" t="s">
        <v>37</v>
      </c>
      <c r="H586">
        <v>2</v>
      </c>
      <c r="I586">
        <v>0</v>
      </c>
      <c r="J586" t="s">
        <v>34</v>
      </c>
      <c r="K586">
        <v>136</v>
      </c>
      <c r="L586">
        <v>566</v>
      </c>
      <c r="M586">
        <v>901</v>
      </c>
      <c r="N586">
        <v>14</v>
      </c>
      <c r="O586">
        <v>58</v>
      </c>
      <c r="P586">
        <v>95</v>
      </c>
      <c r="Q586">
        <v>133</v>
      </c>
      <c r="R586">
        <v>512</v>
      </c>
      <c r="S586">
        <v>821</v>
      </c>
      <c r="T586" t="s">
        <v>31</v>
      </c>
      <c r="U586" t="s">
        <v>31</v>
      </c>
      <c r="V586" t="s">
        <v>31</v>
      </c>
      <c r="W586" t="s">
        <v>31</v>
      </c>
      <c r="X586" t="s">
        <v>31</v>
      </c>
      <c r="Y586" t="s">
        <v>31</v>
      </c>
    </row>
    <row r="587" spans="1:25" hidden="1">
      <c r="A587" t="s">
        <v>25</v>
      </c>
      <c r="B587" t="s">
        <v>26</v>
      </c>
      <c r="C587" t="s">
        <v>46</v>
      </c>
      <c r="D587" s="1">
        <v>42273</v>
      </c>
      <c r="E587" s="2">
        <v>0.625</v>
      </c>
      <c r="F587" t="s">
        <v>38</v>
      </c>
      <c r="G587" t="s">
        <v>35</v>
      </c>
      <c r="H587">
        <v>0</v>
      </c>
      <c r="I587">
        <v>1</v>
      </c>
      <c r="J587" t="s">
        <v>30</v>
      </c>
      <c r="K587">
        <v>483</v>
      </c>
      <c r="L587">
        <v>402</v>
      </c>
      <c r="M587">
        <v>176</v>
      </c>
      <c r="N587">
        <v>509</v>
      </c>
      <c r="O587">
        <v>405</v>
      </c>
      <c r="P587">
        <v>178</v>
      </c>
      <c r="Q587">
        <v>467</v>
      </c>
      <c r="R587">
        <v>373</v>
      </c>
      <c r="S587">
        <v>17</v>
      </c>
      <c r="T587" t="s">
        <v>31</v>
      </c>
      <c r="U587" t="s">
        <v>31</v>
      </c>
      <c r="V587" t="s">
        <v>31</v>
      </c>
      <c r="W587" t="s">
        <v>31</v>
      </c>
      <c r="X587" t="s">
        <v>31</v>
      </c>
      <c r="Y587" t="s">
        <v>31</v>
      </c>
    </row>
    <row r="588" spans="1:25" hidden="1">
      <c r="A588" t="s">
        <v>25</v>
      </c>
      <c r="B588" t="s">
        <v>26</v>
      </c>
      <c r="C588" t="s">
        <v>46</v>
      </c>
      <c r="D588" s="1">
        <v>42273</v>
      </c>
      <c r="E588" s="2">
        <v>0.72916666666666663</v>
      </c>
      <c r="F588" t="s">
        <v>45</v>
      </c>
      <c r="G588" t="s">
        <v>43</v>
      </c>
      <c r="H588">
        <v>1</v>
      </c>
      <c r="I588">
        <v>0</v>
      </c>
      <c r="J588" t="s">
        <v>34</v>
      </c>
      <c r="K588">
        <v>199</v>
      </c>
      <c r="L588">
        <v>375</v>
      </c>
      <c r="M588">
        <v>39</v>
      </c>
      <c r="N588">
        <v>199</v>
      </c>
      <c r="O588">
        <v>388</v>
      </c>
      <c r="P588">
        <v>415</v>
      </c>
      <c r="Q588">
        <v>192</v>
      </c>
      <c r="R588">
        <v>359</v>
      </c>
      <c r="S588">
        <v>372</v>
      </c>
      <c r="T588" t="s">
        <v>31</v>
      </c>
      <c r="U588" t="s">
        <v>31</v>
      </c>
      <c r="V588" t="s">
        <v>31</v>
      </c>
      <c r="W588" t="s">
        <v>31</v>
      </c>
      <c r="X588" t="s">
        <v>31</v>
      </c>
      <c r="Y588" t="s">
        <v>31</v>
      </c>
    </row>
    <row r="589" spans="1:25" hidden="1">
      <c r="A589" t="s">
        <v>25</v>
      </c>
      <c r="B589" t="s">
        <v>26</v>
      </c>
      <c r="C589" t="s">
        <v>46</v>
      </c>
      <c r="D589" s="1">
        <v>42273</v>
      </c>
      <c r="E589" s="2">
        <v>0.72916666666666663</v>
      </c>
      <c r="F589" t="s">
        <v>40</v>
      </c>
      <c r="G589" t="s">
        <v>39</v>
      </c>
      <c r="H589">
        <v>1</v>
      </c>
      <c r="I589">
        <v>0</v>
      </c>
      <c r="J589" t="s">
        <v>34</v>
      </c>
      <c r="K589">
        <v>15</v>
      </c>
      <c r="L589">
        <v>449</v>
      </c>
      <c r="M589">
        <v>745</v>
      </c>
      <c r="N589">
        <v>153</v>
      </c>
      <c r="O589">
        <v>455</v>
      </c>
      <c r="P589">
        <v>745</v>
      </c>
      <c r="Q589">
        <v>148</v>
      </c>
      <c r="R589">
        <v>414</v>
      </c>
      <c r="S589">
        <v>648</v>
      </c>
      <c r="T589" t="s">
        <v>31</v>
      </c>
      <c r="U589" t="s">
        <v>31</v>
      </c>
      <c r="V589" t="s">
        <v>31</v>
      </c>
      <c r="W589" t="s">
        <v>31</v>
      </c>
      <c r="X589" t="s">
        <v>31</v>
      </c>
      <c r="Y589" t="s">
        <v>31</v>
      </c>
    </row>
    <row r="590" spans="1:25" hidden="1">
      <c r="A590" t="s">
        <v>25</v>
      </c>
      <c r="B590" t="s">
        <v>26</v>
      </c>
      <c r="C590" t="s">
        <v>46</v>
      </c>
      <c r="D590" s="1">
        <v>42273</v>
      </c>
      <c r="E590" s="2">
        <v>0.72916666666666663</v>
      </c>
      <c r="F590" t="s">
        <v>29</v>
      </c>
      <c r="G590" t="s">
        <v>32</v>
      </c>
      <c r="H590">
        <v>4</v>
      </c>
      <c r="I590">
        <v>2</v>
      </c>
      <c r="J590" t="s">
        <v>34</v>
      </c>
      <c r="K590">
        <v>129</v>
      </c>
      <c r="L590">
        <v>652</v>
      </c>
      <c r="M590">
        <v>1026</v>
      </c>
      <c r="N590">
        <v>13</v>
      </c>
      <c r="O590">
        <v>67</v>
      </c>
      <c r="P590">
        <v>11</v>
      </c>
      <c r="Q590">
        <v>126</v>
      </c>
      <c r="R590">
        <v>589</v>
      </c>
      <c r="S590">
        <v>943</v>
      </c>
      <c r="T590" t="s">
        <v>31</v>
      </c>
      <c r="U590" t="s">
        <v>31</v>
      </c>
      <c r="V590" t="s">
        <v>31</v>
      </c>
      <c r="W590" t="s">
        <v>31</v>
      </c>
      <c r="X590" t="s">
        <v>31</v>
      </c>
      <c r="Y590" t="s">
        <v>31</v>
      </c>
    </row>
    <row r="591" spans="1:25" hidden="1">
      <c r="A591" t="s">
        <v>25</v>
      </c>
      <c r="B591" t="s">
        <v>26</v>
      </c>
      <c r="C591" t="s">
        <v>46</v>
      </c>
      <c r="D591" s="1">
        <v>42274</v>
      </c>
      <c r="E591" s="2">
        <v>0.64583333333333337</v>
      </c>
      <c r="F591" t="s">
        <v>37</v>
      </c>
      <c r="G591" t="s">
        <v>28</v>
      </c>
      <c r="H591">
        <v>0</v>
      </c>
      <c r="I591">
        <v>1</v>
      </c>
      <c r="J591" t="s">
        <v>30</v>
      </c>
      <c r="K591">
        <v>418</v>
      </c>
      <c r="L591">
        <v>376</v>
      </c>
      <c r="M591">
        <v>193</v>
      </c>
      <c r="N591">
        <v>418</v>
      </c>
      <c r="O591">
        <v>38</v>
      </c>
      <c r="P591">
        <v>21</v>
      </c>
      <c r="Q591">
        <v>376</v>
      </c>
      <c r="R591">
        <v>353</v>
      </c>
      <c r="S591">
        <v>191</v>
      </c>
      <c r="T591" t="s">
        <v>31</v>
      </c>
      <c r="U591" t="s">
        <v>31</v>
      </c>
      <c r="V591" t="s">
        <v>31</v>
      </c>
      <c r="W591" t="s">
        <v>31</v>
      </c>
      <c r="X591" t="s">
        <v>31</v>
      </c>
      <c r="Y591" t="s">
        <v>31</v>
      </c>
    </row>
    <row r="592" spans="1:25" hidden="1">
      <c r="A592" t="s">
        <v>25</v>
      </c>
      <c r="B592" t="s">
        <v>26</v>
      </c>
      <c r="C592" t="s">
        <v>46</v>
      </c>
      <c r="D592" s="1">
        <v>42280</v>
      </c>
      <c r="E592" s="2">
        <v>0.625</v>
      </c>
      <c r="F592" t="s">
        <v>43</v>
      </c>
      <c r="G592" t="s">
        <v>28</v>
      </c>
      <c r="H592">
        <v>3</v>
      </c>
      <c r="I592">
        <v>0</v>
      </c>
      <c r="J592" t="s">
        <v>34</v>
      </c>
      <c r="K592">
        <v>429</v>
      </c>
      <c r="L592">
        <v>379</v>
      </c>
      <c r="M592">
        <v>189</v>
      </c>
      <c r="N592">
        <v>429</v>
      </c>
      <c r="O592">
        <v>38</v>
      </c>
      <c r="P592">
        <v>197</v>
      </c>
      <c r="Q592">
        <v>395</v>
      </c>
      <c r="R592">
        <v>356</v>
      </c>
      <c r="S592">
        <v>186</v>
      </c>
      <c r="T592" t="s">
        <v>31</v>
      </c>
      <c r="U592" t="s">
        <v>31</v>
      </c>
      <c r="V592" t="s">
        <v>31</v>
      </c>
      <c r="W592" t="s">
        <v>31</v>
      </c>
      <c r="X592" t="s">
        <v>31</v>
      </c>
      <c r="Y592" t="s">
        <v>31</v>
      </c>
    </row>
    <row r="593" spans="1:25" hidden="1">
      <c r="A593" t="s">
        <v>25</v>
      </c>
      <c r="B593" t="s">
        <v>26</v>
      </c>
      <c r="C593" t="s">
        <v>46</v>
      </c>
      <c r="D593" s="1">
        <v>42280</v>
      </c>
      <c r="E593" s="2">
        <v>0.72916666666666663</v>
      </c>
      <c r="F593" t="s">
        <v>39</v>
      </c>
      <c r="G593" t="s">
        <v>38</v>
      </c>
      <c r="H593">
        <v>1</v>
      </c>
      <c r="I593">
        <v>1</v>
      </c>
      <c r="J593" t="s">
        <v>41</v>
      </c>
      <c r="K593">
        <v>225</v>
      </c>
      <c r="L593">
        <v>34</v>
      </c>
      <c r="M593">
        <v>349</v>
      </c>
      <c r="N593">
        <v>229</v>
      </c>
      <c r="O593">
        <v>37</v>
      </c>
      <c r="P593">
        <v>349</v>
      </c>
      <c r="Q593">
        <v>216</v>
      </c>
      <c r="R593">
        <v>331</v>
      </c>
      <c r="S593">
        <v>326</v>
      </c>
      <c r="T593" t="s">
        <v>31</v>
      </c>
      <c r="U593" t="s">
        <v>31</v>
      </c>
      <c r="V593" t="s">
        <v>31</v>
      </c>
      <c r="W593" t="s">
        <v>31</v>
      </c>
      <c r="X593" t="s">
        <v>31</v>
      </c>
      <c r="Y593" t="s">
        <v>31</v>
      </c>
    </row>
    <row r="594" spans="1:25" hidden="1">
      <c r="A594" t="s">
        <v>25</v>
      </c>
      <c r="B594" t="s">
        <v>26</v>
      </c>
      <c r="C594" t="s">
        <v>46</v>
      </c>
      <c r="D594" s="1">
        <v>42280</v>
      </c>
      <c r="E594" s="2">
        <v>0.72916666666666663</v>
      </c>
      <c r="F594" t="s">
        <v>45</v>
      </c>
      <c r="G594" t="s">
        <v>40</v>
      </c>
      <c r="H594">
        <v>1</v>
      </c>
      <c r="I594">
        <v>2</v>
      </c>
      <c r="J594" t="s">
        <v>30</v>
      </c>
      <c r="K594">
        <v>289</v>
      </c>
      <c r="L594">
        <v>348</v>
      </c>
      <c r="M594">
        <v>256</v>
      </c>
      <c r="N594">
        <v>31</v>
      </c>
      <c r="O594">
        <v>35</v>
      </c>
      <c r="P594">
        <v>26</v>
      </c>
      <c r="Q594">
        <v>282</v>
      </c>
      <c r="R594">
        <v>329</v>
      </c>
      <c r="S594">
        <v>242</v>
      </c>
      <c r="T594" t="s">
        <v>31</v>
      </c>
      <c r="U594" t="s">
        <v>31</v>
      </c>
      <c r="V594" t="s">
        <v>31</v>
      </c>
      <c r="W594" t="s">
        <v>31</v>
      </c>
      <c r="X594" t="s">
        <v>31</v>
      </c>
      <c r="Y594" t="s">
        <v>31</v>
      </c>
    </row>
    <row r="595" spans="1:25" hidden="1">
      <c r="A595" t="s">
        <v>25</v>
      </c>
      <c r="B595" t="s">
        <v>26</v>
      </c>
      <c r="C595" t="s">
        <v>46</v>
      </c>
      <c r="D595" s="1">
        <v>42280</v>
      </c>
      <c r="E595" s="2">
        <v>0.72916666666666663</v>
      </c>
      <c r="F595" t="s">
        <v>32</v>
      </c>
      <c r="G595" t="s">
        <v>37</v>
      </c>
      <c r="H595">
        <v>0</v>
      </c>
      <c r="I595">
        <v>4</v>
      </c>
      <c r="J595" t="s">
        <v>30</v>
      </c>
      <c r="K595">
        <v>192</v>
      </c>
      <c r="L595">
        <v>39</v>
      </c>
      <c r="M595">
        <v>406</v>
      </c>
      <c r="N595">
        <v>2</v>
      </c>
      <c r="O595">
        <v>39</v>
      </c>
      <c r="P595">
        <v>413</v>
      </c>
      <c r="Q595">
        <v>187</v>
      </c>
      <c r="R595">
        <v>363</v>
      </c>
      <c r="S595">
        <v>382</v>
      </c>
      <c r="T595" t="s">
        <v>31</v>
      </c>
      <c r="U595" t="s">
        <v>31</v>
      </c>
      <c r="V595" t="s">
        <v>31</v>
      </c>
      <c r="W595" t="s">
        <v>31</v>
      </c>
      <c r="X595" t="s">
        <v>31</v>
      </c>
      <c r="Y595" t="s">
        <v>31</v>
      </c>
    </row>
    <row r="596" spans="1:25" hidden="1">
      <c r="A596" t="s">
        <v>25</v>
      </c>
      <c r="B596" t="s">
        <v>26</v>
      </c>
      <c r="C596" t="s">
        <v>46</v>
      </c>
      <c r="D596" s="1">
        <v>42281</v>
      </c>
      <c r="E596" s="2">
        <v>0.64583333333333337</v>
      </c>
      <c r="F596" t="s">
        <v>35</v>
      </c>
      <c r="G596" t="s">
        <v>29</v>
      </c>
      <c r="H596">
        <v>1</v>
      </c>
      <c r="I596">
        <v>2</v>
      </c>
      <c r="J596" t="s">
        <v>30</v>
      </c>
      <c r="K596">
        <v>271</v>
      </c>
      <c r="L596">
        <v>36</v>
      </c>
      <c r="M596">
        <v>264</v>
      </c>
      <c r="N596">
        <v>271</v>
      </c>
      <c r="O596">
        <v>37</v>
      </c>
      <c r="P596">
        <v>279</v>
      </c>
      <c r="Q596">
        <v>254</v>
      </c>
      <c r="R596">
        <v>348</v>
      </c>
      <c r="S596">
        <v>255</v>
      </c>
      <c r="T596" t="s">
        <v>31</v>
      </c>
      <c r="U596" t="s">
        <v>31</v>
      </c>
      <c r="V596" t="s">
        <v>31</v>
      </c>
      <c r="W596" t="s">
        <v>31</v>
      </c>
      <c r="X596" t="s">
        <v>31</v>
      </c>
      <c r="Y596" t="s">
        <v>31</v>
      </c>
    </row>
    <row r="597" spans="1:25" hidden="1">
      <c r="A597" t="s">
        <v>25</v>
      </c>
      <c r="B597" t="s">
        <v>26</v>
      </c>
      <c r="C597" t="s">
        <v>46</v>
      </c>
      <c r="D597" s="1">
        <v>42294</v>
      </c>
      <c r="E597" s="2">
        <v>0.625</v>
      </c>
      <c r="F597" t="s">
        <v>29</v>
      </c>
      <c r="G597" t="s">
        <v>37</v>
      </c>
      <c r="H597">
        <v>8</v>
      </c>
      <c r="I597">
        <v>0</v>
      </c>
      <c r="J597" t="s">
        <v>34</v>
      </c>
      <c r="K597">
        <v>121</v>
      </c>
      <c r="L597">
        <v>821</v>
      </c>
      <c r="M597">
        <v>1333</v>
      </c>
      <c r="N597">
        <v>121</v>
      </c>
      <c r="O597">
        <v>83</v>
      </c>
      <c r="P597">
        <v>19</v>
      </c>
      <c r="Q597">
        <v>118</v>
      </c>
      <c r="R597">
        <v>721</v>
      </c>
      <c r="S597">
        <v>127</v>
      </c>
      <c r="T597" t="s">
        <v>31</v>
      </c>
      <c r="U597" t="s">
        <v>31</v>
      </c>
      <c r="V597" t="s">
        <v>31</v>
      </c>
      <c r="W597" t="s">
        <v>31</v>
      </c>
      <c r="X597" t="s">
        <v>31</v>
      </c>
      <c r="Y597" t="s">
        <v>31</v>
      </c>
    </row>
    <row r="598" spans="1:25" hidden="1">
      <c r="A598" t="s">
        <v>25</v>
      </c>
      <c r="B598" t="s">
        <v>26</v>
      </c>
      <c r="C598" t="s">
        <v>46</v>
      </c>
      <c r="D598" s="1">
        <v>42294</v>
      </c>
      <c r="E598" s="2">
        <v>0.72916666666666663</v>
      </c>
      <c r="F598" t="s">
        <v>40</v>
      </c>
      <c r="G598" t="s">
        <v>43</v>
      </c>
      <c r="H598">
        <v>2</v>
      </c>
      <c r="I598">
        <v>1</v>
      </c>
      <c r="J598" t="s">
        <v>34</v>
      </c>
      <c r="K598">
        <v>151</v>
      </c>
      <c r="L598">
        <v>464</v>
      </c>
      <c r="M598">
        <v>684</v>
      </c>
      <c r="N598">
        <v>157</v>
      </c>
      <c r="O598">
        <v>464</v>
      </c>
      <c r="P598">
        <v>684</v>
      </c>
      <c r="Q598">
        <v>151</v>
      </c>
      <c r="R598">
        <v>423</v>
      </c>
      <c r="S598">
        <v>596</v>
      </c>
      <c r="T598" t="s">
        <v>31</v>
      </c>
      <c r="U598" t="s">
        <v>31</v>
      </c>
      <c r="V598" t="s">
        <v>31</v>
      </c>
      <c r="W598" t="s">
        <v>31</v>
      </c>
      <c r="X598" t="s">
        <v>31</v>
      </c>
      <c r="Y598" t="s">
        <v>31</v>
      </c>
    </row>
    <row r="599" spans="1:25" hidden="1">
      <c r="A599" t="s">
        <v>25</v>
      </c>
      <c r="B599" t="s">
        <v>26</v>
      </c>
      <c r="C599" t="s">
        <v>46</v>
      </c>
      <c r="D599" s="1">
        <v>42294</v>
      </c>
      <c r="E599" s="2">
        <v>0.72916666666666663</v>
      </c>
      <c r="F599" t="s">
        <v>38</v>
      </c>
      <c r="G599" t="s">
        <v>32</v>
      </c>
      <c r="H599">
        <v>0</v>
      </c>
      <c r="I599">
        <v>1</v>
      </c>
      <c r="J599" t="s">
        <v>30</v>
      </c>
      <c r="K599">
        <v>222</v>
      </c>
      <c r="L599">
        <v>36</v>
      </c>
      <c r="M599">
        <v>337</v>
      </c>
      <c r="N599">
        <v>226</v>
      </c>
      <c r="O599">
        <v>37</v>
      </c>
      <c r="P599">
        <v>337</v>
      </c>
      <c r="Q599">
        <v>216</v>
      </c>
      <c r="R599">
        <v>344</v>
      </c>
      <c r="S599">
        <v>317</v>
      </c>
      <c r="T599" t="s">
        <v>31</v>
      </c>
      <c r="U599" t="s">
        <v>31</v>
      </c>
      <c r="V599" t="s">
        <v>31</v>
      </c>
      <c r="W599" t="s">
        <v>31</v>
      </c>
      <c r="X599" t="s">
        <v>31</v>
      </c>
      <c r="Y599" t="s">
        <v>31</v>
      </c>
    </row>
    <row r="600" spans="1:25" hidden="1">
      <c r="A600" t="s">
        <v>25</v>
      </c>
      <c r="B600" t="s">
        <v>26</v>
      </c>
      <c r="C600" t="s">
        <v>46</v>
      </c>
      <c r="D600" s="1">
        <v>42294</v>
      </c>
      <c r="E600" s="2">
        <v>0.72916666666666663</v>
      </c>
      <c r="F600" t="s">
        <v>28</v>
      </c>
      <c r="G600" t="s">
        <v>45</v>
      </c>
      <c r="H600">
        <v>3</v>
      </c>
      <c r="I600">
        <v>1</v>
      </c>
      <c r="J600" t="s">
        <v>34</v>
      </c>
      <c r="K600">
        <v>161</v>
      </c>
      <c r="L600">
        <v>41</v>
      </c>
      <c r="M600">
        <v>617</v>
      </c>
      <c r="N600">
        <v>164</v>
      </c>
      <c r="O600">
        <v>41</v>
      </c>
      <c r="P600">
        <v>625</v>
      </c>
      <c r="Q600">
        <v>158</v>
      </c>
      <c r="R600">
        <v>384</v>
      </c>
      <c r="S600">
        <v>569</v>
      </c>
      <c r="T600" t="s">
        <v>31</v>
      </c>
      <c r="U600" t="s">
        <v>31</v>
      </c>
      <c r="V600" t="s">
        <v>31</v>
      </c>
      <c r="W600" t="s">
        <v>31</v>
      </c>
      <c r="X600" t="s">
        <v>31</v>
      </c>
      <c r="Y600" t="s">
        <v>31</v>
      </c>
    </row>
    <row r="601" spans="1:25" hidden="1">
      <c r="A601" t="s">
        <v>25</v>
      </c>
      <c r="B601" t="s">
        <v>26</v>
      </c>
      <c r="C601" t="s">
        <v>46</v>
      </c>
      <c r="D601" s="1">
        <v>42295</v>
      </c>
      <c r="E601" s="2">
        <v>0.64583333333333337</v>
      </c>
      <c r="F601" t="s">
        <v>39</v>
      </c>
      <c r="G601" t="s">
        <v>35</v>
      </c>
      <c r="H601">
        <v>2</v>
      </c>
      <c r="I601">
        <v>1</v>
      </c>
      <c r="J601" t="s">
        <v>34</v>
      </c>
      <c r="K601">
        <v>45</v>
      </c>
      <c r="L601">
        <v>379</v>
      </c>
      <c r="M601">
        <v>185</v>
      </c>
      <c r="N601">
        <v>46</v>
      </c>
      <c r="O601">
        <v>379</v>
      </c>
      <c r="P601">
        <v>189</v>
      </c>
      <c r="Q601">
        <v>424</v>
      </c>
      <c r="R601">
        <v>355</v>
      </c>
      <c r="S601">
        <v>18</v>
      </c>
      <c r="T601" t="s">
        <v>31</v>
      </c>
      <c r="U601" t="s">
        <v>31</v>
      </c>
      <c r="V601" t="s">
        <v>31</v>
      </c>
      <c r="W601" t="s">
        <v>31</v>
      </c>
      <c r="X601" t="s">
        <v>31</v>
      </c>
      <c r="Y601" t="s">
        <v>31</v>
      </c>
    </row>
    <row r="602" spans="1:25" hidden="1">
      <c r="A602" t="s">
        <v>25</v>
      </c>
      <c r="B602" t="s">
        <v>26</v>
      </c>
      <c r="C602" t="s">
        <v>46</v>
      </c>
      <c r="D602" s="1">
        <v>42301</v>
      </c>
      <c r="E602" s="2">
        <v>0.625</v>
      </c>
      <c r="F602" t="s">
        <v>32</v>
      </c>
      <c r="G602" t="s">
        <v>45</v>
      </c>
      <c r="H602">
        <v>2</v>
      </c>
      <c r="I602">
        <v>1</v>
      </c>
      <c r="J602" t="s">
        <v>34</v>
      </c>
      <c r="K602">
        <v>199</v>
      </c>
      <c r="L602">
        <v>372</v>
      </c>
      <c r="M602">
        <v>393</v>
      </c>
      <c r="N602">
        <v>21</v>
      </c>
      <c r="O602">
        <v>4</v>
      </c>
      <c r="P602">
        <v>4</v>
      </c>
      <c r="Q602">
        <v>196</v>
      </c>
      <c r="R602">
        <v>353</v>
      </c>
      <c r="S602">
        <v>364</v>
      </c>
      <c r="T602" t="s">
        <v>31</v>
      </c>
      <c r="U602" t="s">
        <v>31</v>
      </c>
      <c r="V602" t="s">
        <v>31</v>
      </c>
      <c r="W602" t="s">
        <v>31</v>
      </c>
      <c r="X602" t="s">
        <v>31</v>
      </c>
      <c r="Y602" t="s">
        <v>31</v>
      </c>
    </row>
    <row r="603" spans="1:25" hidden="1">
      <c r="A603" t="s">
        <v>25</v>
      </c>
      <c r="B603" t="s">
        <v>26</v>
      </c>
      <c r="C603" t="s">
        <v>46</v>
      </c>
      <c r="D603" s="1">
        <v>42301</v>
      </c>
      <c r="E603" s="2">
        <v>0.72916666666666663</v>
      </c>
      <c r="F603" t="s">
        <v>37</v>
      </c>
      <c r="G603" t="s">
        <v>43</v>
      </c>
      <c r="H603">
        <v>0</v>
      </c>
      <c r="I603">
        <v>0</v>
      </c>
      <c r="J603" t="s">
        <v>41</v>
      </c>
      <c r="K603">
        <v>235</v>
      </c>
      <c r="L603">
        <v>346</v>
      </c>
      <c r="M603">
        <v>327</v>
      </c>
      <c r="N603">
        <v>235</v>
      </c>
      <c r="O603">
        <v>36</v>
      </c>
      <c r="P603">
        <v>33</v>
      </c>
      <c r="Q603">
        <v>221</v>
      </c>
      <c r="R603">
        <v>338</v>
      </c>
      <c r="S603">
        <v>31</v>
      </c>
      <c r="T603" t="s">
        <v>31</v>
      </c>
      <c r="U603" t="s">
        <v>31</v>
      </c>
      <c r="V603" t="s">
        <v>31</v>
      </c>
      <c r="W603" t="s">
        <v>31</v>
      </c>
      <c r="X603" t="s">
        <v>31</v>
      </c>
      <c r="Y603" t="s">
        <v>31</v>
      </c>
    </row>
    <row r="604" spans="1:25" hidden="1">
      <c r="A604" t="s">
        <v>25</v>
      </c>
      <c r="B604" t="s">
        <v>26</v>
      </c>
      <c r="C604" t="s">
        <v>46</v>
      </c>
      <c r="D604" s="1">
        <v>42301</v>
      </c>
      <c r="E604" s="2">
        <v>0.72916666666666663</v>
      </c>
      <c r="F604" t="s">
        <v>29</v>
      </c>
      <c r="G604" t="s">
        <v>38</v>
      </c>
      <c r="H604">
        <v>2</v>
      </c>
      <c r="I604">
        <v>1</v>
      </c>
      <c r="J604" t="s">
        <v>34</v>
      </c>
      <c r="K604">
        <v>115</v>
      </c>
      <c r="L604">
        <v>992</v>
      </c>
      <c r="M604">
        <v>1816</v>
      </c>
      <c r="N604">
        <v>117</v>
      </c>
      <c r="O604">
        <v>992</v>
      </c>
      <c r="P604">
        <v>23</v>
      </c>
      <c r="Q604">
        <v>114</v>
      </c>
      <c r="R604">
        <v>803</v>
      </c>
      <c r="S604">
        <v>1608</v>
      </c>
      <c r="T604" t="s">
        <v>31</v>
      </c>
      <c r="U604" t="s">
        <v>31</v>
      </c>
      <c r="V604" t="s">
        <v>31</v>
      </c>
      <c r="W604" t="s">
        <v>31</v>
      </c>
      <c r="X604" t="s">
        <v>31</v>
      </c>
      <c r="Y604" t="s">
        <v>31</v>
      </c>
    </row>
    <row r="605" spans="1:25" hidden="1">
      <c r="A605" t="s">
        <v>25</v>
      </c>
      <c r="B605" t="s">
        <v>26</v>
      </c>
      <c r="C605" t="s">
        <v>46</v>
      </c>
      <c r="D605" s="1">
        <v>42301</v>
      </c>
      <c r="E605" s="2">
        <v>0.72916666666666663</v>
      </c>
      <c r="F605" t="s">
        <v>28</v>
      </c>
      <c r="G605" t="s">
        <v>39</v>
      </c>
      <c r="H605">
        <v>2</v>
      </c>
      <c r="I605">
        <v>0</v>
      </c>
      <c r="J605" t="s">
        <v>34</v>
      </c>
      <c r="K605">
        <v>176</v>
      </c>
      <c r="L605">
        <v>384</v>
      </c>
      <c r="M605">
        <v>511</v>
      </c>
      <c r="N605">
        <v>177</v>
      </c>
      <c r="O605">
        <v>39</v>
      </c>
      <c r="P605">
        <v>62</v>
      </c>
      <c r="Q605">
        <v>164</v>
      </c>
      <c r="R605">
        <v>374</v>
      </c>
      <c r="S605">
        <v>516</v>
      </c>
      <c r="T605" t="s">
        <v>31</v>
      </c>
      <c r="U605" t="s">
        <v>31</v>
      </c>
      <c r="V605" t="s">
        <v>31</v>
      </c>
      <c r="W605" t="s">
        <v>31</v>
      </c>
      <c r="X605" t="s">
        <v>31</v>
      </c>
      <c r="Y605" t="s">
        <v>31</v>
      </c>
    </row>
    <row r="606" spans="1:25" hidden="1">
      <c r="A606" t="s">
        <v>25</v>
      </c>
      <c r="B606" t="s">
        <v>26</v>
      </c>
      <c r="C606" t="s">
        <v>46</v>
      </c>
      <c r="D606" s="1">
        <v>42302</v>
      </c>
      <c r="E606" s="2">
        <v>0.64583333333333337</v>
      </c>
      <c r="F606" t="s">
        <v>35</v>
      </c>
      <c r="G606" t="s">
        <v>40</v>
      </c>
      <c r="H606">
        <v>1</v>
      </c>
      <c r="I606">
        <v>2</v>
      </c>
      <c r="J606" t="s">
        <v>30</v>
      </c>
      <c r="K606">
        <v>194</v>
      </c>
      <c r="L606">
        <v>381</v>
      </c>
      <c r="M606">
        <v>403</v>
      </c>
      <c r="N606">
        <v>202</v>
      </c>
      <c r="O606">
        <v>381</v>
      </c>
      <c r="P606">
        <v>425</v>
      </c>
      <c r="Q606">
        <v>19</v>
      </c>
      <c r="R606">
        <v>355</v>
      </c>
      <c r="S606">
        <v>385</v>
      </c>
      <c r="T606" t="s">
        <v>31</v>
      </c>
      <c r="U606" t="s">
        <v>31</v>
      </c>
      <c r="V606" t="s">
        <v>31</v>
      </c>
      <c r="W606" t="s">
        <v>31</v>
      </c>
      <c r="X606" t="s">
        <v>31</v>
      </c>
      <c r="Y606" t="s">
        <v>31</v>
      </c>
    </row>
    <row r="607" spans="1:25" hidden="1">
      <c r="A607" t="s">
        <v>25</v>
      </c>
      <c r="B607" t="s">
        <v>26</v>
      </c>
      <c r="C607" t="s">
        <v>46</v>
      </c>
      <c r="D607" s="1">
        <v>42308</v>
      </c>
      <c r="E607" s="2">
        <v>0.625</v>
      </c>
      <c r="F607" t="s">
        <v>35</v>
      </c>
      <c r="G607" t="s">
        <v>28</v>
      </c>
      <c r="H607">
        <v>2</v>
      </c>
      <c r="I607">
        <v>1</v>
      </c>
      <c r="J607" t="s">
        <v>34</v>
      </c>
      <c r="K607">
        <v>191</v>
      </c>
      <c r="L607">
        <v>373</v>
      </c>
      <c r="M607">
        <v>429</v>
      </c>
      <c r="N607">
        <v>192</v>
      </c>
      <c r="O607">
        <v>375</v>
      </c>
      <c r="P607">
        <v>433</v>
      </c>
      <c r="Q607">
        <v>185</v>
      </c>
      <c r="R607">
        <v>354</v>
      </c>
      <c r="S607">
        <v>408</v>
      </c>
      <c r="T607" t="s">
        <v>31</v>
      </c>
      <c r="U607" t="s">
        <v>31</v>
      </c>
      <c r="V607" t="s">
        <v>31</v>
      </c>
      <c r="W607" t="s">
        <v>31</v>
      </c>
      <c r="X607" t="s">
        <v>31</v>
      </c>
      <c r="Y607" t="s">
        <v>31</v>
      </c>
    </row>
    <row r="608" spans="1:25" hidden="1">
      <c r="A608" t="s">
        <v>25</v>
      </c>
      <c r="B608" t="s">
        <v>26</v>
      </c>
      <c r="C608" t="s">
        <v>46</v>
      </c>
      <c r="D608" s="1">
        <v>42308</v>
      </c>
      <c r="E608" s="2">
        <v>0.72916666666666663</v>
      </c>
      <c r="F608" t="s">
        <v>45</v>
      </c>
      <c r="G608" t="s">
        <v>29</v>
      </c>
      <c r="H608">
        <v>1</v>
      </c>
      <c r="I608">
        <v>0</v>
      </c>
      <c r="J608" t="s">
        <v>34</v>
      </c>
      <c r="K608">
        <v>829</v>
      </c>
      <c r="L608">
        <v>51</v>
      </c>
      <c r="M608">
        <v>141</v>
      </c>
      <c r="N608">
        <v>829</v>
      </c>
      <c r="O608">
        <v>51</v>
      </c>
      <c r="P608">
        <v>145</v>
      </c>
      <c r="Q608">
        <v>717</v>
      </c>
      <c r="R608">
        <v>467</v>
      </c>
      <c r="S608">
        <v>14</v>
      </c>
      <c r="T608" t="s">
        <v>31</v>
      </c>
      <c r="U608" t="s">
        <v>31</v>
      </c>
      <c r="V608" t="s">
        <v>31</v>
      </c>
      <c r="W608" t="s">
        <v>31</v>
      </c>
      <c r="X608" t="s">
        <v>31</v>
      </c>
      <c r="Y608" t="s">
        <v>31</v>
      </c>
    </row>
    <row r="609" spans="1:25" hidden="1">
      <c r="A609" t="s">
        <v>25</v>
      </c>
      <c r="B609" t="s">
        <v>26</v>
      </c>
      <c r="C609" t="s">
        <v>46</v>
      </c>
      <c r="D609" s="1">
        <v>42308</v>
      </c>
      <c r="E609" s="2">
        <v>0.72916666666666663</v>
      </c>
      <c r="F609" t="s">
        <v>43</v>
      </c>
      <c r="G609" t="s">
        <v>39</v>
      </c>
      <c r="H609">
        <v>1</v>
      </c>
      <c r="I609">
        <v>0</v>
      </c>
      <c r="J609" t="s">
        <v>34</v>
      </c>
      <c r="K609">
        <v>237</v>
      </c>
      <c r="L609">
        <v>352</v>
      </c>
      <c r="M609">
        <v>313</v>
      </c>
      <c r="N609">
        <v>24</v>
      </c>
      <c r="O609">
        <v>355</v>
      </c>
      <c r="P609">
        <v>315</v>
      </c>
      <c r="Q609">
        <v>229</v>
      </c>
      <c r="R609">
        <v>334</v>
      </c>
      <c r="S609">
        <v>3</v>
      </c>
      <c r="T609" t="s">
        <v>31</v>
      </c>
      <c r="U609" t="s">
        <v>31</v>
      </c>
      <c r="V609" t="s">
        <v>31</v>
      </c>
      <c r="W609" t="s">
        <v>31</v>
      </c>
      <c r="X609" t="s">
        <v>31</v>
      </c>
      <c r="Y609" t="s">
        <v>31</v>
      </c>
    </row>
    <row r="610" spans="1:25" hidden="1">
      <c r="A610" t="s">
        <v>25</v>
      </c>
      <c r="B610" t="s">
        <v>26</v>
      </c>
      <c r="C610" t="s">
        <v>46</v>
      </c>
      <c r="D610" s="1">
        <v>42308</v>
      </c>
      <c r="E610" s="2">
        <v>0.72916666666666663</v>
      </c>
      <c r="F610" t="s">
        <v>38</v>
      </c>
      <c r="G610" t="s">
        <v>37</v>
      </c>
      <c r="H610">
        <v>1</v>
      </c>
      <c r="I610">
        <v>1</v>
      </c>
      <c r="J610" t="s">
        <v>41</v>
      </c>
      <c r="K610">
        <v>207</v>
      </c>
      <c r="L610">
        <v>362</v>
      </c>
      <c r="M610">
        <v>376</v>
      </c>
      <c r="N610">
        <v>21</v>
      </c>
      <c r="O610">
        <v>366</v>
      </c>
      <c r="P610">
        <v>38</v>
      </c>
      <c r="Q610">
        <v>2</v>
      </c>
      <c r="R610">
        <v>344</v>
      </c>
      <c r="S610">
        <v>357</v>
      </c>
      <c r="T610" t="s">
        <v>31</v>
      </c>
      <c r="U610" t="s">
        <v>31</v>
      </c>
      <c r="V610" t="s">
        <v>31</v>
      </c>
      <c r="W610" t="s">
        <v>31</v>
      </c>
      <c r="X610" t="s">
        <v>31</v>
      </c>
      <c r="Y610" t="s">
        <v>31</v>
      </c>
    </row>
    <row r="611" spans="1:25" hidden="1">
      <c r="A611" t="s">
        <v>25</v>
      </c>
      <c r="B611" t="s">
        <v>26</v>
      </c>
      <c r="C611" t="s">
        <v>46</v>
      </c>
      <c r="D611" s="1">
        <v>42309</v>
      </c>
      <c r="E611" s="2">
        <v>0.64583333333333337</v>
      </c>
      <c r="F611" t="s">
        <v>32</v>
      </c>
      <c r="G611" t="s">
        <v>40</v>
      </c>
      <c r="H611">
        <v>1</v>
      </c>
      <c r="I611">
        <v>2</v>
      </c>
      <c r="J611" t="s">
        <v>30</v>
      </c>
      <c r="K611">
        <v>305</v>
      </c>
      <c r="L611">
        <v>378</v>
      </c>
      <c r="M611">
        <v>231</v>
      </c>
      <c r="N611">
        <v>312</v>
      </c>
      <c r="O611">
        <v>383</v>
      </c>
      <c r="P611">
        <v>24</v>
      </c>
      <c r="Q611">
        <v>294</v>
      </c>
      <c r="R611">
        <v>351</v>
      </c>
      <c r="S611">
        <v>225</v>
      </c>
      <c r="T611" t="s">
        <v>31</v>
      </c>
      <c r="U611" t="s">
        <v>31</v>
      </c>
      <c r="V611" t="s">
        <v>31</v>
      </c>
      <c r="W611" t="s">
        <v>31</v>
      </c>
      <c r="X611" t="s">
        <v>31</v>
      </c>
      <c r="Y611" t="s">
        <v>31</v>
      </c>
    </row>
    <row r="612" spans="1:25" hidden="1">
      <c r="A612" t="s">
        <v>25</v>
      </c>
      <c r="B612" t="s">
        <v>26</v>
      </c>
      <c r="C612" t="s">
        <v>46</v>
      </c>
      <c r="D612" s="1">
        <v>42315</v>
      </c>
      <c r="E612" s="2">
        <v>0.625</v>
      </c>
      <c r="F612" t="s">
        <v>40</v>
      </c>
      <c r="G612" t="s">
        <v>29</v>
      </c>
      <c r="H612">
        <v>1</v>
      </c>
      <c r="I612">
        <v>1</v>
      </c>
      <c r="J612" t="s">
        <v>41</v>
      </c>
      <c r="K612">
        <v>413</v>
      </c>
      <c r="L612">
        <v>397</v>
      </c>
      <c r="M612">
        <v>188</v>
      </c>
      <c r="N612">
        <v>42</v>
      </c>
      <c r="O612">
        <v>4</v>
      </c>
      <c r="P612">
        <v>21</v>
      </c>
      <c r="Q612">
        <v>381</v>
      </c>
      <c r="R612">
        <v>369</v>
      </c>
      <c r="S612">
        <v>187</v>
      </c>
      <c r="T612" t="s">
        <v>31</v>
      </c>
      <c r="U612" t="s">
        <v>31</v>
      </c>
      <c r="V612" t="s">
        <v>31</v>
      </c>
      <c r="W612" t="s">
        <v>31</v>
      </c>
      <c r="X612" t="s">
        <v>31</v>
      </c>
      <c r="Y612" t="s">
        <v>31</v>
      </c>
    </row>
    <row r="613" spans="1:25" hidden="1">
      <c r="A613" t="s">
        <v>25</v>
      </c>
      <c r="B613" t="s">
        <v>26</v>
      </c>
      <c r="C613" t="s">
        <v>46</v>
      </c>
      <c r="D613" s="1">
        <v>42315</v>
      </c>
      <c r="E613" s="2">
        <v>0.72916666666666663</v>
      </c>
      <c r="F613" t="s">
        <v>39</v>
      </c>
      <c r="G613" t="s">
        <v>32</v>
      </c>
      <c r="H613">
        <v>2</v>
      </c>
      <c r="I613">
        <v>1</v>
      </c>
      <c r="J613" t="s">
        <v>34</v>
      </c>
      <c r="K613">
        <v>218</v>
      </c>
      <c r="L613">
        <v>357</v>
      </c>
      <c r="M613">
        <v>35</v>
      </c>
      <c r="N613">
        <v>225</v>
      </c>
      <c r="O613">
        <v>365</v>
      </c>
      <c r="P613">
        <v>35</v>
      </c>
      <c r="Q613">
        <v>216</v>
      </c>
      <c r="R613">
        <v>341</v>
      </c>
      <c r="S613">
        <v>32</v>
      </c>
      <c r="T613" t="s">
        <v>31</v>
      </c>
      <c r="U613" t="s">
        <v>31</v>
      </c>
      <c r="V613" t="s">
        <v>31</v>
      </c>
      <c r="W613" t="s">
        <v>31</v>
      </c>
      <c r="X613" t="s">
        <v>31</v>
      </c>
      <c r="Y613" t="s">
        <v>31</v>
      </c>
    </row>
    <row r="614" spans="1:25" hidden="1">
      <c r="A614" t="s">
        <v>25</v>
      </c>
      <c r="B614" t="s">
        <v>26</v>
      </c>
      <c r="C614" t="s">
        <v>46</v>
      </c>
      <c r="D614" s="1">
        <v>42315</v>
      </c>
      <c r="E614" s="2">
        <v>0.72916666666666663</v>
      </c>
      <c r="F614" t="s">
        <v>37</v>
      </c>
      <c r="G614" t="s">
        <v>45</v>
      </c>
      <c r="H614">
        <v>1</v>
      </c>
      <c r="I614">
        <v>1</v>
      </c>
      <c r="J614" t="s">
        <v>41</v>
      </c>
      <c r="K614">
        <v>238</v>
      </c>
      <c r="L614">
        <v>346</v>
      </c>
      <c r="M614">
        <v>317</v>
      </c>
      <c r="N614">
        <v>238</v>
      </c>
      <c r="O614">
        <v>36</v>
      </c>
      <c r="P614">
        <v>325</v>
      </c>
      <c r="Q614">
        <v>225</v>
      </c>
      <c r="R614">
        <v>337</v>
      </c>
      <c r="S614">
        <v>305</v>
      </c>
      <c r="T614" t="s">
        <v>31</v>
      </c>
      <c r="U614" t="s">
        <v>31</v>
      </c>
      <c r="V614" t="s">
        <v>31</v>
      </c>
      <c r="W614" t="s">
        <v>31</v>
      </c>
      <c r="X614" t="s">
        <v>31</v>
      </c>
      <c r="Y614" t="s">
        <v>31</v>
      </c>
    </row>
    <row r="615" spans="1:25" hidden="1">
      <c r="A615" t="s">
        <v>25</v>
      </c>
      <c r="B615" t="s">
        <v>26</v>
      </c>
      <c r="C615" t="s">
        <v>46</v>
      </c>
      <c r="D615" s="1">
        <v>42315</v>
      </c>
      <c r="E615" s="2">
        <v>0.72916666666666663</v>
      </c>
      <c r="F615" t="s">
        <v>28</v>
      </c>
      <c r="G615" t="s">
        <v>38</v>
      </c>
      <c r="H615">
        <v>3</v>
      </c>
      <c r="I615">
        <v>2</v>
      </c>
      <c r="J615" t="s">
        <v>34</v>
      </c>
      <c r="K615">
        <v>153</v>
      </c>
      <c r="L615">
        <v>446</v>
      </c>
      <c r="M615">
        <v>684</v>
      </c>
      <c r="N615">
        <v>157</v>
      </c>
      <c r="O615">
        <v>446</v>
      </c>
      <c r="P615">
        <v>7</v>
      </c>
      <c r="Q615">
        <v>151</v>
      </c>
      <c r="R615">
        <v>407</v>
      </c>
      <c r="S615">
        <v>628</v>
      </c>
      <c r="T615" t="s">
        <v>31</v>
      </c>
      <c r="U615" t="s">
        <v>31</v>
      </c>
      <c r="V615" t="s">
        <v>31</v>
      </c>
      <c r="W615" t="s">
        <v>31</v>
      </c>
      <c r="X615" t="s">
        <v>31</v>
      </c>
      <c r="Y615" t="s">
        <v>31</v>
      </c>
    </row>
    <row r="616" spans="1:25" hidden="1">
      <c r="A616" t="s">
        <v>25</v>
      </c>
      <c r="B616" t="s">
        <v>26</v>
      </c>
      <c r="C616" t="s">
        <v>46</v>
      </c>
      <c r="D616" s="1">
        <v>42316</v>
      </c>
      <c r="E616" s="2">
        <v>0.64583333333333337</v>
      </c>
      <c r="F616" t="s">
        <v>43</v>
      </c>
      <c r="G616" t="s">
        <v>35</v>
      </c>
      <c r="H616">
        <v>2</v>
      </c>
      <c r="I616">
        <v>1</v>
      </c>
      <c r="J616" t="s">
        <v>34</v>
      </c>
      <c r="K616">
        <v>385</v>
      </c>
      <c r="L616">
        <v>372</v>
      </c>
      <c r="M616">
        <v>201</v>
      </c>
      <c r="N616">
        <v>385</v>
      </c>
      <c r="O616">
        <v>374</v>
      </c>
      <c r="P616">
        <v>213</v>
      </c>
      <c r="Q616">
        <v>355</v>
      </c>
      <c r="R616">
        <v>351</v>
      </c>
      <c r="S616">
        <v>199</v>
      </c>
      <c r="T616" t="s">
        <v>31</v>
      </c>
      <c r="U616" t="s">
        <v>31</v>
      </c>
      <c r="V616" t="s">
        <v>31</v>
      </c>
      <c r="W616" t="s">
        <v>31</v>
      </c>
      <c r="X616" t="s">
        <v>31</v>
      </c>
      <c r="Y616" t="s">
        <v>31</v>
      </c>
    </row>
    <row r="617" spans="1:25" hidden="1">
      <c r="A617" t="s">
        <v>25</v>
      </c>
      <c r="B617" t="s">
        <v>26</v>
      </c>
      <c r="C617" t="s">
        <v>46</v>
      </c>
      <c r="D617" s="1">
        <v>42329</v>
      </c>
      <c r="E617" s="2">
        <v>0.625</v>
      </c>
      <c r="F617" t="s">
        <v>40</v>
      </c>
      <c r="G617" t="s">
        <v>37</v>
      </c>
      <c r="H617">
        <v>1</v>
      </c>
      <c r="I617">
        <v>1</v>
      </c>
      <c r="J617" t="s">
        <v>41</v>
      </c>
      <c r="K617">
        <v>153</v>
      </c>
      <c r="L617">
        <v>46</v>
      </c>
      <c r="M617">
        <v>659</v>
      </c>
      <c r="N617">
        <v>153</v>
      </c>
      <c r="O617">
        <v>48</v>
      </c>
      <c r="P617">
        <v>75</v>
      </c>
      <c r="Q617">
        <v>147</v>
      </c>
      <c r="R617">
        <v>428</v>
      </c>
      <c r="S617">
        <v>645</v>
      </c>
      <c r="T617" t="s">
        <v>31</v>
      </c>
      <c r="U617" t="s">
        <v>31</v>
      </c>
      <c r="V617" t="s">
        <v>31</v>
      </c>
      <c r="W617" t="s">
        <v>31</v>
      </c>
      <c r="X617" t="s">
        <v>31</v>
      </c>
      <c r="Y617" t="s">
        <v>31</v>
      </c>
    </row>
    <row r="618" spans="1:25" hidden="1">
      <c r="A618" t="s">
        <v>25</v>
      </c>
      <c r="B618" t="s">
        <v>26</v>
      </c>
      <c r="C618" t="s">
        <v>46</v>
      </c>
      <c r="D618" s="1">
        <v>42329</v>
      </c>
      <c r="E618" s="2">
        <v>0.72916666666666663</v>
      </c>
      <c r="F618" t="s">
        <v>45</v>
      </c>
      <c r="G618" t="s">
        <v>39</v>
      </c>
      <c r="H618">
        <v>2</v>
      </c>
      <c r="I618">
        <v>1</v>
      </c>
      <c r="J618" t="s">
        <v>34</v>
      </c>
      <c r="K618">
        <v>223</v>
      </c>
      <c r="L618">
        <v>341</v>
      </c>
      <c r="M618">
        <v>352</v>
      </c>
      <c r="N618">
        <v>229</v>
      </c>
      <c r="O618">
        <v>35</v>
      </c>
      <c r="P618">
        <v>352</v>
      </c>
      <c r="Q618">
        <v>22</v>
      </c>
      <c r="R618">
        <v>327</v>
      </c>
      <c r="S618">
        <v>324</v>
      </c>
      <c r="T618" t="s">
        <v>31</v>
      </c>
      <c r="U618" t="s">
        <v>31</v>
      </c>
      <c r="V618" t="s">
        <v>31</v>
      </c>
      <c r="W618" t="s">
        <v>31</v>
      </c>
      <c r="X618" t="s">
        <v>31</v>
      </c>
      <c r="Y618" t="s">
        <v>31</v>
      </c>
    </row>
    <row r="619" spans="1:25" hidden="1">
      <c r="A619" t="s">
        <v>25</v>
      </c>
      <c r="B619" t="s">
        <v>26</v>
      </c>
      <c r="C619" t="s">
        <v>46</v>
      </c>
      <c r="D619" s="1">
        <v>42329</v>
      </c>
      <c r="E619" s="2">
        <v>0.72916666666666663</v>
      </c>
      <c r="F619" t="s">
        <v>32</v>
      </c>
      <c r="G619" t="s">
        <v>35</v>
      </c>
      <c r="H619">
        <v>1</v>
      </c>
      <c r="I619">
        <v>6</v>
      </c>
      <c r="J619" t="s">
        <v>30</v>
      </c>
      <c r="K619">
        <v>453</v>
      </c>
      <c r="L619">
        <v>394</v>
      </c>
      <c r="M619">
        <v>181</v>
      </c>
      <c r="N619">
        <v>475</v>
      </c>
      <c r="O619">
        <v>4</v>
      </c>
      <c r="P619">
        <v>21</v>
      </c>
      <c r="Q619">
        <v>408</v>
      </c>
      <c r="R619">
        <v>367</v>
      </c>
      <c r="S619">
        <v>182</v>
      </c>
      <c r="T619" t="s">
        <v>31</v>
      </c>
      <c r="U619" t="s">
        <v>31</v>
      </c>
      <c r="V619" t="s">
        <v>31</v>
      </c>
      <c r="W619" t="s">
        <v>31</v>
      </c>
      <c r="X619" t="s">
        <v>31</v>
      </c>
      <c r="Y619" t="s">
        <v>31</v>
      </c>
    </row>
    <row r="620" spans="1:25" hidden="1">
      <c r="A620" t="s">
        <v>25</v>
      </c>
      <c r="B620" t="s">
        <v>26</v>
      </c>
      <c r="C620" t="s">
        <v>46</v>
      </c>
      <c r="D620" s="1">
        <v>42329</v>
      </c>
      <c r="E620" s="2">
        <v>0.72916666666666663</v>
      </c>
      <c r="F620" t="s">
        <v>38</v>
      </c>
      <c r="G620" t="s">
        <v>43</v>
      </c>
      <c r="H620">
        <v>1</v>
      </c>
      <c r="I620">
        <v>0</v>
      </c>
      <c r="J620" t="s">
        <v>34</v>
      </c>
      <c r="K620">
        <v>235</v>
      </c>
      <c r="L620">
        <v>359</v>
      </c>
      <c r="M620">
        <v>312</v>
      </c>
      <c r="N620">
        <v>239</v>
      </c>
      <c r="O620">
        <v>359</v>
      </c>
      <c r="P620">
        <v>33</v>
      </c>
      <c r="Q620">
        <v>224</v>
      </c>
      <c r="R620">
        <v>335</v>
      </c>
      <c r="S620">
        <v>308</v>
      </c>
      <c r="T620" t="s">
        <v>31</v>
      </c>
      <c r="U620" t="s">
        <v>31</v>
      </c>
      <c r="V620" t="s">
        <v>31</v>
      </c>
      <c r="W620" t="s">
        <v>31</v>
      </c>
      <c r="X620" t="s">
        <v>31</v>
      </c>
      <c r="Y620" t="s">
        <v>31</v>
      </c>
    </row>
    <row r="621" spans="1:25" hidden="1">
      <c r="A621" t="s">
        <v>25</v>
      </c>
      <c r="B621" t="s">
        <v>26</v>
      </c>
      <c r="C621" t="s">
        <v>46</v>
      </c>
      <c r="D621" s="1">
        <v>42330</v>
      </c>
      <c r="E621" s="2">
        <v>0.64583333333333337</v>
      </c>
      <c r="F621" t="s">
        <v>29</v>
      </c>
      <c r="G621" t="s">
        <v>28</v>
      </c>
      <c r="H621">
        <v>3</v>
      </c>
      <c r="I621">
        <v>1</v>
      </c>
      <c r="J621" t="s">
        <v>34</v>
      </c>
      <c r="K621">
        <v>135</v>
      </c>
      <c r="L621">
        <v>588</v>
      </c>
      <c r="M621">
        <v>858</v>
      </c>
      <c r="N621">
        <v>145</v>
      </c>
      <c r="O621">
        <v>588</v>
      </c>
      <c r="P621">
        <v>9</v>
      </c>
      <c r="Q621">
        <v>135</v>
      </c>
      <c r="R621">
        <v>511</v>
      </c>
      <c r="S621">
        <v>791</v>
      </c>
      <c r="T621" t="s">
        <v>31</v>
      </c>
      <c r="U621" t="s">
        <v>31</v>
      </c>
      <c r="V621" t="s">
        <v>31</v>
      </c>
      <c r="W621" t="s">
        <v>31</v>
      </c>
      <c r="X621" t="s">
        <v>31</v>
      </c>
      <c r="Y621" t="s">
        <v>31</v>
      </c>
    </row>
    <row r="622" spans="1:25" hidden="1">
      <c r="A622" t="s">
        <v>25</v>
      </c>
      <c r="B622" t="s">
        <v>26</v>
      </c>
      <c r="C622" t="s">
        <v>46</v>
      </c>
      <c r="D622" s="1">
        <v>42336</v>
      </c>
      <c r="E622" s="2">
        <v>0.625</v>
      </c>
      <c r="F622" t="s">
        <v>28</v>
      </c>
      <c r="G622" t="s">
        <v>32</v>
      </c>
      <c r="H622">
        <v>0</v>
      </c>
      <c r="I622">
        <v>0</v>
      </c>
      <c r="J622" t="s">
        <v>41</v>
      </c>
      <c r="K622">
        <v>146</v>
      </c>
      <c r="L622">
        <v>481</v>
      </c>
      <c r="M622">
        <v>758</v>
      </c>
      <c r="N622">
        <v>16</v>
      </c>
      <c r="O622">
        <v>49</v>
      </c>
      <c r="P622">
        <v>758</v>
      </c>
      <c r="Q622">
        <v>147</v>
      </c>
      <c r="R622">
        <v>435</v>
      </c>
      <c r="S622">
        <v>641</v>
      </c>
      <c r="T622" t="s">
        <v>31</v>
      </c>
      <c r="U622" t="s">
        <v>31</v>
      </c>
      <c r="V622" t="s">
        <v>31</v>
      </c>
      <c r="W622" t="s">
        <v>31</v>
      </c>
      <c r="X622" t="s">
        <v>31</v>
      </c>
      <c r="Y622" t="s">
        <v>31</v>
      </c>
    </row>
    <row r="623" spans="1:25" hidden="1">
      <c r="A623" t="s">
        <v>25</v>
      </c>
      <c r="B623" t="s">
        <v>26</v>
      </c>
      <c r="C623" t="s">
        <v>46</v>
      </c>
      <c r="D623" s="1">
        <v>42336</v>
      </c>
      <c r="E623" s="2">
        <v>0.72916666666666663</v>
      </c>
      <c r="F623" t="s">
        <v>39</v>
      </c>
      <c r="G623" t="s">
        <v>37</v>
      </c>
      <c r="H623">
        <v>4</v>
      </c>
      <c r="I623">
        <v>0</v>
      </c>
      <c r="J623" t="s">
        <v>34</v>
      </c>
      <c r="K623">
        <v>197</v>
      </c>
      <c r="L623">
        <v>356</v>
      </c>
      <c r="M623">
        <v>42</v>
      </c>
      <c r="N623">
        <v>21</v>
      </c>
      <c r="O623">
        <v>37</v>
      </c>
      <c r="P623">
        <v>42</v>
      </c>
      <c r="Q623">
        <v>194</v>
      </c>
      <c r="R623">
        <v>343</v>
      </c>
      <c r="S623">
        <v>379</v>
      </c>
      <c r="T623" t="s">
        <v>31</v>
      </c>
      <c r="U623" t="s">
        <v>31</v>
      </c>
      <c r="V623" t="s">
        <v>31</v>
      </c>
      <c r="W623" t="s">
        <v>31</v>
      </c>
      <c r="X623" t="s">
        <v>31</v>
      </c>
      <c r="Y623" t="s">
        <v>31</v>
      </c>
    </row>
    <row r="624" spans="1:25" hidden="1">
      <c r="A624" t="s">
        <v>25</v>
      </c>
      <c r="B624" t="s">
        <v>26</v>
      </c>
      <c r="C624" t="s">
        <v>46</v>
      </c>
      <c r="D624" s="1">
        <v>42336</v>
      </c>
      <c r="E624" s="2">
        <v>0.72916666666666663</v>
      </c>
      <c r="F624" t="s">
        <v>43</v>
      </c>
      <c r="G624" t="s">
        <v>29</v>
      </c>
      <c r="H624">
        <v>1</v>
      </c>
      <c r="I624">
        <v>1</v>
      </c>
      <c r="J624" t="s">
        <v>41</v>
      </c>
      <c r="K624">
        <v>902</v>
      </c>
      <c r="L624">
        <v>559</v>
      </c>
      <c r="M624">
        <v>136</v>
      </c>
      <c r="N624">
        <v>10</v>
      </c>
      <c r="O624">
        <v>57</v>
      </c>
      <c r="P624">
        <v>138</v>
      </c>
      <c r="Q624">
        <v>801</v>
      </c>
      <c r="R624">
        <v>511</v>
      </c>
      <c r="S624">
        <v>134</v>
      </c>
      <c r="T624" t="s">
        <v>31</v>
      </c>
      <c r="U624" t="s">
        <v>31</v>
      </c>
      <c r="V624" t="s">
        <v>31</v>
      </c>
      <c r="W624" t="s">
        <v>31</v>
      </c>
      <c r="X624" t="s">
        <v>31</v>
      </c>
      <c r="Y624" t="s">
        <v>31</v>
      </c>
    </row>
    <row r="625" spans="1:25" hidden="1">
      <c r="A625" t="s">
        <v>25</v>
      </c>
      <c r="B625" t="s">
        <v>26</v>
      </c>
      <c r="C625" t="s">
        <v>46</v>
      </c>
      <c r="D625" s="1">
        <v>42337</v>
      </c>
      <c r="E625" s="2">
        <v>0.64583333333333337</v>
      </c>
      <c r="F625" t="s">
        <v>38</v>
      </c>
      <c r="G625" t="s">
        <v>40</v>
      </c>
      <c r="H625">
        <v>4</v>
      </c>
      <c r="I625">
        <v>2</v>
      </c>
      <c r="J625" t="s">
        <v>34</v>
      </c>
      <c r="K625">
        <v>32</v>
      </c>
      <c r="L625">
        <v>36</v>
      </c>
      <c r="M625">
        <v>23</v>
      </c>
      <c r="N625">
        <v>35</v>
      </c>
      <c r="O625">
        <v>365</v>
      </c>
      <c r="P625">
        <v>23</v>
      </c>
      <c r="Q625">
        <v>315</v>
      </c>
      <c r="R625">
        <v>341</v>
      </c>
      <c r="S625">
        <v>218</v>
      </c>
      <c r="T625" t="s">
        <v>31</v>
      </c>
      <c r="U625" t="s">
        <v>31</v>
      </c>
      <c r="V625" t="s">
        <v>31</v>
      </c>
      <c r="W625" t="s">
        <v>31</v>
      </c>
      <c r="X625" t="s">
        <v>31</v>
      </c>
      <c r="Y625" t="s">
        <v>31</v>
      </c>
    </row>
    <row r="626" spans="1:25" hidden="1">
      <c r="A626" t="s">
        <v>25</v>
      </c>
      <c r="B626" t="s">
        <v>26</v>
      </c>
      <c r="C626" t="s">
        <v>46</v>
      </c>
      <c r="D626" s="1">
        <v>42337</v>
      </c>
      <c r="E626" s="2">
        <v>0.75</v>
      </c>
      <c r="F626" t="s">
        <v>35</v>
      </c>
      <c r="G626" t="s">
        <v>45</v>
      </c>
      <c r="H626">
        <v>3</v>
      </c>
      <c r="I626">
        <v>1</v>
      </c>
      <c r="J626" t="s">
        <v>34</v>
      </c>
      <c r="K626">
        <v>138</v>
      </c>
      <c r="L626">
        <v>532</v>
      </c>
      <c r="M626">
        <v>883</v>
      </c>
      <c r="N626">
        <v>141</v>
      </c>
      <c r="O626">
        <v>55</v>
      </c>
      <c r="P626">
        <v>883</v>
      </c>
      <c r="Q626">
        <v>137</v>
      </c>
      <c r="R626">
        <v>48</v>
      </c>
      <c r="S626">
        <v>775</v>
      </c>
      <c r="T626" t="s">
        <v>31</v>
      </c>
      <c r="U626" t="s">
        <v>31</v>
      </c>
      <c r="V626" t="s">
        <v>31</v>
      </c>
      <c r="W626" t="s">
        <v>31</v>
      </c>
      <c r="X626" t="s">
        <v>31</v>
      </c>
      <c r="Y626" t="s">
        <v>31</v>
      </c>
    </row>
    <row r="627" spans="1:25" hidden="1">
      <c r="A627" t="s">
        <v>25</v>
      </c>
      <c r="B627" t="s">
        <v>26</v>
      </c>
      <c r="C627" t="s">
        <v>46</v>
      </c>
      <c r="D627" s="1">
        <v>42339</v>
      </c>
      <c r="E627" s="2">
        <v>0.75</v>
      </c>
      <c r="F627" t="s">
        <v>29</v>
      </c>
      <c r="G627" t="s">
        <v>39</v>
      </c>
      <c r="H627">
        <v>1</v>
      </c>
      <c r="I627">
        <v>1</v>
      </c>
      <c r="J627" t="s">
        <v>41</v>
      </c>
      <c r="K627">
        <v>125</v>
      </c>
      <c r="L627">
        <v>68</v>
      </c>
      <c r="M627">
        <v>131</v>
      </c>
      <c r="N627">
        <v>125</v>
      </c>
      <c r="O627">
        <v>8</v>
      </c>
      <c r="P627">
        <v>15</v>
      </c>
      <c r="Q627">
        <v>12</v>
      </c>
      <c r="R627">
        <v>644</v>
      </c>
      <c r="S627">
        <v>1197</v>
      </c>
      <c r="T627" t="s">
        <v>31</v>
      </c>
      <c r="U627" t="s">
        <v>31</v>
      </c>
      <c r="V627" t="s">
        <v>31</v>
      </c>
      <c r="W627" t="s">
        <v>31</v>
      </c>
      <c r="X627" t="s">
        <v>31</v>
      </c>
      <c r="Y627" t="s">
        <v>31</v>
      </c>
    </row>
    <row r="628" spans="1:25" hidden="1">
      <c r="A628" t="s">
        <v>25</v>
      </c>
      <c r="B628" t="s">
        <v>26</v>
      </c>
      <c r="C628" t="s">
        <v>46</v>
      </c>
      <c r="D628" s="1">
        <v>42340</v>
      </c>
      <c r="E628" s="2">
        <v>0.72916666666666663</v>
      </c>
      <c r="F628" t="s">
        <v>37</v>
      </c>
      <c r="G628" t="s">
        <v>35</v>
      </c>
      <c r="H628">
        <v>2</v>
      </c>
      <c r="I628">
        <v>1</v>
      </c>
      <c r="J628" t="s">
        <v>34</v>
      </c>
      <c r="K628">
        <v>609</v>
      </c>
      <c r="L628">
        <v>447</v>
      </c>
      <c r="M628">
        <v>157</v>
      </c>
      <c r="N628">
        <v>622</v>
      </c>
      <c r="O628">
        <v>447</v>
      </c>
      <c r="P628">
        <v>18</v>
      </c>
      <c r="Q628">
        <v>558</v>
      </c>
      <c r="R628">
        <v>408</v>
      </c>
      <c r="S628">
        <v>155</v>
      </c>
      <c r="T628" t="s">
        <v>31</v>
      </c>
      <c r="U628" t="s">
        <v>31</v>
      </c>
      <c r="V628" t="s">
        <v>31</v>
      </c>
      <c r="W628" t="s">
        <v>31</v>
      </c>
      <c r="X628" t="s">
        <v>31</v>
      </c>
      <c r="Y628" t="s">
        <v>31</v>
      </c>
    </row>
    <row r="629" spans="1:25" hidden="1">
      <c r="A629" t="s">
        <v>25</v>
      </c>
      <c r="B629" t="s">
        <v>26</v>
      </c>
      <c r="C629" t="s">
        <v>46</v>
      </c>
      <c r="D629" s="1">
        <v>42340</v>
      </c>
      <c r="E629" s="2">
        <v>0.72916666666666663</v>
      </c>
      <c r="F629" t="s">
        <v>45</v>
      </c>
      <c r="G629" t="s">
        <v>38</v>
      </c>
      <c r="H629">
        <v>1</v>
      </c>
      <c r="I629">
        <v>3</v>
      </c>
      <c r="J629" t="s">
        <v>30</v>
      </c>
      <c r="K629">
        <v>215</v>
      </c>
      <c r="L629">
        <v>346</v>
      </c>
      <c r="M629">
        <v>368</v>
      </c>
      <c r="N629">
        <v>215</v>
      </c>
      <c r="O629">
        <v>354</v>
      </c>
      <c r="P629">
        <v>382</v>
      </c>
      <c r="Q629">
        <v>208</v>
      </c>
      <c r="R629">
        <v>334</v>
      </c>
      <c r="S629">
        <v>343</v>
      </c>
      <c r="T629" t="s">
        <v>31</v>
      </c>
      <c r="U629" t="s">
        <v>31</v>
      </c>
      <c r="V629" t="s">
        <v>31</v>
      </c>
      <c r="W629" t="s">
        <v>31</v>
      </c>
      <c r="X629" t="s">
        <v>31</v>
      </c>
      <c r="Y629" t="s">
        <v>31</v>
      </c>
    </row>
    <row r="630" spans="1:25" hidden="1">
      <c r="A630" t="s">
        <v>25</v>
      </c>
      <c r="B630" t="s">
        <v>26</v>
      </c>
      <c r="C630" t="s">
        <v>46</v>
      </c>
      <c r="D630" s="1">
        <v>42340</v>
      </c>
      <c r="E630" s="2">
        <v>0.72916666666666663</v>
      </c>
      <c r="F630" t="s">
        <v>32</v>
      </c>
      <c r="G630" t="s">
        <v>43</v>
      </c>
      <c r="H630">
        <v>0</v>
      </c>
      <c r="I630">
        <v>2</v>
      </c>
      <c r="J630" t="s">
        <v>30</v>
      </c>
      <c r="K630">
        <v>21</v>
      </c>
      <c r="L630">
        <v>375</v>
      </c>
      <c r="M630">
        <v>354</v>
      </c>
      <c r="N630">
        <v>22</v>
      </c>
      <c r="O630">
        <v>384</v>
      </c>
      <c r="P630">
        <v>37</v>
      </c>
      <c r="Q630">
        <v>205</v>
      </c>
      <c r="R630">
        <v>351</v>
      </c>
      <c r="S630">
        <v>335</v>
      </c>
      <c r="T630" t="s">
        <v>31</v>
      </c>
      <c r="U630" t="s">
        <v>31</v>
      </c>
      <c r="V630" t="s">
        <v>31</v>
      </c>
      <c r="W630" t="s">
        <v>31</v>
      </c>
      <c r="X630" t="s">
        <v>31</v>
      </c>
      <c r="Y630" t="s">
        <v>31</v>
      </c>
    </row>
    <row r="631" spans="1:25" hidden="1">
      <c r="A631" t="s">
        <v>25</v>
      </c>
      <c r="B631" t="s">
        <v>26</v>
      </c>
      <c r="C631" t="s">
        <v>46</v>
      </c>
      <c r="D631" s="1">
        <v>42340</v>
      </c>
      <c r="E631" s="2">
        <v>0.8125</v>
      </c>
      <c r="F631" t="s">
        <v>40</v>
      </c>
      <c r="G631" t="s">
        <v>28</v>
      </c>
      <c r="H631">
        <v>2</v>
      </c>
      <c r="I631">
        <v>1</v>
      </c>
      <c r="J631" t="s">
        <v>34</v>
      </c>
      <c r="K631">
        <v>229</v>
      </c>
      <c r="L631">
        <v>353</v>
      </c>
      <c r="M631">
        <v>329</v>
      </c>
      <c r="N631">
        <v>24</v>
      </c>
      <c r="O631">
        <v>353</v>
      </c>
      <c r="P631">
        <v>329</v>
      </c>
      <c r="Q631">
        <v>224</v>
      </c>
      <c r="R631">
        <v>336</v>
      </c>
      <c r="S631">
        <v>307</v>
      </c>
      <c r="T631" t="s">
        <v>31</v>
      </c>
      <c r="U631" t="s">
        <v>31</v>
      </c>
      <c r="V631" t="s">
        <v>31</v>
      </c>
      <c r="W631" t="s">
        <v>31</v>
      </c>
      <c r="X631" t="s">
        <v>31</v>
      </c>
      <c r="Y631" t="s">
        <v>31</v>
      </c>
    </row>
    <row r="632" spans="1:25" hidden="1">
      <c r="A632" t="s">
        <v>25</v>
      </c>
      <c r="B632" t="s">
        <v>26</v>
      </c>
      <c r="C632" t="s">
        <v>46</v>
      </c>
      <c r="D632" s="1">
        <v>42343</v>
      </c>
      <c r="E632" s="2">
        <v>0.625</v>
      </c>
      <c r="F632" t="s">
        <v>39</v>
      </c>
      <c r="G632" t="s">
        <v>40</v>
      </c>
      <c r="H632">
        <v>2</v>
      </c>
      <c r="I632">
        <v>0</v>
      </c>
      <c r="J632" t="s">
        <v>34</v>
      </c>
      <c r="K632">
        <v>247</v>
      </c>
      <c r="L632">
        <v>35</v>
      </c>
      <c r="M632">
        <v>299</v>
      </c>
      <c r="N632">
        <v>288</v>
      </c>
      <c r="O632">
        <v>352</v>
      </c>
      <c r="P632">
        <v>299</v>
      </c>
      <c r="Q632">
        <v>244</v>
      </c>
      <c r="R632">
        <v>332</v>
      </c>
      <c r="S632">
        <v>28</v>
      </c>
      <c r="T632" t="s">
        <v>31</v>
      </c>
      <c r="U632" t="s">
        <v>31</v>
      </c>
      <c r="V632" t="s">
        <v>31</v>
      </c>
      <c r="W632" t="s">
        <v>31</v>
      </c>
      <c r="X632" t="s">
        <v>31</v>
      </c>
      <c r="Y632" t="s">
        <v>31</v>
      </c>
    </row>
    <row r="633" spans="1:25" hidden="1">
      <c r="A633" t="s">
        <v>25</v>
      </c>
      <c r="B633" t="s">
        <v>26</v>
      </c>
      <c r="C633" t="s">
        <v>46</v>
      </c>
      <c r="D633" s="1">
        <v>42343</v>
      </c>
      <c r="E633" s="2">
        <v>0.72916666666666663</v>
      </c>
      <c r="F633" t="s">
        <v>43</v>
      </c>
      <c r="G633" t="s">
        <v>45</v>
      </c>
      <c r="H633">
        <v>0</v>
      </c>
      <c r="I633">
        <v>3</v>
      </c>
      <c r="J633" t="s">
        <v>30</v>
      </c>
      <c r="K633">
        <v>211</v>
      </c>
      <c r="L633">
        <v>354</v>
      </c>
      <c r="M633">
        <v>372</v>
      </c>
      <c r="N633">
        <v>225</v>
      </c>
      <c r="O633">
        <v>358</v>
      </c>
      <c r="P633">
        <v>385</v>
      </c>
      <c r="Q633">
        <v>206</v>
      </c>
      <c r="R633">
        <v>337</v>
      </c>
      <c r="S633">
        <v>348</v>
      </c>
      <c r="T633" t="s">
        <v>31</v>
      </c>
      <c r="U633" t="s">
        <v>31</v>
      </c>
      <c r="V633" t="s">
        <v>31</v>
      </c>
      <c r="W633" t="s">
        <v>31</v>
      </c>
      <c r="X633" t="s">
        <v>31</v>
      </c>
      <c r="Y633" t="s">
        <v>31</v>
      </c>
    </row>
    <row r="634" spans="1:25" hidden="1">
      <c r="A634" t="s">
        <v>25</v>
      </c>
      <c r="B634" t="s">
        <v>26</v>
      </c>
      <c r="C634" t="s">
        <v>46</v>
      </c>
      <c r="D634" s="1">
        <v>42343</v>
      </c>
      <c r="E634" s="2">
        <v>0.72916666666666663</v>
      </c>
      <c r="F634" t="s">
        <v>35</v>
      </c>
      <c r="G634" t="s">
        <v>38</v>
      </c>
      <c r="H634">
        <v>2</v>
      </c>
      <c r="I634">
        <v>1</v>
      </c>
      <c r="J634" t="s">
        <v>34</v>
      </c>
      <c r="K634">
        <v>138</v>
      </c>
      <c r="L634">
        <v>532</v>
      </c>
      <c r="M634">
        <v>901</v>
      </c>
      <c r="N634">
        <v>142</v>
      </c>
      <c r="O634">
        <v>533</v>
      </c>
      <c r="P634">
        <v>904</v>
      </c>
      <c r="Q634">
        <v>137</v>
      </c>
      <c r="R634">
        <v>483</v>
      </c>
      <c r="S634">
        <v>776</v>
      </c>
      <c r="T634" t="s">
        <v>31</v>
      </c>
      <c r="U634" t="s">
        <v>31</v>
      </c>
      <c r="V634" t="s">
        <v>31</v>
      </c>
      <c r="W634" t="s">
        <v>31</v>
      </c>
      <c r="X634" t="s">
        <v>31</v>
      </c>
      <c r="Y634" t="s">
        <v>31</v>
      </c>
    </row>
    <row r="635" spans="1:25" hidden="1">
      <c r="A635" t="s">
        <v>25</v>
      </c>
      <c r="B635" t="s">
        <v>26</v>
      </c>
      <c r="C635" t="s">
        <v>46</v>
      </c>
      <c r="D635" s="1">
        <v>42343</v>
      </c>
      <c r="E635" s="2">
        <v>0.72916666666666663</v>
      </c>
      <c r="F635" t="s">
        <v>28</v>
      </c>
      <c r="G635" t="s">
        <v>37</v>
      </c>
      <c r="H635">
        <v>1</v>
      </c>
      <c r="I635">
        <v>1</v>
      </c>
      <c r="J635" t="s">
        <v>41</v>
      </c>
      <c r="K635">
        <v>155</v>
      </c>
      <c r="L635">
        <v>446</v>
      </c>
      <c r="M635">
        <v>644</v>
      </c>
      <c r="N635">
        <v>16</v>
      </c>
      <c r="O635">
        <v>45</v>
      </c>
      <c r="P635">
        <v>7</v>
      </c>
      <c r="Q635">
        <v>153</v>
      </c>
      <c r="R635">
        <v>414</v>
      </c>
      <c r="S635">
        <v>577</v>
      </c>
      <c r="T635" t="s">
        <v>31</v>
      </c>
      <c r="U635" t="s">
        <v>31</v>
      </c>
      <c r="V635" t="s">
        <v>31</v>
      </c>
      <c r="W635" t="s">
        <v>31</v>
      </c>
      <c r="X635" t="s">
        <v>31</v>
      </c>
      <c r="Y635" t="s">
        <v>31</v>
      </c>
    </row>
    <row r="636" spans="1:25" hidden="1">
      <c r="A636" t="s">
        <v>25</v>
      </c>
      <c r="B636" t="s">
        <v>26</v>
      </c>
      <c r="C636" t="s">
        <v>46</v>
      </c>
      <c r="D636" s="1">
        <v>42344</v>
      </c>
      <c r="E636" s="2">
        <v>0.64583333333333337</v>
      </c>
      <c r="F636" t="s">
        <v>32</v>
      </c>
      <c r="G636" t="s">
        <v>29</v>
      </c>
      <c r="H636">
        <v>0</v>
      </c>
      <c r="I636">
        <v>0</v>
      </c>
      <c r="J636" t="s">
        <v>41</v>
      </c>
      <c r="K636">
        <v>725</v>
      </c>
      <c r="L636">
        <v>543</v>
      </c>
      <c r="M636">
        <v>142</v>
      </c>
      <c r="N636">
        <v>76</v>
      </c>
      <c r="O636">
        <v>55</v>
      </c>
      <c r="P636">
        <v>145</v>
      </c>
      <c r="Q636">
        <v>682</v>
      </c>
      <c r="R636">
        <v>484</v>
      </c>
      <c r="S636">
        <v>14</v>
      </c>
      <c r="T636" t="s">
        <v>31</v>
      </c>
      <c r="U636" t="s">
        <v>31</v>
      </c>
      <c r="V636" t="s">
        <v>31</v>
      </c>
      <c r="W636" t="s">
        <v>31</v>
      </c>
      <c r="X636" t="s">
        <v>31</v>
      </c>
      <c r="Y636" t="s">
        <v>31</v>
      </c>
    </row>
    <row r="637" spans="1:25" hidden="1">
      <c r="A637" t="s">
        <v>25</v>
      </c>
      <c r="B637" t="s">
        <v>26</v>
      </c>
      <c r="C637" t="s">
        <v>46</v>
      </c>
      <c r="D637" s="1">
        <v>42350</v>
      </c>
      <c r="E637" s="2">
        <v>0.625</v>
      </c>
      <c r="F637" t="s">
        <v>40</v>
      </c>
      <c r="G637" t="s">
        <v>45</v>
      </c>
      <c r="H637">
        <v>1</v>
      </c>
      <c r="I637">
        <v>2</v>
      </c>
      <c r="J637" t="s">
        <v>30</v>
      </c>
      <c r="K637">
        <v>168</v>
      </c>
      <c r="L637">
        <v>409</v>
      </c>
      <c r="M637">
        <v>54</v>
      </c>
      <c r="N637">
        <v>17</v>
      </c>
      <c r="O637">
        <v>415</v>
      </c>
      <c r="P637">
        <v>56</v>
      </c>
      <c r="Q637">
        <v>165</v>
      </c>
      <c r="R637">
        <v>387</v>
      </c>
      <c r="S637">
        <v>496</v>
      </c>
      <c r="T637" t="s">
        <v>31</v>
      </c>
      <c r="U637" t="s">
        <v>31</v>
      </c>
      <c r="V637" t="s">
        <v>31</v>
      </c>
      <c r="W637" t="s">
        <v>31</v>
      </c>
      <c r="X637" t="s">
        <v>31</v>
      </c>
      <c r="Y637" t="s">
        <v>31</v>
      </c>
    </row>
    <row r="638" spans="1:25" hidden="1">
      <c r="A638" t="s">
        <v>25</v>
      </c>
      <c r="B638" t="s">
        <v>26</v>
      </c>
      <c r="C638" t="s">
        <v>46</v>
      </c>
      <c r="D638" s="1">
        <v>42350</v>
      </c>
      <c r="E638" s="2">
        <v>0.72916666666666663</v>
      </c>
      <c r="F638" t="s">
        <v>37</v>
      </c>
      <c r="G638" t="s">
        <v>32</v>
      </c>
      <c r="H638">
        <v>1</v>
      </c>
      <c r="I638">
        <v>1</v>
      </c>
      <c r="J638" t="s">
        <v>41</v>
      </c>
      <c r="K638">
        <v>236</v>
      </c>
      <c r="L638">
        <v>352</v>
      </c>
      <c r="M638">
        <v>314</v>
      </c>
      <c r="N638">
        <v>236</v>
      </c>
      <c r="O638">
        <v>375</v>
      </c>
      <c r="P638">
        <v>33</v>
      </c>
      <c r="Q638">
        <v>224</v>
      </c>
      <c r="R638">
        <v>339</v>
      </c>
      <c r="S638">
        <v>304</v>
      </c>
      <c r="T638" t="s">
        <v>31</v>
      </c>
      <c r="U638" t="s">
        <v>31</v>
      </c>
      <c r="V638" t="s">
        <v>31</v>
      </c>
      <c r="W638" t="s">
        <v>31</v>
      </c>
      <c r="X638" t="s">
        <v>31</v>
      </c>
      <c r="Y638" t="s">
        <v>31</v>
      </c>
    </row>
    <row r="639" spans="1:25" hidden="1">
      <c r="A639" t="s">
        <v>25</v>
      </c>
      <c r="B639" t="s">
        <v>26</v>
      </c>
      <c r="C639" t="s">
        <v>46</v>
      </c>
      <c r="D639" s="1">
        <v>42350</v>
      </c>
      <c r="E639" s="2">
        <v>0.72916666666666663</v>
      </c>
      <c r="F639" t="s">
        <v>38</v>
      </c>
      <c r="G639" t="s">
        <v>39</v>
      </c>
      <c r="H639">
        <v>1</v>
      </c>
      <c r="I639">
        <v>0</v>
      </c>
      <c r="J639" t="s">
        <v>34</v>
      </c>
      <c r="K639">
        <v>271</v>
      </c>
      <c r="L639">
        <v>34</v>
      </c>
      <c r="M639">
        <v>276</v>
      </c>
      <c r="N639">
        <v>271</v>
      </c>
      <c r="O639">
        <v>34</v>
      </c>
      <c r="P639">
        <v>297</v>
      </c>
      <c r="Q639">
        <v>253</v>
      </c>
      <c r="R639">
        <v>323</v>
      </c>
      <c r="S639">
        <v>274</v>
      </c>
      <c r="T639" t="s">
        <v>31</v>
      </c>
      <c r="U639" t="s">
        <v>31</v>
      </c>
      <c r="V639" t="s">
        <v>31</v>
      </c>
      <c r="W639" t="s">
        <v>31</v>
      </c>
      <c r="X639" t="s">
        <v>31</v>
      </c>
      <c r="Y639" t="s">
        <v>31</v>
      </c>
    </row>
    <row r="640" spans="1:25" hidden="1">
      <c r="A640" t="s">
        <v>25</v>
      </c>
      <c r="B640" t="s">
        <v>26</v>
      </c>
      <c r="C640" t="s">
        <v>46</v>
      </c>
      <c r="D640" s="1">
        <v>42350</v>
      </c>
      <c r="E640" s="2">
        <v>0.72916666666666663</v>
      </c>
      <c r="F640" t="s">
        <v>28</v>
      </c>
      <c r="G640" t="s">
        <v>43</v>
      </c>
      <c r="H640">
        <v>2</v>
      </c>
      <c r="I640">
        <v>0</v>
      </c>
      <c r="J640" t="s">
        <v>34</v>
      </c>
      <c r="K640">
        <v>168</v>
      </c>
      <c r="L640">
        <v>403</v>
      </c>
      <c r="M640">
        <v>545</v>
      </c>
      <c r="N640">
        <v>17</v>
      </c>
      <c r="O640">
        <v>415</v>
      </c>
      <c r="P640">
        <v>6</v>
      </c>
      <c r="Q640">
        <v>163</v>
      </c>
      <c r="R640">
        <v>384</v>
      </c>
      <c r="S640">
        <v>515</v>
      </c>
      <c r="T640" t="s">
        <v>31</v>
      </c>
      <c r="U640" t="s">
        <v>31</v>
      </c>
      <c r="V640" t="s">
        <v>31</v>
      </c>
      <c r="W640" t="s">
        <v>31</v>
      </c>
      <c r="X640" t="s">
        <v>31</v>
      </c>
      <c r="Y640" t="s">
        <v>31</v>
      </c>
    </row>
    <row r="641" spans="1:25" hidden="1">
      <c r="A641" t="s">
        <v>25</v>
      </c>
      <c r="B641" t="s">
        <v>26</v>
      </c>
      <c r="C641" t="s">
        <v>46</v>
      </c>
      <c r="D641" s="1">
        <v>42351</v>
      </c>
      <c r="E641" s="2">
        <v>0.64583333333333337</v>
      </c>
      <c r="F641" t="s">
        <v>29</v>
      </c>
      <c r="G641" t="s">
        <v>35</v>
      </c>
      <c r="H641">
        <v>2</v>
      </c>
      <c r="I641">
        <v>0</v>
      </c>
      <c r="J641" t="s">
        <v>34</v>
      </c>
      <c r="K641">
        <v>167</v>
      </c>
      <c r="L641">
        <v>439</v>
      </c>
      <c r="M641">
        <v>501</v>
      </c>
      <c r="N641">
        <v>175</v>
      </c>
      <c r="O641">
        <v>439</v>
      </c>
      <c r="P641">
        <v>52</v>
      </c>
      <c r="Q641">
        <v>166</v>
      </c>
      <c r="R641">
        <v>4</v>
      </c>
      <c r="S641">
        <v>463</v>
      </c>
      <c r="T641" t="s">
        <v>31</v>
      </c>
      <c r="U641" t="s">
        <v>31</v>
      </c>
      <c r="V641" t="s">
        <v>31</v>
      </c>
      <c r="W641" t="s">
        <v>31</v>
      </c>
      <c r="X641" t="s">
        <v>31</v>
      </c>
      <c r="Y641" t="s">
        <v>31</v>
      </c>
    </row>
    <row r="642" spans="1:25" hidden="1">
      <c r="A642" t="s">
        <v>25</v>
      </c>
      <c r="B642" t="s">
        <v>26</v>
      </c>
      <c r="C642" t="s">
        <v>46</v>
      </c>
      <c r="D642" s="1">
        <v>42406</v>
      </c>
      <c r="E642" s="2">
        <v>0.625</v>
      </c>
      <c r="F642" t="s">
        <v>45</v>
      </c>
      <c r="G642" t="s">
        <v>28</v>
      </c>
      <c r="H642">
        <v>2</v>
      </c>
      <c r="I642">
        <v>2</v>
      </c>
      <c r="J642" t="s">
        <v>41</v>
      </c>
      <c r="K642">
        <v>307</v>
      </c>
      <c r="L642">
        <v>352</v>
      </c>
      <c r="M642">
        <v>241</v>
      </c>
      <c r="N642">
        <v>31</v>
      </c>
      <c r="O642">
        <v>352</v>
      </c>
      <c r="P642">
        <v>25</v>
      </c>
      <c r="Q642">
        <v>293</v>
      </c>
      <c r="R642">
        <v>33</v>
      </c>
      <c r="S642">
        <v>235</v>
      </c>
      <c r="T642" t="s">
        <v>31</v>
      </c>
      <c r="U642" t="s">
        <v>31</v>
      </c>
      <c r="V642" t="s">
        <v>31</v>
      </c>
      <c r="W642" t="s">
        <v>31</v>
      </c>
      <c r="X642" t="s">
        <v>31</v>
      </c>
      <c r="Y642" t="s">
        <v>31</v>
      </c>
    </row>
    <row r="643" spans="1:25" hidden="1">
      <c r="A643" t="s">
        <v>25</v>
      </c>
      <c r="B643" t="s">
        <v>26</v>
      </c>
      <c r="C643" t="s">
        <v>46</v>
      </c>
      <c r="D643" s="1">
        <v>42406</v>
      </c>
      <c r="E643" s="2">
        <v>0.72916666666666663</v>
      </c>
      <c r="F643" t="s">
        <v>43</v>
      </c>
      <c r="G643" t="s">
        <v>40</v>
      </c>
      <c r="H643">
        <v>0</v>
      </c>
      <c r="I643">
        <v>1</v>
      </c>
      <c r="J643" t="s">
        <v>30</v>
      </c>
      <c r="K643">
        <v>342</v>
      </c>
      <c r="L643">
        <v>358</v>
      </c>
      <c r="M643">
        <v>221</v>
      </c>
      <c r="N643">
        <v>342</v>
      </c>
      <c r="O643">
        <v>358</v>
      </c>
      <c r="P643">
        <v>23</v>
      </c>
      <c r="Q643">
        <v>322</v>
      </c>
      <c r="R643">
        <v>335</v>
      </c>
      <c r="S643">
        <v>217</v>
      </c>
      <c r="T643" t="s">
        <v>31</v>
      </c>
      <c r="U643" t="s">
        <v>31</v>
      </c>
      <c r="V643" t="s">
        <v>31</v>
      </c>
      <c r="W643" t="s">
        <v>31</v>
      </c>
      <c r="X643" t="s">
        <v>31</v>
      </c>
      <c r="Y643" t="s">
        <v>31</v>
      </c>
    </row>
    <row r="644" spans="1:25" hidden="1">
      <c r="A644" t="s">
        <v>25</v>
      </c>
      <c r="B644" t="s">
        <v>26</v>
      </c>
      <c r="C644" t="s">
        <v>46</v>
      </c>
      <c r="D644" s="1">
        <v>42406</v>
      </c>
      <c r="E644" s="2">
        <v>0.72916666666666663</v>
      </c>
      <c r="F644" t="s">
        <v>32</v>
      </c>
      <c r="G644" t="s">
        <v>38</v>
      </c>
      <c r="H644">
        <v>3</v>
      </c>
      <c r="I644">
        <v>3</v>
      </c>
      <c r="J644" t="s">
        <v>41</v>
      </c>
      <c r="K644">
        <v>214</v>
      </c>
      <c r="L644">
        <v>362</v>
      </c>
      <c r="M644">
        <v>357</v>
      </c>
      <c r="N644">
        <v>222</v>
      </c>
      <c r="O644">
        <v>365</v>
      </c>
      <c r="P644">
        <v>357</v>
      </c>
      <c r="Q644">
        <v>208</v>
      </c>
      <c r="R644">
        <v>341</v>
      </c>
      <c r="S644">
        <v>339</v>
      </c>
      <c r="T644" t="s">
        <v>31</v>
      </c>
      <c r="U644" t="s">
        <v>31</v>
      </c>
      <c r="V644" t="s">
        <v>31</v>
      </c>
      <c r="W644" t="s">
        <v>31</v>
      </c>
      <c r="X644" t="s">
        <v>31</v>
      </c>
      <c r="Y644" t="s">
        <v>31</v>
      </c>
    </row>
    <row r="645" spans="1:25" hidden="1">
      <c r="A645" t="s">
        <v>25</v>
      </c>
      <c r="B645" t="s">
        <v>26</v>
      </c>
      <c r="C645" t="s">
        <v>46</v>
      </c>
      <c r="D645" s="1">
        <v>42406</v>
      </c>
      <c r="E645" s="2">
        <v>0.72916666666666663</v>
      </c>
      <c r="F645" t="s">
        <v>35</v>
      </c>
      <c r="G645" t="s">
        <v>39</v>
      </c>
      <c r="H645">
        <v>3</v>
      </c>
      <c r="I645">
        <v>0</v>
      </c>
      <c r="J645" t="s">
        <v>34</v>
      </c>
      <c r="K645">
        <v>162</v>
      </c>
      <c r="L645">
        <v>41</v>
      </c>
      <c r="M645">
        <v>616</v>
      </c>
      <c r="N645">
        <v>164</v>
      </c>
      <c r="O645">
        <v>44</v>
      </c>
      <c r="P645">
        <v>67</v>
      </c>
      <c r="Q645">
        <v>156</v>
      </c>
      <c r="R645">
        <v>391</v>
      </c>
      <c r="S645">
        <v>587</v>
      </c>
      <c r="T645" t="s">
        <v>31</v>
      </c>
      <c r="U645" t="s">
        <v>31</v>
      </c>
      <c r="V645" t="s">
        <v>31</v>
      </c>
      <c r="W645" t="s">
        <v>31</v>
      </c>
      <c r="X645" t="s">
        <v>31</v>
      </c>
      <c r="Y645" t="s">
        <v>31</v>
      </c>
    </row>
    <row r="646" spans="1:25" hidden="1">
      <c r="A646" t="s">
        <v>25</v>
      </c>
      <c r="B646" t="s">
        <v>26</v>
      </c>
      <c r="C646" t="s">
        <v>46</v>
      </c>
      <c r="D646" s="1">
        <v>42407</v>
      </c>
      <c r="E646" s="2">
        <v>0.64583333333333337</v>
      </c>
      <c r="F646" t="s">
        <v>37</v>
      </c>
      <c r="G646" t="s">
        <v>29</v>
      </c>
      <c r="H646">
        <v>1</v>
      </c>
      <c r="I646">
        <v>2</v>
      </c>
      <c r="J646" t="s">
        <v>30</v>
      </c>
      <c r="K646">
        <v>57</v>
      </c>
      <c r="L646">
        <v>444</v>
      </c>
      <c r="M646">
        <v>16</v>
      </c>
      <c r="N646">
        <v>7</v>
      </c>
      <c r="O646">
        <v>48</v>
      </c>
      <c r="P646">
        <v>16</v>
      </c>
      <c r="Q646">
        <v>584</v>
      </c>
      <c r="R646">
        <v>42</v>
      </c>
      <c r="S646">
        <v>152</v>
      </c>
      <c r="T646" t="s">
        <v>31</v>
      </c>
      <c r="U646" t="s">
        <v>31</v>
      </c>
      <c r="V646" t="s">
        <v>31</v>
      </c>
      <c r="W646" t="s">
        <v>31</v>
      </c>
      <c r="X646" t="s">
        <v>31</v>
      </c>
      <c r="Y646" t="s">
        <v>31</v>
      </c>
    </row>
    <row r="647" spans="1:25" hidden="1">
      <c r="A647" t="s">
        <v>25</v>
      </c>
      <c r="B647" t="s">
        <v>26</v>
      </c>
      <c r="C647" t="s">
        <v>46</v>
      </c>
      <c r="D647" s="1">
        <v>42413</v>
      </c>
      <c r="E647" s="2">
        <v>0.625</v>
      </c>
      <c r="F647" t="s">
        <v>38</v>
      </c>
      <c r="G647" t="s">
        <v>29</v>
      </c>
      <c r="H647">
        <v>1</v>
      </c>
      <c r="I647">
        <v>0</v>
      </c>
      <c r="J647" t="s">
        <v>34</v>
      </c>
      <c r="K647">
        <v>551</v>
      </c>
      <c r="L647">
        <v>397</v>
      </c>
      <c r="M647">
        <v>169</v>
      </c>
      <c r="N647">
        <v>599</v>
      </c>
      <c r="O647">
        <v>435</v>
      </c>
      <c r="P647">
        <v>171</v>
      </c>
      <c r="Q647">
        <v>519</v>
      </c>
      <c r="R647">
        <v>38</v>
      </c>
      <c r="S647">
        <v>163</v>
      </c>
      <c r="T647" t="s">
        <v>31</v>
      </c>
      <c r="U647" t="s">
        <v>31</v>
      </c>
      <c r="V647" t="s">
        <v>31</v>
      </c>
      <c r="W647" t="s">
        <v>31</v>
      </c>
      <c r="X647" t="s">
        <v>31</v>
      </c>
      <c r="Y647" t="s">
        <v>31</v>
      </c>
    </row>
    <row r="648" spans="1:25" hidden="1">
      <c r="A648" t="s">
        <v>25</v>
      </c>
      <c r="B648" t="s">
        <v>26</v>
      </c>
      <c r="C648" t="s">
        <v>46</v>
      </c>
      <c r="D648" s="1">
        <v>42413</v>
      </c>
      <c r="E648" s="2">
        <v>0.72916666666666663</v>
      </c>
      <c r="F648" t="s">
        <v>39</v>
      </c>
      <c r="G648" t="s">
        <v>28</v>
      </c>
      <c r="H648">
        <v>0</v>
      </c>
      <c r="I648">
        <v>0</v>
      </c>
      <c r="J648" t="s">
        <v>41</v>
      </c>
      <c r="K648">
        <v>279</v>
      </c>
      <c r="L648">
        <v>335</v>
      </c>
      <c r="M648">
        <v>272</v>
      </c>
      <c r="N648">
        <v>282</v>
      </c>
      <c r="O648">
        <v>34</v>
      </c>
      <c r="P648">
        <v>274</v>
      </c>
      <c r="Q648">
        <v>268</v>
      </c>
      <c r="R648">
        <v>319</v>
      </c>
      <c r="S648">
        <v>261</v>
      </c>
      <c r="T648" t="s">
        <v>31</v>
      </c>
      <c r="U648" t="s">
        <v>31</v>
      </c>
      <c r="V648" t="s">
        <v>31</v>
      </c>
      <c r="W648" t="s">
        <v>31</v>
      </c>
      <c r="X648" t="s">
        <v>31</v>
      </c>
      <c r="Y648" t="s">
        <v>31</v>
      </c>
    </row>
    <row r="649" spans="1:25" hidden="1">
      <c r="A649" t="s">
        <v>25</v>
      </c>
      <c r="B649" t="s">
        <v>26</v>
      </c>
      <c r="C649" t="s">
        <v>46</v>
      </c>
      <c r="D649" s="1">
        <v>42413</v>
      </c>
      <c r="E649" s="2">
        <v>0.72916666666666663</v>
      </c>
      <c r="F649" t="s">
        <v>45</v>
      </c>
      <c r="G649" t="s">
        <v>32</v>
      </c>
      <c r="H649">
        <v>1</v>
      </c>
      <c r="I649">
        <v>2</v>
      </c>
      <c r="J649" t="s">
        <v>30</v>
      </c>
      <c r="K649">
        <v>194</v>
      </c>
      <c r="L649">
        <v>377</v>
      </c>
      <c r="M649">
        <v>411</v>
      </c>
      <c r="N649">
        <v>2</v>
      </c>
      <c r="O649">
        <v>377</v>
      </c>
      <c r="P649">
        <v>433</v>
      </c>
      <c r="Q649">
        <v>19</v>
      </c>
      <c r="R649">
        <v>356</v>
      </c>
      <c r="S649">
        <v>384</v>
      </c>
      <c r="T649" t="s">
        <v>31</v>
      </c>
      <c r="U649" t="s">
        <v>31</v>
      </c>
      <c r="V649" t="s">
        <v>31</v>
      </c>
      <c r="W649" t="s">
        <v>31</v>
      </c>
      <c r="X649" t="s">
        <v>31</v>
      </c>
      <c r="Y649" t="s">
        <v>31</v>
      </c>
    </row>
    <row r="650" spans="1:25" hidden="1">
      <c r="A650" t="s">
        <v>25</v>
      </c>
      <c r="B650" t="s">
        <v>26</v>
      </c>
      <c r="C650" t="s">
        <v>46</v>
      </c>
      <c r="D650" s="1">
        <v>42413</v>
      </c>
      <c r="E650" s="2">
        <v>0.72916666666666663</v>
      </c>
      <c r="F650" t="s">
        <v>43</v>
      </c>
      <c r="G650" t="s">
        <v>37</v>
      </c>
      <c r="H650">
        <v>2</v>
      </c>
      <c r="I650">
        <v>2</v>
      </c>
      <c r="J650" t="s">
        <v>41</v>
      </c>
      <c r="K650">
        <v>245</v>
      </c>
      <c r="L650">
        <v>342</v>
      </c>
      <c r="M650">
        <v>309</v>
      </c>
      <c r="N650">
        <v>247</v>
      </c>
      <c r="O650">
        <v>345</v>
      </c>
      <c r="P650">
        <v>311</v>
      </c>
      <c r="Q650">
        <v>236</v>
      </c>
      <c r="R650">
        <v>325</v>
      </c>
      <c r="S650">
        <v>295</v>
      </c>
      <c r="T650" t="s">
        <v>31</v>
      </c>
      <c r="U650" t="s">
        <v>31</v>
      </c>
      <c r="V650" t="s">
        <v>31</v>
      </c>
      <c r="W650" t="s">
        <v>31</v>
      </c>
      <c r="X650" t="s">
        <v>31</v>
      </c>
      <c r="Y650" t="s">
        <v>31</v>
      </c>
    </row>
    <row r="651" spans="1:25" hidden="1">
      <c r="A651" t="s">
        <v>25</v>
      </c>
      <c r="B651" t="s">
        <v>26</v>
      </c>
      <c r="C651" t="s">
        <v>46</v>
      </c>
      <c r="D651" s="1">
        <v>42414</v>
      </c>
      <c r="E651" s="2">
        <v>0.64583333333333337</v>
      </c>
      <c r="F651" t="s">
        <v>40</v>
      </c>
      <c r="G651" t="s">
        <v>35</v>
      </c>
      <c r="H651">
        <v>0</v>
      </c>
      <c r="I651">
        <v>3</v>
      </c>
      <c r="J651" t="s">
        <v>30</v>
      </c>
      <c r="K651">
        <v>283</v>
      </c>
      <c r="L651">
        <v>355</v>
      </c>
      <c r="M651">
        <v>257</v>
      </c>
      <c r="N651">
        <v>283</v>
      </c>
      <c r="O651">
        <v>355</v>
      </c>
      <c r="P651">
        <v>27</v>
      </c>
      <c r="Q651">
        <v>268</v>
      </c>
      <c r="R651">
        <v>331</v>
      </c>
      <c r="S651">
        <v>255</v>
      </c>
      <c r="T651" t="s">
        <v>31</v>
      </c>
      <c r="U651" t="s">
        <v>31</v>
      </c>
      <c r="V651" t="s">
        <v>31</v>
      </c>
      <c r="W651" t="s">
        <v>31</v>
      </c>
      <c r="X651" t="s">
        <v>31</v>
      </c>
      <c r="Y651" t="s">
        <v>31</v>
      </c>
    </row>
    <row r="652" spans="1:25" hidden="1">
      <c r="A652" t="s">
        <v>25</v>
      </c>
      <c r="B652" t="s">
        <v>26</v>
      </c>
      <c r="C652" t="s">
        <v>46</v>
      </c>
      <c r="D652" s="1">
        <v>42420</v>
      </c>
      <c r="E652" s="2">
        <v>0.625</v>
      </c>
      <c r="F652" t="s">
        <v>40</v>
      </c>
      <c r="G652" t="s">
        <v>32</v>
      </c>
      <c r="H652">
        <v>2</v>
      </c>
      <c r="I652">
        <v>2</v>
      </c>
      <c r="J652" t="s">
        <v>41</v>
      </c>
      <c r="K652">
        <v>163</v>
      </c>
      <c r="L652">
        <v>425</v>
      </c>
      <c r="M652">
        <v>564</v>
      </c>
      <c r="N652">
        <v>164</v>
      </c>
      <c r="O652">
        <v>445</v>
      </c>
      <c r="P652">
        <v>57</v>
      </c>
      <c r="Q652">
        <v>16</v>
      </c>
      <c r="R652">
        <v>4</v>
      </c>
      <c r="S652">
        <v>519</v>
      </c>
      <c r="T652" t="s">
        <v>31</v>
      </c>
      <c r="U652" t="s">
        <v>31</v>
      </c>
      <c r="V652" t="s">
        <v>31</v>
      </c>
      <c r="W652" t="s">
        <v>31</v>
      </c>
      <c r="X652" t="s">
        <v>31</v>
      </c>
      <c r="Y652" t="s">
        <v>31</v>
      </c>
    </row>
    <row r="653" spans="1:25" hidden="1">
      <c r="A653" t="s">
        <v>25</v>
      </c>
      <c r="B653" t="s">
        <v>26</v>
      </c>
      <c r="C653" t="s">
        <v>46</v>
      </c>
      <c r="D653" s="1">
        <v>42420</v>
      </c>
      <c r="E653" s="2">
        <v>0.72916666666666663</v>
      </c>
      <c r="F653" t="s">
        <v>39</v>
      </c>
      <c r="G653" t="s">
        <v>43</v>
      </c>
      <c r="H653">
        <v>2</v>
      </c>
      <c r="I653">
        <v>0</v>
      </c>
      <c r="J653" t="s">
        <v>34</v>
      </c>
      <c r="K653">
        <v>185</v>
      </c>
      <c r="L653">
        <v>378</v>
      </c>
      <c r="M653">
        <v>452</v>
      </c>
      <c r="N653">
        <v>192</v>
      </c>
      <c r="O653">
        <v>378</v>
      </c>
      <c r="P653">
        <v>457</v>
      </c>
      <c r="Q653">
        <v>183</v>
      </c>
      <c r="R653">
        <v>353</v>
      </c>
      <c r="S653">
        <v>419</v>
      </c>
      <c r="T653" t="s">
        <v>31</v>
      </c>
      <c r="U653" t="s">
        <v>31</v>
      </c>
      <c r="V653" t="s">
        <v>31</v>
      </c>
      <c r="W653" t="s">
        <v>31</v>
      </c>
      <c r="X653" t="s">
        <v>31</v>
      </c>
      <c r="Y653" t="s">
        <v>31</v>
      </c>
    </row>
    <row r="654" spans="1:25" hidden="1">
      <c r="A654" t="s">
        <v>25</v>
      </c>
      <c r="B654" t="s">
        <v>26</v>
      </c>
      <c r="C654" t="s">
        <v>46</v>
      </c>
      <c r="D654" s="1">
        <v>42420</v>
      </c>
      <c r="E654" s="2">
        <v>0.72916666666666663</v>
      </c>
      <c r="F654" t="s">
        <v>37</v>
      </c>
      <c r="G654" t="s">
        <v>38</v>
      </c>
      <c r="H654">
        <v>0</v>
      </c>
      <c r="I654">
        <v>0</v>
      </c>
      <c r="J654" t="s">
        <v>41</v>
      </c>
      <c r="K654">
        <v>225</v>
      </c>
      <c r="L654">
        <v>353</v>
      </c>
      <c r="M654">
        <v>335</v>
      </c>
      <c r="N654">
        <v>233</v>
      </c>
      <c r="O654">
        <v>36</v>
      </c>
      <c r="P654">
        <v>335</v>
      </c>
      <c r="Q654">
        <v>22</v>
      </c>
      <c r="R654">
        <v>335</v>
      </c>
      <c r="S654">
        <v>316</v>
      </c>
      <c r="T654" t="s">
        <v>31</v>
      </c>
      <c r="U654" t="s">
        <v>31</v>
      </c>
      <c r="V654" t="s">
        <v>31</v>
      </c>
      <c r="W654" t="s">
        <v>31</v>
      </c>
      <c r="X654" t="s">
        <v>31</v>
      </c>
      <c r="Y654" t="s">
        <v>31</v>
      </c>
    </row>
    <row r="655" spans="1:25" hidden="1">
      <c r="A655" t="s">
        <v>25</v>
      </c>
      <c r="B655" t="s">
        <v>26</v>
      </c>
      <c r="C655" t="s">
        <v>46</v>
      </c>
      <c r="D655" s="1">
        <v>42420</v>
      </c>
      <c r="E655" s="2">
        <v>0.72916666666666663</v>
      </c>
      <c r="F655" t="s">
        <v>29</v>
      </c>
      <c r="G655" t="s">
        <v>45</v>
      </c>
      <c r="H655">
        <v>2</v>
      </c>
      <c r="I655">
        <v>0</v>
      </c>
      <c r="J655" t="s">
        <v>34</v>
      </c>
      <c r="K655">
        <v>134</v>
      </c>
      <c r="L655">
        <v>575</v>
      </c>
      <c r="M655">
        <v>96</v>
      </c>
      <c r="N655">
        <v>137</v>
      </c>
      <c r="O655">
        <v>575</v>
      </c>
      <c r="P655">
        <v>11</v>
      </c>
      <c r="Q655">
        <v>131</v>
      </c>
      <c r="R655">
        <v>515</v>
      </c>
      <c r="S655">
        <v>9</v>
      </c>
      <c r="T655" t="s">
        <v>31</v>
      </c>
      <c r="U655" t="s">
        <v>31</v>
      </c>
      <c r="V655" t="s">
        <v>31</v>
      </c>
      <c r="W655" t="s">
        <v>31</v>
      </c>
      <c r="X655" t="s">
        <v>31</v>
      </c>
      <c r="Y655" t="s">
        <v>31</v>
      </c>
    </row>
    <row r="656" spans="1:25" hidden="1">
      <c r="A656" t="s">
        <v>25</v>
      </c>
      <c r="B656" t="s">
        <v>26</v>
      </c>
      <c r="C656" t="s">
        <v>46</v>
      </c>
      <c r="D656" s="1">
        <v>42421</v>
      </c>
      <c r="E656" s="2">
        <v>0.64583333333333337</v>
      </c>
      <c r="F656" t="s">
        <v>28</v>
      </c>
      <c r="G656" t="s">
        <v>35</v>
      </c>
      <c r="H656">
        <v>0</v>
      </c>
      <c r="I656">
        <v>2</v>
      </c>
      <c r="J656" t="s">
        <v>30</v>
      </c>
      <c r="K656">
        <v>254</v>
      </c>
      <c r="L656">
        <v>353</v>
      </c>
      <c r="M656">
        <v>288</v>
      </c>
      <c r="N656">
        <v>266</v>
      </c>
      <c r="O656">
        <v>353</v>
      </c>
      <c r="P656">
        <v>291</v>
      </c>
      <c r="Q656">
        <v>248</v>
      </c>
      <c r="R656">
        <v>331</v>
      </c>
      <c r="S656">
        <v>276</v>
      </c>
      <c r="T656" t="s">
        <v>31</v>
      </c>
      <c r="U656" t="s">
        <v>31</v>
      </c>
      <c r="V656" t="s">
        <v>31</v>
      </c>
      <c r="W656" t="s">
        <v>31</v>
      </c>
      <c r="X656" t="s">
        <v>31</v>
      </c>
      <c r="Y656" t="s">
        <v>31</v>
      </c>
    </row>
    <row r="657" spans="1:25" hidden="1">
      <c r="A657" t="s">
        <v>25</v>
      </c>
      <c r="B657" t="s">
        <v>26</v>
      </c>
      <c r="C657" t="s">
        <v>46</v>
      </c>
      <c r="D657" s="1">
        <v>42427</v>
      </c>
      <c r="E657" s="2">
        <v>0.625</v>
      </c>
      <c r="F657" t="s">
        <v>38</v>
      </c>
      <c r="G657" t="s">
        <v>28</v>
      </c>
      <c r="H657">
        <v>0</v>
      </c>
      <c r="I657">
        <v>1</v>
      </c>
      <c r="J657" t="s">
        <v>30</v>
      </c>
      <c r="K657">
        <v>293</v>
      </c>
      <c r="L657">
        <v>341</v>
      </c>
      <c r="M657">
        <v>256</v>
      </c>
      <c r="N657">
        <v>293</v>
      </c>
      <c r="O657">
        <v>35</v>
      </c>
      <c r="P657">
        <v>257</v>
      </c>
      <c r="Q657">
        <v>282</v>
      </c>
      <c r="R657">
        <v>325</v>
      </c>
      <c r="S657">
        <v>245</v>
      </c>
      <c r="T657" t="s">
        <v>31</v>
      </c>
      <c r="U657" t="s">
        <v>31</v>
      </c>
      <c r="V657" t="s">
        <v>31</v>
      </c>
      <c r="W657" t="s">
        <v>31</v>
      </c>
      <c r="X657" t="s">
        <v>31</v>
      </c>
      <c r="Y657" t="s">
        <v>31</v>
      </c>
    </row>
    <row r="658" spans="1:25" hidden="1">
      <c r="A658" t="s">
        <v>25</v>
      </c>
      <c r="B658" t="s">
        <v>26</v>
      </c>
      <c r="C658" t="s">
        <v>46</v>
      </c>
      <c r="D658" s="1">
        <v>42427</v>
      </c>
      <c r="E658" s="2">
        <v>0.72916666666666663</v>
      </c>
      <c r="F658" t="s">
        <v>45</v>
      </c>
      <c r="G658" t="s">
        <v>37</v>
      </c>
      <c r="H658">
        <v>1</v>
      </c>
      <c r="I658">
        <v>2</v>
      </c>
      <c r="J658" t="s">
        <v>30</v>
      </c>
      <c r="K658">
        <v>232</v>
      </c>
      <c r="L658">
        <v>336</v>
      </c>
      <c r="M658">
        <v>337</v>
      </c>
      <c r="N658">
        <v>235</v>
      </c>
      <c r="O658">
        <v>35</v>
      </c>
      <c r="P658">
        <v>375</v>
      </c>
      <c r="Q658">
        <v>217</v>
      </c>
      <c r="R658">
        <v>329</v>
      </c>
      <c r="S658">
        <v>33</v>
      </c>
      <c r="T658" t="s">
        <v>31</v>
      </c>
      <c r="U658" t="s">
        <v>31</v>
      </c>
      <c r="V658" t="s">
        <v>31</v>
      </c>
      <c r="W658" t="s">
        <v>31</v>
      </c>
      <c r="X658" t="s">
        <v>31</v>
      </c>
      <c r="Y658" t="s">
        <v>31</v>
      </c>
    </row>
    <row r="659" spans="1:25" hidden="1">
      <c r="A659" t="s">
        <v>25</v>
      </c>
      <c r="B659" t="s">
        <v>26</v>
      </c>
      <c r="C659" t="s">
        <v>46</v>
      </c>
      <c r="D659" s="1">
        <v>42427</v>
      </c>
      <c r="E659" s="2">
        <v>0.72916666666666663</v>
      </c>
      <c r="F659" t="s">
        <v>32</v>
      </c>
      <c r="G659" t="s">
        <v>39</v>
      </c>
      <c r="H659">
        <v>1</v>
      </c>
      <c r="I659">
        <v>1</v>
      </c>
      <c r="J659" t="s">
        <v>41</v>
      </c>
      <c r="K659">
        <v>3</v>
      </c>
      <c r="L659">
        <v>345</v>
      </c>
      <c r="M659">
        <v>249</v>
      </c>
      <c r="N659">
        <v>3</v>
      </c>
      <c r="O659">
        <v>35</v>
      </c>
      <c r="P659">
        <v>27</v>
      </c>
      <c r="Q659">
        <v>278</v>
      </c>
      <c r="R659">
        <v>329</v>
      </c>
      <c r="S659">
        <v>246</v>
      </c>
      <c r="T659" t="s">
        <v>31</v>
      </c>
      <c r="U659" t="s">
        <v>31</v>
      </c>
      <c r="V659" t="s">
        <v>31</v>
      </c>
      <c r="W659" t="s">
        <v>31</v>
      </c>
      <c r="X659" t="s">
        <v>31</v>
      </c>
      <c r="Y659" t="s">
        <v>31</v>
      </c>
    </row>
    <row r="660" spans="1:25" hidden="1">
      <c r="A660" t="s">
        <v>25</v>
      </c>
      <c r="B660" t="s">
        <v>26</v>
      </c>
      <c r="C660" t="s">
        <v>46</v>
      </c>
      <c r="D660" s="1">
        <v>42428</v>
      </c>
      <c r="E660" s="2">
        <v>0.54166666666666663</v>
      </c>
      <c r="F660" t="s">
        <v>35</v>
      </c>
      <c r="G660" t="s">
        <v>43</v>
      </c>
      <c r="H660">
        <v>3</v>
      </c>
      <c r="I660">
        <v>2</v>
      </c>
      <c r="J660" t="s">
        <v>34</v>
      </c>
      <c r="K660">
        <v>139</v>
      </c>
      <c r="L660">
        <v>528</v>
      </c>
      <c r="M660">
        <v>862</v>
      </c>
      <c r="N660">
        <v>139</v>
      </c>
      <c r="O660">
        <v>532</v>
      </c>
      <c r="P660">
        <v>93</v>
      </c>
      <c r="Q660">
        <v>135</v>
      </c>
      <c r="R660">
        <v>487</v>
      </c>
      <c r="S660">
        <v>811</v>
      </c>
      <c r="T660" t="s">
        <v>31</v>
      </c>
      <c r="U660" t="s">
        <v>31</v>
      </c>
      <c r="V660" t="s">
        <v>31</v>
      </c>
      <c r="W660" t="s">
        <v>31</v>
      </c>
      <c r="X660" t="s">
        <v>31</v>
      </c>
      <c r="Y660" t="s">
        <v>31</v>
      </c>
    </row>
    <row r="661" spans="1:25" hidden="1">
      <c r="A661" t="s">
        <v>25</v>
      </c>
      <c r="B661" t="s">
        <v>26</v>
      </c>
      <c r="C661" t="s">
        <v>46</v>
      </c>
      <c r="D661" s="1">
        <v>42428</v>
      </c>
      <c r="E661" s="2">
        <v>0.64583333333333337</v>
      </c>
      <c r="F661" t="s">
        <v>29</v>
      </c>
      <c r="G661" t="s">
        <v>40</v>
      </c>
      <c r="H661">
        <v>4</v>
      </c>
      <c r="I661">
        <v>1</v>
      </c>
      <c r="J661" t="s">
        <v>34</v>
      </c>
      <c r="K661">
        <v>146</v>
      </c>
      <c r="L661">
        <v>469</v>
      </c>
      <c r="M661">
        <v>79</v>
      </c>
      <c r="N661">
        <v>155</v>
      </c>
      <c r="O661">
        <v>485</v>
      </c>
      <c r="P661">
        <v>8</v>
      </c>
      <c r="Q661">
        <v>144</v>
      </c>
      <c r="R661">
        <v>44</v>
      </c>
      <c r="S661">
        <v>691</v>
      </c>
      <c r="T661" t="s">
        <v>31</v>
      </c>
      <c r="U661" t="s">
        <v>31</v>
      </c>
      <c r="V661" t="s">
        <v>31</v>
      </c>
      <c r="W661" t="s">
        <v>31</v>
      </c>
      <c r="X661" t="s">
        <v>31</v>
      </c>
      <c r="Y661" t="s">
        <v>31</v>
      </c>
    </row>
    <row r="662" spans="1:25" hidden="1">
      <c r="A662" t="s">
        <v>25</v>
      </c>
      <c r="B662" t="s">
        <v>26</v>
      </c>
      <c r="C662" t="s">
        <v>46</v>
      </c>
      <c r="D662" s="1">
        <v>42430</v>
      </c>
      <c r="E662" s="2">
        <v>0.75</v>
      </c>
      <c r="F662" t="s">
        <v>39</v>
      </c>
      <c r="G662" t="s">
        <v>45</v>
      </c>
      <c r="H662">
        <v>1</v>
      </c>
      <c r="I662">
        <v>0</v>
      </c>
      <c r="J662" t="s">
        <v>34</v>
      </c>
      <c r="K662">
        <v>176</v>
      </c>
      <c r="L662">
        <v>377</v>
      </c>
      <c r="M662">
        <v>523</v>
      </c>
      <c r="N662">
        <v>19</v>
      </c>
      <c r="O662">
        <v>378</v>
      </c>
      <c r="P662">
        <v>523</v>
      </c>
      <c r="Q662">
        <v>175</v>
      </c>
      <c r="R662">
        <v>356</v>
      </c>
      <c r="S662">
        <v>462</v>
      </c>
      <c r="T662" t="s">
        <v>31</v>
      </c>
      <c r="U662" t="s">
        <v>31</v>
      </c>
      <c r="V662" t="s">
        <v>31</v>
      </c>
      <c r="W662" t="s">
        <v>31</v>
      </c>
      <c r="X662" t="s">
        <v>31</v>
      </c>
      <c r="Y662" t="s">
        <v>31</v>
      </c>
    </row>
    <row r="663" spans="1:25" hidden="1">
      <c r="A663" t="s">
        <v>25</v>
      </c>
      <c r="B663" t="s">
        <v>26</v>
      </c>
      <c r="C663" t="s">
        <v>46</v>
      </c>
      <c r="D663" s="1">
        <v>42431</v>
      </c>
      <c r="E663" s="2">
        <v>0.72916666666666663</v>
      </c>
      <c r="F663" t="s">
        <v>37</v>
      </c>
      <c r="G663" t="s">
        <v>40</v>
      </c>
      <c r="H663">
        <v>0</v>
      </c>
      <c r="I663">
        <v>3</v>
      </c>
      <c r="J663" t="s">
        <v>30</v>
      </c>
      <c r="K663">
        <v>306</v>
      </c>
      <c r="L663">
        <v>342</v>
      </c>
      <c r="M663">
        <v>246</v>
      </c>
      <c r="N663">
        <v>306</v>
      </c>
      <c r="O663">
        <v>35</v>
      </c>
      <c r="P663">
        <v>265</v>
      </c>
      <c r="Q663">
        <v>284</v>
      </c>
      <c r="R663">
        <v>326</v>
      </c>
      <c r="S663">
        <v>243</v>
      </c>
      <c r="T663" t="s">
        <v>31</v>
      </c>
      <c r="U663" t="s">
        <v>31</v>
      </c>
      <c r="V663" t="s">
        <v>31</v>
      </c>
      <c r="W663" t="s">
        <v>31</v>
      </c>
      <c r="X663" t="s">
        <v>31</v>
      </c>
      <c r="Y663" t="s">
        <v>31</v>
      </c>
    </row>
    <row r="664" spans="1:25" hidden="1">
      <c r="A664" t="s">
        <v>25</v>
      </c>
      <c r="B664" t="s">
        <v>26</v>
      </c>
      <c r="C664" t="s">
        <v>46</v>
      </c>
      <c r="D664" s="1">
        <v>42431</v>
      </c>
      <c r="E664" s="2">
        <v>0.72916666666666663</v>
      </c>
      <c r="F664" t="s">
        <v>43</v>
      </c>
      <c r="G664" t="s">
        <v>38</v>
      </c>
      <c r="H664">
        <v>2</v>
      </c>
      <c r="I664">
        <v>2</v>
      </c>
      <c r="J664" t="s">
        <v>41</v>
      </c>
      <c r="K664">
        <v>262</v>
      </c>
      <c r="L664">
        <v>341</v>
      </c>
      <c r="M664">
        <v>287</v>
      </c>
      <c r="N664">
        <v>277</v>
      </c>
      <c r="O664">
        <v>341</v>
      </c>
      <c r="P664">
        <v>304</v>
      </c>
      <c r="Q664">
        <v>249</v>
      </c>
      <c r="R664">
        <v>32</v>
      </c>
      <c r="S664">
        <v>281</v>
      </c>
      <c r="T664" t="s">
        <v>31</v>
      </c>
      <c r="U664" t="s">
        <v>31</v>
      </c>
      <c r="V664" t="s">
        <v>31</v>
      </c>
      <c r="W664" t="s">
        <v>31</v>
      </c>
      <c r="X664" t="s">
        <v>31</v>
      </c>
      <c r="Y664" t="s">
        <v>31</v>
      </c>
    </row>
    <row r="665" spans="1:25" hidden="1">
      <c r="A665" t="s">
        <v>25</v>
      </c>
      <c r="B665" t="s">
        <v>26</v>
      </c>
      <c r="C665" t="s">
        <v>46</v>
      </c>
      <c r="D665" s="1">
        <v>42431</v>
      </c>
      <c r="E665" s="2">
        <v>0.72916666666666663</v>
      </c>
      <c r="F665" t="s">
        <v>35</v>
      </c>
      <c r="G665" t="s">
        <v>32</v>
      </c>
      <c r="H665">
        <v>3</v>
      </c>
      <c r="I665">
        <v>0</v>
      </c>
      <c r="J665" t="s">
        <v>34</v>
      </c>
      <c r="K665">
        <v>139</v>
      </c>
      <c r="L665">
        <v>525</v>
      </c>
      <c r="M665">
        <v>854</v>
      </c>
      <c r="N665">
        <v>14</v>
      </c>
      <c r="O665">
        <v>55</v>
      </c>
      <c r="P665">
        <v>956</v>
      </c>
      <c r="Q665">
        <v>136</v>
      </c>
      <c r="R665">
        <v>493</v>
      </c>
      <c r="S665">
        <v>789</v>
      </c>
      <c r="T665" t="s">
        <v>31</v>
      </c>
      <c r="U665" t="s">
        <v>31</v>
      </c>
      <c r="V665" t="s">
        <v>31</v>
      </c>
      <c r="W665" t="s">
        <v>31</v>
      </c>
      <c r="X665" t="s">
        <v>31</v>
      </c>
      <c r="Y665" t="s">
        <v>31</v>
      </c>
    </row>
    <row r="666" spans="1:25" hidden="1">
      <c r="A666" t="s">
        <v>25</v>
      </c>
      <c r="B666" t="s">
        <v>26</v>
      </c>
      <c r="C666" t="s">
        <v>46</v>
      </c>
      <c r="D666" s="1">
        <v>42431</v>
      </c>
      <c r="E666" s="2">
        <v>0.8125</v>
      </c>
      <c r="F666" t="s">
        <v>28</v>
      </c>
      <c r="G666" t="s">
        <v>29</v>
      </c>
      <c r="H666">
        <v>0</v>
      </c>
      <c r="I666">
        <v>0</v>
      </c>
      <c r="J666" t="s">
        <v>41</v>
      </c>
      <c r="K666">
        <v>415</v>
      </c>
      <c r="L666">
        <v>375</v>
      </c>
      <c r="M666">
        <v>193</v>
      </c>
      <c r="N666">
        <v>481</v>
      </c>
      <c r="O666">
        <v>39</v>
      </c>
      <c r="P666">
        <v>196</v>
      </c>
      <c r="Q666">
        <v>407</v>
      </c>
      <c r="R666">
        <v>355</v>
      </c>
      <c r="S666">
        <v>185</v>
      </c>
      <c r="T666" t="s">
        <v>31</v>
      </c>
      <c r="U666" t="s">
        <v>31</v>
      </c>
      <c r="V666" t="s">
        <v>31</v>
      </c>
      <c r="W666" t="s">
        <v>31</v>
      </c>
      <c r="X666" t="s">
        <v>31</v>
      </c>
      <c r="Y666" t="s">
        <v>31</v>
      </c>
    </row>
    <row r="667" spans="1:25" hidden="1">
      <c r="A667" t="s">
        <v>25</v>
      </c>
      <c r="B667" t="s">
        <v>26</v>
      </c>
      <c r="C667" t="s">
        <v>46</v>
      </c>
      <c r="D667" s="1">
        <v>42434</v>
      </c>
      <c r="E667" s="2">
        <v>0.625</v>
      </c>
      <c r="F667" t="s">
        <v>29</v>
      </c>
      <c r="G667" t="s">
        <v>43</v>
      </c>
      <c r="H667">
        <v>3</v>
      </c>
      <c r="I667">
        <v>0</v>
      </c>
      <c r="J667" t="s">
        <v>34</v>
      </c>
      <c r="K667">
        <v>123</v>
      </c>
      <c r="L667">
        <v>729</v>
      </c>
      <c r="M667">
        <v>1311</v>
      </c>
      <c r="N667">
        <v>125</v>
      </c>
      <c r="O667">
        <v>74</v>
      </c>
      <c r="P667">
        <v>1315</v>
      </c>
      <c r="Q667">
        <v>122</v>
      </c>
      <c r="R667">
        <v>637</v>
      </c>
      <c r="S667">
        <v>1144</v>
      </c>
      <c r="T667" t="s">
        <v>31</v>
      </c>
      <c r="U667" t="s">
        <v>31</v>
      </c>
      <c r="V667" t="s">
        <v>31</v>
      </c>
      <c r="W667" t="s">
        <v>31</v>
      </c>
      <c r="X667" t="s">
        <v>31</v>
      </c>
      <c r="Y667" t="s">
        <v>31</v>
      </c>
    </row>
    <row r="668" spans="1:25" hidden="1">
      <c r="A668" t="s">
        <v>25</v>
      </c>
      <c r="B668" t="s">
        <v>26</v>
      </c>
      <c r="C668" t="s">
        <v>46</v>
      </c>
      <c r="D668" s="1">
        <v>42434</v>
      </c>
      <c r="E668" s="2">
        <v>0.72916666666666663</v>
      </c>
      <c r="F668" t="s">
        <v>37</v>
      </c>
      <c r="G668" t="s">
        <v>39</v>
      </c>
      <c r="H668">
        <v>0</v>
      </c>
      <c r="I668">
        <v>2</v>
      </c>
      <c r="J668" t="s">
        <v>30</v>
      </c>
      <c r="K668">
        <v>262</v>
      </c>
      <c r="L668">
        <v>327</v>
      </c>
      <c r="M668">
        <v>296</v>
      </c>
      <c r="N668">
        <v>265</v>
      </c>
      <c r="O668">
        <v>336</v>
      </c>
      <c r="P668">
        <v>296</v>
      </c>
      <c r="Q668">
        <v>253</v>
      </c>
      <c r="R668">
        <v>316</v>
      </c>
      <c r="S668">
        <v>278</v>
      </c>
      <c r="T668" t="s">
        <v>31</v>
      </c>
      <c r="U668" t="s">
        <v>31</v>
      </c>
      <c r="V668" t="s">
        <v>31</v>
      </c>
      <c r="W668" t="s">
        <v>31</v>
      </c>
      <c r="X668" t="s">
        <v>31</v>
      </c>
      <c r="Y668" t="s">
        <v>31</v>
      </c>
    </row>
    <row r="669" spans="1:25" hidden="1">
      <c r="A669" t="s">
        <v>25</v>
      </c>
      <c r="B669" t="s">
        <v>26</v>
      </c>
      <c r="C669" t="s">
        <v>46</v>
      </c>
      <c r="D669" s="1">
        <v>42434</v>
      </c>
      <c r="E669" s="2">
        <v>0.72916666666666663</v>
      </c>
      <c r="F669" t="s">
        <v>40</v>
      </c>
      <c r="G669" t="s">
        <v>38</v>
      </c>
      <c r="H669">
        <v>3</v>
      </c>
      <c r="I669">
        <v>1</v>
      </c>
      <c r="J669" t="s">
        <v>34</v>
      </c>
      <c r="K669">
        <v>178</v>
      </c>
      <c r="L669">
        <v>391</v>
      </c>
      <c r="M669">
        <v>481</v>
      </c>
      <c r="N669">
        <v>18</v>
      </c>
      <c r="O669">
        <v>391</v>
      </c>
      <c r="P669">
        <v>5</v>
      </c>
      <c r="Q669">
        <v>176</v>
      </c>
      <c r="R669">
        <v>367</v>
      </c>
      <c r="S669">
        <v>44</v>
      </c>
      <c r="T669" t="s">
        <v>31</v>
      </c>
      <c r="U669" t="s">
        <v>31</v>
      </c>
      <c r="V669" t="s">
        <v>31</v>
      </c>
      <c r="W669" t="s">
        <v>31</v>
      </c>
      <c r="X669" t="s">
        <v>31</v>
      </c>
      <c r="Y669" t="s">
        <v>31</v>
      </c>
    </row>
    <row r="670" spans="1:25" hidden="1">
      <c r="A670" t="s">
        <v>25</v>
      </c>
      <c r="B670" t="s">
        <v>26</v>
      </c>
      <c r="C670" t="s">
        <v>46</v>
      </c>
      <c r="D670" s="1">
        <v>42434</v>
      </c>
      <c r="E670" s="2">
        <v>0.72916666666666663</v>
      </c>
      <c r="F670" t="s">
        <v>32</v>
      </c>
      <c r="G670" t="s">
        <v>28</v>
      </c>
      <c r="H670">
        <v>1</v>
      </c>
      <c r="I670">
        <v>0</v>
      </c>
      <c r="J670" t="s">
        <v>34</v>
      </c>
      <c r="K670">
        <v>347</v>
      </c>
      <c r="L670">
        <v>354</v>
      </c>
      <c r="M670">
        <v>22</v>
      </c>
      <c r="N670">
        <v>365</v>
      </c>
      <c r="O670">
        <v>356</v>
      </c>
      <c r="P670">
        <v>23</v>
      </c>
      <c r="Q670">
        <v>331</v>
      </c>
      <c r="R670">
        <v>335</v>
      </c>
      <c r="S670">
        <v>214</v>
      </c>
      <c r="T670" t="s">
        <v>31</v>
      </c>
      <c r="U670" t="s">
        <v>31</v>
      </c>
      <c r="V670" t="s">
        <v>31</v>
      </c>
      <c r="W670" t="s">
        <v>31</v>
      </c>
      <c r="X670" t="s">
        <v>31</v>
      </c>
      <c r="Y670" t="s">
        <v>31</v>
      </c>
    </row>
    <row r="671" spans="1:25" hidden="1">
      <c r="A671" t="s">
        <v>25</v>
      </c>
      <c r="B671" t="s">
        <v>26</v>
      </c>
      <c r="C671" t="s">
        <v>46</v>
      </c>
      <c r="D671" s="1">
        <v>42435</v>
      </c>
      <c r="E671" s="2">
        <v>0.64583333333333337</v>
      </c>
      <c r="F671" t="s">
        <v>45</v>
      </c>
      <c r="G671" t="s">
        <v>35</v>
      </c>
      <c r="H671">
        <v>0</v>
      </c>
      <c r="I671">
        <v>0</v>
      </c>
      <c r="J671" t="s">
        <v>41</v>
      </c>
      <c r="K671">
        <v>472</v>
      </c>
      <c r="L671">
        <v>384</v>
      </c>
      <c r="M671">
        <v>181</v>
      </c>
      <c r="N671">
        <v>495</v>
      </c>
      <c r="O671">
        <v>415</v>
      </c>
      <c r="P671">
        <v>192</v>
      </c>
      <c r="Q671">
        <v>426</v>
      </c>
      <c r="R671">
        <v>362</v>
      </c>
      <c r="S671">
        <v>179</v>
      </c>
      <c r="T671" t="s">
        <v>31</v>
      </c>
      <c r="U671" t="s">
        <v>31</v>
      </c>
      <c r="V671" t="s">
        <v>31</v>
      </c>
      <c r="W671" t="s">
        <v>31</v>
      </c>
      <c r="X671" t="s">
        <v>31</v>
      </c>
      <c r="Y671" t="s">
        <v>31</v>
      </c>
    </row>
    <row r="672" spans="1:25" hidden="1">
      <c r="A672" t="s">
        <v>25</v>
      </c>
      <c r="B672" t="s">
        <v>26</v>
      </c>
      <c r="C672" t="s">
        <v>46</v>
      </c>
      <c r="D672" s="1">
        <v>42441</v>
      </c>
      <c r="E672" s="2">
        <v>0.625</v>
      </c>
      <c r="F672" t="s">
        <v>39</v>
      </c>
      <c r="G672" t="s">
        <v>29</v>
      </c>
      <c r="H672">
        <v>1</v>
      </c>
      <c r="I672">
        <v>1</v>
      </c>
      <c r="J672" t="s">
        <v>41</v>
      </c>
      <c r="K672">
        <v>561</v>
      </c>
      <c r="L672">
        <v>403</v>
      </c>
      <c r="M672">
        <v>167</v>
      </c>
      <c r="N672">
        <v>561</v>
      </c>
      <c r="O672">
        <v>422</v>
      </c>
      <c r="P672">
        <v>185</v>
      </c>
      <c r="Q672">
        <v>487</v>
      </c>
      <c r="R672">
        <v>377</v>
      </c>
      <c r="S672">
        <v>168</v>
      </c>
      <c r="T672" t="s">
        <v>31</v>
      </c>
      <c r="U672" t="s">
        <v>31</v>
      </c>
      <c r="V672" t="s">
        <v>31</v>
      </c>
      <c r="W672" t="s">
        <v>31</v>
      </c>
      <c r="X672" t="s">
        <v>31</v>
      </c>
      <c r="Y672" t="s">
        <v>31</v>
      </c>
    </row>
    <row r="673" spans="1:25" hidden="1">
      <c r="A673" t="s">
        <v>25</v>
      </c>
      <c r="B673" t="s">
        <v>26</v>
      </c>
      <c r="C673" t="s">
        <v>46</v>
      </c>
      <c r="D673" s="1">
        <v>42441</v>
      </c>
      <c r="E673" s="2">
        <v>0.72916666666666663</v>
      </c>
      <c r="F673" t="s">
        <v>43</v>
      </c>
      <c r="G673" t="s">
        <v>32</v>
      </c>
      <c r="H673">
        <v>0</v>
      </c>
      <c r="I673">
        <v>1</v>
      </c>
      <c r="J673" t="s">
        <v>30</v>
      </c>
      <c r="K673">
        <v>219</v>
      </c>
      <c r="L673">
        <v>354</v>
      </c>
      <c r="M673">
        <v>351</v>
      </c>
      <c r="N673">
        <v>219</v>
      </c>
      <c r="O673">
        <v>375</v>
      </c>
      <c r="P673">
        <v>36</v>
      </c>
      <c r="Q673">
        <v>212</v>
      </c>
      <c r="R673">
        <v>341</v>
      </c>
      <c r="S673">
        <v>33</v>
      </c>
      <c r="T673" t="s">
        <v>31</v>
      </c>
      <c r="U673" t="s">
        <v>31</v>
      </c>
      <c r="V673" t="s">
        <v>31</v>
      </c>
      <c r="W673" t="s">
        <v>31</v>
      </c>
      <c r="X673" t="s">
        <v>31</v>
      </c>
      <c r="Y673" t="s">
        <v>31</v>
      </c>
    </row>
    <row r="674" spans="1:25" hidden="1">
      <c r="A674" t="s">
        <v>25</v>
      </c>
      <c r="B674" t="s">
        <v>26</v>
      </c>
      <c r="C674" t="s">
        <v>46</v>
      </c>
      <c r="D674" s="1">
        <v>42441</v>
      </c>
      <c r="E674" s="2">
        <v>0.72916666666666663</v>
      </c>
      <c r="F674" t="s">
        <v>35</v>
      </c>
      <c r="G674" t="s">
        <v>37</v>
      </c>
      <c r="H674">
        <v>0</v>
      </c>
      <c r="I674">
        <v>4</v>
      </c>
      <c r="J674" t="s">
        <v>30</v>
      </c>
      <c r="K674">
        <v>145</v>
      </c>
      <c r="L674">
        <v>485</v>
      </c>
      <c r="M674">
        <v>768</v>
      </c>
      <c r="N674">
        <v>145</v>
      </c>
      <c r="O674">
        <v>51</v>
      </c>
      <c r="P674">
        <v>803</v>
      </c>
      <c r="Q674">
        <v>141</v>
      </c>
      <c r="R674">
        <v>458</v>
      </c>
      <c r="S674">
        <v>725</v>
      </c>
      <c r="T674" t="s">
        <v>31</v>
      </c>
      <c r="U674" t="s">
        <v>31</v>
      </c>
      <c r="V674" t="s">
        <v>31</v>
      </c>
      <c r="W674" t="s">
        <v>31</v>
      </c>
      <c r="X674" t="s">
        <v>31</v>
      </c>
      <c r="Y674" t="s">
        <v>31</v>
      </c>
    </row>
    <row r="675" spans="1:25" hidden="1">
      <c r="A675" t="s">
        <v>25</v>
      </c>
      <c r="B675" t="s">
        <v>26</v>
      </c>
      <c r="C675" t="s">
        <v>46</v>
      </c>
      <c r="D675" s="1">
        <v>42441</v>
      </c>
      <c r="E675" s="2">
        <v>0.72916666666666663</v>
      </c>
      <c r="F675" t="s">
        <v>38</v>
      </c>
      <c r="G675" t="s">
        <v>45</v>
      </c>
      <c r="H675">
        <v>0</v>
      </c>
      <c r="I675">
        <v>2</v>
      </c>
      <c r="J675" t="s">
        <v>30</v>
      </c>
      <c r="K675">
        <v>192</v>
      </c>
      <c r="L675">
        <v>372</v>
      </c>
      <c r="M675">
        <v>427</v>
      </c>
      <c r="N675">
        <v>192</v>
      </c>
      <c r="O675">
        <v>39</v>
      </c>
      <c r="P675">
        <v>45</v>
      </c>
      <c r="Q675">
        <v>184</v>
      </c>
      <c r="R675">
        <v>354</v>
      </c>
      <c r="S675">
        <v>412</v>
      </c>
      <c r="T675" t="s">
        <v>31</v>
      </c>
      <c r="U675" t="s">
        <v>31</v>
      </c>
      <c r="V675" t="s">
        <v>31</v>
      </c>
      <c r="W675" t="s">
        <v>31</v>
      </c>
      <c r="X675" t="s">
        <v>31</v>
      </c>
      <c r="Y675" t="s">
        <v>31</v>
      </c>
    </row>
    <row r="676" spans="1:25" hidden="1">
      <c r="A676" t="s">
        <v>25</v>
      </c>
      <c r="B676" t="s">
        <v>26</v>
      </c>
      <c r="C676" t="s">
        <v>46</v>
      </c>
      <c r="D676" s="1">
        <v>42442</v>
      </c>
      <c r="E676" s="2">
        <v>0.64583333333333337</v>
      </c>
      <c r="F676" t="s">
        <v>28</v>
      </c>
      <c r="G676" t="s">
        <v>40</v>
      </c>
      <c r="H676">
        <v>1</v>
      </c>
      <c r="I676">
        <v>1</v>
      </c>
      <c r="J676" t="s">
        <v>41</v>
      </c>
      <c r="K676">
        <v>211</v>
      </c>
      <c r="L676">
        <v>358</v>
      </c>
      <c r="M676">
        <v>367</v>
      </c>
      <c r="N676">
        <v>214</v>
      </c>
      <c r="O676">
        <v>358</v>
      </c>
      <c r="P676">
        <v>37</v>
      </c>
      <c r="Q676">
        <v>206</v>
      </c>
      <c r="R676">
        <v>337</v>
      </c>
      <c r="S676">
        <v>346</v>
      </c>
      <c r="T676" t="s">
        <v>31</v>
      </c>
      <c r="U676" t="s">
        <v>31</v>
      </c>
      <c r="V676" t="s">
        <v>31</v>
      </c>
      <c r="W676" t="s">
        <v>31</v>
      </c>
      <c r="X676" t="s">
        <v>31</v>
      </c>
      <c r="Y676" t="s">
        <v>31</v>
      </c>
    </row>
    <row r="677" spans="1:25" hidden="1">
      <c r="A677" t="s">
        <v>25</v>
      </c>
      <c r="B677" t="s">
        <v>26</v>
      </c>
      <c r="C677" t="s">
        <v>46</v>
      </c>
      <c r="D677" s="1">
        <v>42448</v>
      </c>
      <c r="E677" s="2">
        <v>0.625</v>
      </c>
      <c r="F677" t="s">
        <v>40</v>
      </c>
      <c r="G677" t="s">
        <v>39</v>
      </c>
      <c r="H677">
        <v>0</v>
      </c>
      <c r="I677">
        <v>0</v>
      </c>
      <c r="J677" t="s">
        <v>41</v>
      </c>
      <c r="K677">
        <v>183</v>
      </c>
      <c r="L677">
        <v>381</v>
      </c>
      <c r="M677">
        <v>463</v>
      </c>
      <c r="N677">
        <v>19</v>
      </c>
      <c r="O677">
        <v>381</v>
      </c>
      <c r="P677">
        <v>475</v>
      </c>
      <c r="Q677">
        <v>179</v>
      </c>
      <c r="R677">
        <v>358</v>
      </c>
      <c r="S677">
        <v>432</v>
      </c>
      <c r="T677" t="s">
        <v>31</v>
      </c>
      <c r="U677" t="s">
        <v>31</v>
      </c>
      <c r="V677" t="s">
        <v>31</v>
      </c>
      <c r="W677" t="s">
        <v>31</v>
      </c>
      <c r="X677" t="s">
        <v>31</v>
      </c>
      <c r="Y677" t="s">
        <v>31</v>
      </c>
    </row>
    <row r="678" spans="1:25" hidden="1">
      <c r="A678" t="s">
        <v>25</v>
      </c>
      <c r="B678" t="s">
        <v>26</v>
      </c>
      <c r="C678" t="s">
        <v>46</v>
      </c>
      <c r="D678" s="1">
        <v>42448</v>
      </c>
      <c r="E678" s="2">
        <v>0.72916666666666663</v>
      </c>
      <c r="F678" t="s">
        <v>37</v>
      </c>
      <c r="G678" t="s">
        <v>28</v>
      </c>
      <c r="H678">
        <v>1</v>
      </c>
      <c r="I678">
        <v>0</v>
      </c>
      <c r="J678" t="s">
        <v>34</v>
      </c>
      <c r="K678">
        <v>408</v>
      </c>
      <c r="L678">
        <v>357</v>
      </c>
      <c r="M678">
        <v>2</v>
      </c>
      <c r="N678">
        <v>45</v>
      </c>
      <c r="O678">
        <v>365</v>
      </c>
      <c r="P678">
        <v>25</v>
      </c>
      <c r="Q678">
        <v>38</v>
      </c>
      <c r="R678">
        <v>343</v>
      </c>
      <c r="S678">
        <v>198</v>
      </c>
      <c r="T678" t="s">
        <v>31</v>
      </c>
      <c r="U678" t="s">
        <v>31</v>
      </c>
      <c r="V678" t="s">
        <v>31</v>
      </c>
      <c r="W678" t="s">
        <v>31</v>
      </c>
      <c r="X678" t="s">
        <v>31</v>
      </c>
      <c r="Y678" t="s">
        <v>31</v>
      </c>
    </row>
    <row r="679" spans="1:25" hidden="1">
      <c r="A679" t="s">
        <v>25</v>
      </c>
      <c r="B679" t="s">
        <v>26</v>
      </c>
      <c r="C679" t="s">
        <v>46</v>
      </c>
      <c r="D679" s="1">
        <v>42448</v>
      </c>
      <c r="E679" s="2">
        <v>0.72916666666666663</v>
      </c>
      <c r="F679" t="s">
        <v>45</v>
      </c>
      <c r="G679" t="s">
        <v>43</v>
      </c>
      <c r="H679">
        <v>1</v>
      </c>
      <c r="I679">
        <v>0</v>
      </c>
      <c r="J679" t="s">
        <v>34</v>
      </c>
      <c r="K679">
        <v>212</v>
      </c>
      <c r="L679">
        <v>355</v>
      </c>
      <c r="M679">
        <v>368</v>
      </c>
      <c r="N679">
        <v>213</v>
      </c>
      <c r="O679">
        <v>356</v>
      </c>
      <c r="P679">
        <v>375</v>
      </c>
      <c r="Q679">
        <v>204</v>
      </c>
      <c r="R679">
        <v>337</v>
      </c>
      <c r="S679">
        <v>353</v>
      </c>
      <c r="T679" t="s">
        <v>31</v>
      </c>
      <c r="U679" t="s">
        <v>31</v>
      </c>
      <c r="V679" t="s">
        <v>31</v>
      </c>
      <c r="W679" t="s">
        <v>31</v>
      </c>
      <c r="X679" t="s">
        <v>31</v>
      </c>
      <c r="Y679" t="s">
        <v>31</v>
      </c>
    </row>
    <row r="680" spans="1:25" hidden="1">
      <c r="A680" t="s">
        <v>25</v>
      </c>
      <c r="B680" t="s">
        <v>26</v>
      </c>
      <c r="C680" t="s">
        <v>46</v>
      </c>
      <c r="D680" s="1">
        <v>42448</v>
      </c>
      <c r="E680" s="2">
        <v>0.72916666666666663</v>
      </c>
      <c r="F680" t="s">
        <v>29</v>
      </c>
      <c r="G680" t="s">
        <v>32</v>
      </c>
      <c r="H680">
        <v>2</v>
      </c>
      <c r="I680">
        <v>1</v>
      </c>
      <c r="J680" t="s">
        <v>34</v>
      </c>
      <c r="K680">
        <v>12</v>
      </c>
      <c r="L680">
        <v>752</v>
      </c>
      <c r="M680">
        <v>1633</v>
      </c>
      <c r="N680">
        <v>122</v>
      </c>
      <c r="O680">
        <v>752</v>
      </c>
      <c r="P680">
        <v>1633</v>
      </c>
      <c r="Q680">
        <v>12</v>
      </c>
      <c r="R680">
        <v>646</v>
      </c>
      <c r="S680">
        <v>1328</v>
      </c>
      <c r="T680" t="s">
        <v>31</v>
      </c>
      <c r="U680" t="s">
        <v>31</v>
      </c>
      <c r="V680" t="s">
        <v>31</v>
      </c>
      <c r="W680" t="s">
        <v>31</v>
      </c>
      <c r="X680" t="s">
        <v>31</v>
      </c>
      <c r="Y680" t="s">
        <v>31</v>
      </c>
    </row>
    <row r="681" spans="1:25" hidden="1">
      <c r="A681" t="s">
        <v>25</v>
      </c>
      <c r="B681" t="s">
        <v>26</v>
      </c>
      <c r="C681" t="s">
        <v>46</v>
      </c>
      <c r="D681" s="1">
        <v>42449</v>
      </c>
      <c r="E681" s="2">
        <v>0.64583333333333337</v>
      </c>
      <c r="F681" t="s">
        <v>38</v>
      </c>
      <c r="G681" t="s">
        <v>35</v>
      </c>
      <c r="H681">
        <v>1</v>
      </c>
      <c r="I681">
        <v>0</v>
      </c>
      <c r="J681" t="s">
        <v>34</v>
      </c>
      <c r="K681">
        <v>393</v>
      </c>
      <c r="L681">
        <v>364</v>
      </c>
      <c r="M681">
        <v>202</v>
      </c>
      <c r="N681">
        <v>395</v>
      </c>
      <c r="O681">
        <v>368</v>
      </c>
      <c r="P681">
        <v>21</v>
      </c>
      <c r="Q681">
        <v>364</v>
      </c>
      <c r="R681">
        <v>344</v>
      </c>
      <c r="S681">
        <v>198</v>
      </c>
      <c r="T681" t="s">
        <v>31</v>
      </c>
      <c r="U681" t="s">
        <v>31</v>
      </c>
      <c r="V681" t="s">
        <v>31</v>
      </c>
      <c r="W681" t="s">
        <v>31</v>
      </c>
      <c r="X681" t="s">
        <v>31</v>
      </c>
      <c r="Y681" t="s">
        <v>31</v>
      </c>
    </row>
    <row r="682" spans="1:25" hidden="1">
      <c r="A682" t="s">
        <v>25</v>
      </c>
      <c r="B682" t="s">
        <v>26</v>
      </c>
      <c r="C682" t="s">
        <v>46</v>
      </c>
      <c r="D682" s="1">
        <v>42462</v>
      </c>
      <c r="E682" s="2">
        <v>0.625</v>
      </c>
      <c r="F682" t="s">
        <v>43</v>
      </c>
      <c r="G682" t="s">
        <v>28</v>
      </c>
      <c r="H682">
        <v>1</v>
      </c>
      <c r="I682">
        <v>3</v>
      </c>
      <c r="J682" t="s">
        <v>30</v>
      </c>
      <c r="K682">
        <v>388</v>
      </c>
      <c r="L682">
        <v>351</v>
      </c>
      <c r="M682">
        <v>207</v>
      </c>
      <c r="N682">
        <v>388</v>
      </c>
      <c r="O682">
        <v>351</v>
      </c>
      <c r="P682">
        <v>22</v>
      </c>
      <c r="Q682">
        <v>342</v>
      </c>
      <c r="R682">
        <v>333</v>
      </c>
      <c r="S682">
        <v>209</v>
      </c>
      <c r="T682" t="s">
        <v>31</v>
      </c>
      <c r="U682" t="s">
        <v>31</v>
      </c>
      <c r="V682" t="s">
        <v>31</v>
      </c>
      <c r="W682" t="s">
        <v>31</v>
      </c>
      <c r="X682" t="s">
        <v>31</v>
      </c>
      <c r="Y682" t="s">
        <v>31</v>
      </c>
    </row>
    <row r="683" spans="1:25" hidden="1">
      <c r="A683" t="s">
        <v>25</v>
      </c>
      <c r="B683" t="s">
        <v>26</v>
      </c>
      <c r="C683" t="s">
        <v>46</v>
      </c>
      <c r="D683" s="1">
        <v>42462</v>
      </c>
      <c r="E683" s="2">
        <v>0.72916666666666663</v>
      </c>
      <c r="F683" t="s">
        <v>39</v>
      </c>
      <c r="G683" t="s">
        <v>38</v>
      </c>
      <c r="H683">
        <v>1</v>
      </c>
      <c r="I683">
        <v>0</v>
      </c>
      <c r="J683" t="s">
        <v>34</v>
      </c>
      <c r="K683">
        <v>208</v>
      </c>
      <c r="L683">
        <v>347</v>
      </c>
      <c r="M683">
        <v>39</v>
      </c>
      <c r="N683">
        <v>209</v>
      </c>
      <c r="O683">
        <v>35</v>
      </c>
      <c r="P683">
        <v>415</v>
      </c>
      <c r="Q683">
        <v>2</v>
      </c>
      <c r="R683">
        <v>334</v>
      </c>
      <c r="S683">
        <v>371</v>
      </c>
      <c r="T683" t="s">
        <v>31</v>
      </c>
      <c r="U683" t="s">
        <v>31</v>
      </c>
      <c r="V683" t="s">
        <v>31</v>
      </c>
      <c r="W683" t="s">
        <v>31</v>
      </c>
      <c r="X683" t="s">
        <v>31</v>
      </c>
      <c r="Y683" t="s">
        <v>31</v>
      </c>
    </row>
    <row r="684" spans="1:25" hidden="1">
      <c r="A684" t="s">
        <v>25</v>
      </c>
      <c r="B684" t="s">
        <v>26</v>
      </c>
      <c r="C684" t="s">
        <v>46</v>
      </c>
      <c r="D684" s="1">
        <v>42462</v>
      </c>
      <c r="E684" s="2">
        <v>0.72916666666666663</v>
      </c>
      <c r="F684" t="s">
        <v>45</v>
      </c>
      <c r="G684" t="s">
        <v>40</v>
      </c>
      <c r="H684">
        <v>2</v>
      </c>
      <c r="I684">
        <v>0</v>
      </c>
      <c r="J684" t="s">
        <v>34</v>
      </c>
      <c r="K684">
        <v>353</v>
      </c>
      <c r="L684">
        <v>354</v>
      </c>
      <c r="M684">
        <v>218</v>
      </c>
      <c r="N684">
        <v>364</v>
      </c>
      <c r="O684">
        <v>354</v>
      </c>
      <c r="P684">
        <v>237</v>
      </c>
      <c r="Q684">
        <v>322</v>
      </c>
      <c r="R684">
        <v>336</v>
      </c>
      <c r="S684">
        <v>217</v>
      </c>
      <c r="T684" t="s">
        <v>31</v>
      </c>
      <c r="U684" t="s">
        <v>31</v>
      </c>
      <c r="V684" t="s">
        <v>31</v>
      </c>
      <c r="W684" t="s">
        <v>31</v>
      </c>
      <c r="X684" t="s">
        <v>31</v>
      </c>
      <c r="Y684" t="s">
        <v>31</v>
      </c>
    </row>
    <row r="685" spans="1:25" hidden="1">
      <c r="A685" t="s">
        <v>25</v>
      </c>
      <c r="B685" t="s">
        <v>26</v>
      </c>
      <c r="C685" t="s">
        <v>46</v>
      </c>
      <c r="D685" s="1">
        <v>42462</v>
      </c>
      <c r="E685" s="2">
        <v>0.72916666666666663</v>
      </c>
      <c r="F685" t="s">
        <v>32</v>
      </c>
      <c r="G685" t="s">
        <v>37</v>
      </c>
      <c r="H685">
        <v>0</v>
      </c>
      <c r="I685">
        <v>3</v>
      </c>
      <c r="J685" t="s">
        <v>30</v>
      </c>
      <c r="K685">
        <v>213</v>
      </c>
      <c r="L685">
        <v>357</v>
      </c>
      <c r="M685">
        <v>362</v>
      </c>
      <c r="N685">
        <v>236</v>
      </c>
      <c r="O685">
        <v>357</v>
      </c>
      <c r="P685">
        <v>375</v>
      </c>
      <c r="Q685">
        <v>214</v>
      </c>
      <c r="R685">
        <v>337</v>
      </c>
      <c r="S685">
        <v>331</v>
      </c>
      <c r="T685" t="s">
        <v>31</v>
      </c>
      <c r="U685" t="s">
        <v>31</v>
      </c>
      <c r="V685" t="s">
        <v>31</v>
      </c>
      <c r="W685" t="s">
        <v>31</v>
      </c>
      <c r="X685" t="s">
        <v>31</v>
      </c>
      <c r="Y685" t="s">
        <v>31</v>
      </c>
    </row>
    <row r="686" spans="1:25" hidden="1">
      <c r="A686" t="s">
        <v>25</v>
      </c>
      <c r="B686" t="s">
        <v>26</v>
      </c>
      <c r="C686" t="s">
        <v>46</v>
      </c>
      <c r="D686" s="1">
        <v>42463</v>
      </c>
      <c r="E686" s="2">
        <v>0.58333333333333337</v>
      </c>
      <c r="F686" t="s">
        <v>35</v>
      </c>
      <c r="G686" t="s">
        <v>29</v>
      </c>
      <c r="H686">
        <v>1</v>
      </c>
      <c r="I686">
        <v>1</v>
      </c>
      <c r="J686" t="s">
        <v>41</v>
      </c>
      <c r="K686">
        <v>308</v>
      </c>
      <c r="L686">
        <v>363</v>
      </c>
      <c r="M686">
        <v>235</v>
      </c>
      <c r="N686">
        <v>31</v>
      </c>
      <c r="O686">
        <v>37</v>
      </c>
      <c r="P686">
        <v>242</v>
      </c>
      <c r="Q686">
        <v>295</v>
      </c>
      <c r="R686">
        <v>343</v>
      </c>
      <c r="S686">
        <v>229</v>
      </c>
      <c r="T686" t="s">
        <v>31</v>
      </c>
      <c r="U686" t="s">
        <v>31</v>
      </c>
      <c r="V686" t="s">
        <v>31</v>
      </c>
      <c r="W686" t="s">
        <v>31</v>
      </c>
      <c r="X686" t="s">
        <v>31</v>
      </c>
      <c r="Y686" t="s">
        <v>31</v>
      </c>
    </row>
    <row r="687" spans="1:25" hidden="1">
      <c r="A687" t="s">
        <v>25</v>
      </c>
      <c r="B687" t="s">
        <v>26</v>
      </c>
      <c r="C687" t="s">
        <v>46</v>
      </c>
      <c r="D687" s="1">
        <v>42469</v>
      </c>
      <c r="E687" s="2">
        <v>0.625</v>
      </c>
      <c r="F687" t="s">
        <v>28</v>
      </c>
      <c r="G687" t="s">
        <v>45</v>
      </c>
      <c r="H687">
        <v>4</v>
      </c>
      <c r="I687">
        <v>1</v>
      </c>
      <c r="J687" t="s">
        <v>34</v>
      </c>
      <c r="K687">
        <v>146</v>
      </c>
      <c r="L687">
        <v>45</v>
      </c>
      <c r="M687">
        <v>835</v>
      </c>
      <c r="N687">
        <v>16</v>
      </c>
      <c r="O687">
        <v>45</v>
      </c>
      <c r="P687">
        <v>835</v>
      </c>
      <c r="Q687">
        <v>15</v>
      </c>
      <c r="R687">
        <v>408</v>
      </c>
      <c r="S687">
        <v>656</v>
      </c>
      <c r="T687" t="s">
        <v>31</v>
      </c>
      <c r="U687" t="s">
        <v>31</v>
      </c>
      <c r="V687" t="s">
        <v>31</v>
      </c>
      <c r="W687" t="s">
        <v>31</v>
      </c>
      <c r="X687" t="s">
        <v>31</v>
      </c>
      <c r="Y687" t="s">
        <v>31</v>
      </c>
    </row>
    <row r="688" spans="1:25" hidden="1">
      <c r="A688" t="s">
        <v>25</v>
      </c>
      <c r="B688" t="s">
        <v>26</v>
      </c>
      <c r="C688" t="s">
        <v>46</v>
      </c>
      <c r="D688" s="1">
        <v>42469</v>
      </c>
      <c r="E688" s="2">
        <v>0.72916666666666663</v>
      </c>
      <c r="F688" t="s">
        <v>39</v>
      </c>
      <c r="G688" t="s">
        <v>35</v>
      </c>
      <c r="H688">
        <v>2</v>
      </c>
      <c r="I688">
        <v>2</v>
      </c>
      <c r="J688" t="s">
        <v>41</v>
      </c>
      <c r="K688">
        <v>366</v>
      </c>
      <c r="L688">
        <v>345</v>
      </c>
      <c r="M688">
        <v>216</v>
      </c>
      <c r="N688">
        <v>375</v>
      </c>
      <c r="O688">
        <v>35</v>
      </c>
      <c r="P688">
        <v>221</v>
      </c>
      <c r="Q688">
        <v>336</v>
      </c>
      <c r="R688">
        <v>333</v>
      </c>
      <c r="S688">
        <v>212</v>
      </c>
      <c r="T688" t="s">
        <v>31</v>
      </c>
      <c r="U688" t="s">
        <v>31</v>
      </c>
      <c r="V688" t="s">
        <v>31</v>
      </c>
      <c r="W688" t="s">
        <v>31</v>
      </c>
      <c r="X688" t="s">
        <v>31</v>
      </c>
      <c r="Y688" t="s">
        <v>31</v>
      </c>
    </row>
    <row r="689" spans="1:25" hidden="1">
      <c r="A689" t="s">
        <v>25</v>
      </c>
      <c r="B689" t="s">
        <v>26</v>
      </c>
      <c r="C689" t="s">
        <v>46</v>
      </c>
      <c r="D689" s="1">
        <v>42469</v>
      </c>
      <c r="E689" s="2">
        <v>0.72916666666666663</v>
      </c>
      <c r="F689" t="s">
        <v>40</v>
      </c>
      <c r="G689" t="s">
        <v>43</v>
      </c>
      <c r="H689">
        <v>0</v>
      </c>
      <c r="I689">
        <v>2</v>
      </c>
      <c r="J689" t="s">
        <v>30</v>
      </c>
      <c r="K689">
        <v>144</v>
      </c>
      <c r="L689">
        <v>482</v>
      </c>
      <c r="M689">
        <v>816</v>
      </c>
      <c r="N689">
        <v>15</v>
      </c>
      <c r="O689">
        <v>482</v>
      </c>
      <c r="P689">
        <v>816</v>
      </c>
      <c r="Q689">
        <v>143</v>
      </c>
      <c r="R689">
        <v>45</v>
      </c>
      <c r="S689">
        <v>689</v>
      </c>
      <c r="T689" t="s">
        <v>31</v>
      </c>
      <c r="U689" t="s">
        <v>31</v>
      </c>
      <c r="V689" t="s">
        <v>31</v>
      </c>
      <c r="W689" t="s">
        <v>31</v>
      </c>
      <c r="X689" t="s">
        <v>31</v>
      </c>
      <c r="Y689" t="s">
        <v>31</v>
      </c>
    </row>
    <row r="690" spans="1:25" hidden="1">
      <c r="A690" t="s">
        <v>25</v>
      </c>
      <c r="B690" t="s">
        <v>26</v>
      </c>
      <c r="C690" t="s">
        <v>46</v>
      </c>
      <c r="D690" s="1">
        <v>42469</v>
      </c>
      <c r="E690" s="2">
        <v>0.72916666666666663</v>
      </c>
      <c r="F690" t="s">
        <v>38</v>
      </c>
      <c r="G690" t="s">
        <v>32</v>
      </c>
      <c r="H690">
        <v>1</v>
      </c>
      <c r="I690">
        <v>0</v>
      </c>
      <c r="J690" t="s">
        <v>34</v>
      </c>
      <c r="K690">
        <v>211</v>
      </c>
      <c r="L690">
        <v>363</v>
      </c>
      <c r="M690">
        <v>364</v>
      </c>
      <c r="N690">
        <v>212</v>
      </c>
      <c r="O690">
        <v>38</v>
      </c>
      <c r="P690">
        <v>385</v>
      </c>
      <c r="Q690">
        <v>203</v>
      </c>
      <c r="R690">
        <v>346</v>
      </c>
      <c r="S690">
        <v>348</v>
      </c>
      <c r="T690" t="s">
        <v>31</v>
      </c>
      <c r="U690" t="s">
        <v>31</v>
      </c>
      <c r="V690" t="s">
        <v>31</v>
      </c>
      <c r="W690" t="s">
        <v>31</v>
      </c>
      <c r="X690" t="s">
        <v>31</v>
      </c>
      <c r="Y690" t="s">
        <v>31</v>
      </c>
    </row>
    <row r="691" spans="1:25" hidden="1">
      <c r="A691" t="s">
        <v>25</v>
      </c>
      <c r="B691" t="s">
        <v>26</v>
      </c>
      <c r="C691" t="s">
        <v>46</v>
      </c>
      <c r="D691" s="1">
        <v>42470</v>
      </c>
      <c r="E691" s="2">
        <v>0.64583333333333337</v>
      </c>
      <c r="F691" t="s">
        <v>29</v>
      </c>
      <c r="G691" t="s">
        <v>37</v>
      </c>
      <c r="H691">
        <v>1</v>
      </c>
      <c r="I691">
        <v>0</v>
      </c>
      <c r="J691" t="s">
        <v>34</v>
      </c>
      <c r="K691">
        <v>122</v>
      </c>
      <c r="L691">
        <v>736</v>
      </c>
      <c r="M691">
        <v>1407</v>
      </c>
      <c r="N691">
        <v>125</v>
      </c>
      <c r="O691">
        <v>736</v>
      </c>
      <c r="P691">
        <v>17</v>
      </c>
      <c r="Q691">
        <v>121</v>
      </c>
      <c r="R691">
        <v>634</v>
      </c>
      <c r="S691">
        <v>1199</v>
      </c>
      <c r="T691" t="s">
        <v>31</v>
      </c>
      <c r="U691" t="s">
        <v>31</v>
      </c>
      <c r="V691" t="s">
        <v>31</v>
      </c>
      <c r="W691" t="s">
        <v>31</v>
      </c>
      <c r="X691" t="s">
        <v>31</v>
      </c>
      <c r="Y691" t="s">
        <v>31</v>
      </c>
    </row>
    <row r="692" spans="1:25" hidden="1">
      <c r="A692" t="s">
        <v>25</v>
      </c>
      <c r="B692" t="s">
        <v>26</v>
      </c>
      <c r="C692" t="s">
        <v>46</v>
      </c>
      <c r="D692" s="1">
        <v>42476</v>
      </c>
      <c r="E692" s="2">
        <v>0.625</v>
      </c>
      <c r="F692" t="s">
        <v>29</v>
      </c>
      <c r="G692" t="s">
        <v>38</v>
      </c>
      <c r="H692">
        <v>2</v>
      </c>
      <c r="I692">
        <v>1</v>
      </c>
      <c r="J692" t="s">
        <v>34</v>
      </c>
      <c r="K692">
        <v>127</v>
      </c>
      <c r="L692">
        <v>619</v>
      </c>
      <c r="M692">
        <v>1288</v>
      </c>
      <c r="N692">
        <v>127</v>
      </c>
      <c r="O692">
        <v>676</v>
      </c>
      <c r="P692">
        <v>15</v>
      </c>
      <c r="Q692">
        <v>124</v>
      </c>
      <c r="R692">
        <v>578</v>
      </c>
      <c r="S692">
        <v>111</v>
      </c>
      <c r="T692" t="s">
        <v>31</v>
      </c>
      <c r="U692" t="s">
        <v>31</v>
      </c>
      <c r="V692" t="s">
        <v>31</v>
      </c>
      <c r="W692" t="s">
        <v>31</v>
      </c>
      <c r="X692" t="s">
        <v>31</v>
      </c>
      <c r="Y692" t="s">
        <v>31</v>
      </c>
    </row>
    <row r="693" spans="1:25" hidden="1">
      <c r="A693" t="s">
        <v>25</v>
      </c>
      <c r="B693" t="s">
        <v>26</v>
      </c>
      <c r="C693" t="s">
        <v>46</v>
      </c>
      <c r="D693" s="1">
        <v>42476</v>
      </c>
      <c r="E693" s="2">
        <v>0.72916666666666663</v>
      </c>
      <c r="F693" t="s">
        <v>37</v>
      </c>
      <c r="G693" t="s">
        <v>43</v>
      </c>
      <c r="H693">
        <v>1</v>
      </c>
      <c r="I693">
        <v>1</v>
      </c>
      <c r="J693" t="s">
        <v>41</v>
      </c>
      <c r="K693">
        <v>204</v>
      </c>
      <c r="L693">
        <v>375</v>
      </c>
      <c r="M693">
        <v>371</v>
      </c>
      <c r="N693">
        <v>21</v>
      </c>
      <c r="O693">
        <v>378</v>
      </c>
      <c r="P693">
        <v>385</v>
      </c>
      <c r="Q693">
        <v>2</v>
      </c>
      <c r="R693">
        <v>353</v>
      </c>
      <c r="S693">
        <v>351</v>
      </c>
      <c r="T693" t="s">
        <v>31</v>
      </c>
      <c r="U693" t="s">
        <v>31</v>
      </c>
      <c r="V693" t="s">
        <v>31</v>
      </c>
      <c r="W693" t="s">
        <v>31</v>
      </c>
      <c r="X693" t="s">
        <v>31</v>
      </c>
      <c r="Y693" t="s">
        <v>31</v>
      </c>
    </row>
    <row r="694" spans="1:25" hidden="1">
      <c r="A694" t="s">
        <v>25</v>
      </c>
      <c r="B694" t="s">
        <v>26</v>
      </c>
      <c r="C694" t="s">
        <v>46</v>
      </c>
      <c r="D694" s="1">
        <v>42476</v>
      </c>
      <c r="E694" s="2">
        <v>0.72916666666666663</v>
      </c>
      <c r="F694" t="s">
        <v>32</v>
      </c>
      <c r="G694" t="s">
        <v>45</v>
      </c>
      <c r="H694">
        <v>0</v>
      </c>
      <c r="I694">
        <v>0</v>
      </c>
      <c r="J694" t="s">
        <v>41</v>
      </c>
      <c r="K694">
        <v>204</v>
      </c>
      <c r="L694">
        <v>367</v>
      </c>
      <c r="M694">
        <v>383</v>
      </c>
      <c r="N694">
        <v>212</v>
      </c>
      <c r="O694">
        <v>37</v>
      </c>
      <c r="P694">
        <v>383</v>
      </c>
      <c r="Q694">
        <v>202</v>
      </c>
      <c r="R694">
        <v>343</v>
      </c>
      <c r="S694">
        <v>355</v>
      </c>
      <c r="T694" t="s">
        <v>31</v>
      </c>
      <c r="U694" t="s">
        <v>31</v>
      </c>
      <c r="V694" t="s">
        <v>31</v>
      </c>
      <c r="W694" t="s">
        <v>31</v>
      </c>
      <c r="X694" t="s">
        <v>31</v>
      </c>
      <c r="Y694" t="s">
        <v>31</v>
      </c>
    </row>
    <row r="695" spans="1:25" hidden="1">
      <c r="A695" t="s">
        <v>25</v>
      </c>
      <c r="B695" t="s">
        <v>26</v>
      </c>
      <c r="C695" t="s">
        <v>46</v>
      </c>
      <c r="D695" s="1">
        <v>42476</v>
      </c>
      <c r="E695" s="2">
        <v>0.72916666666666663</v>
      </c>
      <c r="F695" t="s">
        <v>28</v>
      </c>
      <c r="G695" t="s">
        <v>39</v>
      </c>
      <c r="H695">
        <v>1</v>
      </c>
      <c r="I695">
        <v>0</v>
      </c>
      <c r="J695" t="s">
        <v>34</v>
      </c>
      <c r="K695">
        <v>171</v>
      </c>
      <c r="L695">
        <v>392</v>
      </c>
      <c r="M695">
        <v>536</v>
      </c>
      <c r="N695">
        <v>179</v>
      </c>
      <c r="O695">
        <v>4</v>
      </c>
      <c r="P695">
        <v>57</v>
      </c>
      <c r="Q695">
        <v>167</v>
      </c>
      <c r="R695">
        <v>371</v>
      </c>
      <c r="S695">
        <v>494</v>
      </c>
      <c r="T695" t="s">
        <v>31</v>
      </c>
      <c r="U695" t="s">
        <v>31</v>
      </c>
      <c r="V695" t="s">
        <v>31</v>
      </c>
      <c r="W695" t="s">
        <v>31</v>
      </c>
      <c r="X695" t="s">
        <v>31</v>
      </c>
      <c r="Y695" t="s">
        <v>31</v>
      </c>
    </row>
    <row r="696" spans="1:25" hidden="1">
      <c r="A696" t="s">
        <v>25</v>
      </c>
      <c r="B696" t="s">
        <v>26</v>
      </c>
      <c r="C696" t="s">
        <v>46</v>
      </c>
      <c r="D696" s="1">
        <v>42477</v>
      </c>
      <c r="E696" s="2">
        <v>0.64583333333333337</v>
      </c>
      <c r="F696" t="s">
        <v>35</v>
      </c>
      <c r="G696" t="s">
        <v>40</v>
      </c>
      <c r="H696">
        <v>1</v>
      </c>
      <c r="I696">
        <v>0</v>
      </c>
      <c r="J696" t="s">
        <v>34</v>
      </c>
      <c r="K696">
        <v>213</v>
      </c>
      <c r="L696">
        <v>365</v>
      </c>
      <c r="M696">
        <v>354</v>
      </c>
      <c r="N696">
        <v>217</v>
      </c>
      <c r="O696">
        <v>377</v>
      </c>
      <c r="P696">
        <v>38</v>
      </c>
      <c r="Q696">
        <v>205</v>
      </c>
      <c r="R696">
        <v>349</v>
      </c>
      <c r="S696">
        <v>338</v>
      </c>
      <c r="T696" t="s">
        <v>31</v>
      </c>
      <c r="U696" t="s">
        <v>31</v>
      </c>
      <c r="V696" t="s">
        <v>31</v>
      </c>
      <c r="W696" t="s">
        <v>31</v>
      </c>
      <c r="X696" t="s">
        <v>31</v>
      </c>
      <c r="Y696" t="s">
        <v>31</v>
      </c>
    </row>
    <row r="697" spans="1:25" hidden="1">
      <c r="A697" t="s">
        <v>25</v>
      </c>
      <c r="B697" t="s">
        <v>26</v>
      </c>
      <c r="C697" t="s">
        <v>46</v>
      </c>
      <c r="D697" s="1">
        <v>42483</v>
      </c>
      <c r="E697" s="2">
        <v>0.625</v>
      </c>
      <c r="F697" t="s">
        <v>32</v>
      </c>
      <c r="G697" t="s">
        <v>40</v>
      </c>
      <c r="H697">
        <v>0</v>
      </c>
      <c r="I697">
        <v>9</v>
      </c>
      <c r="J697" t="s">
        <v>30</v>
      </c>
      <c r="K697">
        <v>357</v>
      </c>
      <c r="L697">
        <v>366</v>
      </c>
      <c r="M697">
        <v>212</v>
      </c>
      <c r="N697">
        <v>374</v>
      </c>
      <c r="O697">
        <v>366</v>
      </c>
      <c r="P697">
        <v>24</v>
      </c>
      <c r="Q697">
        <v>338</v>
      </c>
      <c r="R697">
        <v>348</v>
      </c>
      <c r="S697">
        <v>206</v>
      </c>
      <c r="T697" t="s">
        <v>31</v>
      </c>
      <c r="U697" t="s">
        <v>31</v>
      </c>
      <c r="V697" t="s">
        <v>31</v>
      </c>
      <c r="W697" t="s">
        <v>31</v>
      </c>
      <c r="X697" t="s">
        <v>31</v>
      </c>
      <c r="Y697" t="s">
        <v>31</v>
      </c>
    </row>
    <row r="698" spans="1:25" hidden="1">
      <c r="A698" t="s">
        <v>25</v>
      </c>
      <c r="B698" t="s">
        <v>26</v>
      </c>
      <c r="C698" t="s">
        <v>46</v>
      </c>
      <c r="D698" s="1">
        <v>42483</v>
      </c>
      <c r="E698" s="2">
        <v>0.72916666666666663</v>
      </c>
      <c r="F698" t="s">
        <v>45</v>
      </c>
      <c r="G698" t="s">
        <v>29</v>
      </c>
      <c r="H698">
        <v>1</v>
      </c>
      <c r="I698">
        <v>3</v>
      </c>
      <c r="J698" t="s">
        <v>30</v>
      </c>
      <c r="K698">
        <v>706</v>
      </c>
      <c r="L698">
        <v>455</v>
      </c>
      <c r="M698">
        <v>151</v>
      </c>
      <c r="N698">
        <v>85</v>
      </c>
      <c r="O698">
        <v>5</v>
      </c>
      <c r="P698">
        <v>155</v>
      </c>
      <c r="Q698">
        <v>694</v>
      </c>
      <c r="R698">
        <v>437</v>
      </c>
      <c r="S698">
        <v>144</v>
      </c>
      <c r="T698" t="s">
        <v>31</v>
      </c>
      <c r="U698" t="s">
        <v>31</v>
      </c>
      <c r="V698" t="s">
        <v>31</v>
      </c>
      <c r="W698" t="s">
        <v>31</v>
      </c>
      <c r="X698" t="s">
        <v>31</v>
      </c>
      <c r="Y698" t="s">
        <v>31</v>
      </c>
    </row>
    <row r="699" spans="1:25" hidden="1">
      <c r="A699" t="s">
        <v>25</v>
      </c>
      <c r="B699" t="s">
        <v>26</v>
      </c>
      <c r="C699" t="s">
        <v>46</v>
      </c>
      <c r="D699" s="1">
        <v>42483</v>
      </c>
      <c r="E699" s="2">
        <v>0.72916666666666663</v>
      </c>
      <c r="F699" t="s">
        <v>43</v>
      </c>
      <c r="G699" t="s">
        <v>39</v>
      </c>
      <c r="H699">
        <v>0</v>
      </c>
      <c r="I699">
        <v>1</v>
      </c>
      <c r="J699" t="s">
        <v>30</v>
      </c>
      <c r="K699">
        <v>274</v>
      </c>
      <c r="L699">
        <v>319</v>
      </c>
      <c r="M699">
        <v>285</v>
      </c>
      <c r="N699">
        <v>274</v>
      </c>
      <c r="O699">
        <v>33</v>
      </c>
      <c r="P699">
        <v>298</v>
      </c>
      <c r="Q699">
        <v>26</v>
      </c>
      <c r="R699">
        <v>314</v>
      </c>
      <c r="S699">
        <v>272</v>
      </c>
      <c r="T699" t="s">
        <v>31</v>
      </c>
      <c r="U699" t="s">
        <v>31</v>
      </c>
      <c r="V699" t="s">
        <v>31</v>
      </c>
      <c r="W699" t="s">
        <v>31</v>
      </c>
      <c r="X699" t="s">
        <v>31</v>
      </c>
      <c r="Y699" t="s">
        <v>31</v>
      </c>
    </row>
    <row r="700" spans="1:25" hidden="1">
      <c r="A700" t="s">
        <v>25</v>
      </c>
      <c r="B700" t="s">
        <v>26</v>
      </c>
      <c r="C700" t="s">
        <v>46</v>
      </c>
      <c r="D700" s="1">
        <v>42483</v>
      </c>
      <c r="E700" s="2">
        <v>0.72916666666666663</v>
      </c>
      <c r="F700" t="s">
        <v>38</v>
      </c>
      <c r="G700" t="s">
        <v>37</v>
      </c>
      <c r="H700">
        <v>1</v>
      </c>
      <c r="I700">
        <v>0</v>
      </c>
      <c r="J700" t="s">
        <v>34</v>
      </c>
      <c r="K700">
        <v>201</v>
      </c>
      <c r="L700">
        <v>361</v>
      </c>
      <c r="M700">
        <v>4</v>
      </c>
      <c r="N700">
        <v>21</v>
      </c>
      <c r="O700">
        <v>364</v>
      </c>
      <c r="P700">
        <v>4</v>
      </c>
      <c r="Q700">
        <v>198</v>
      </c>
      <c r="R700">
        <v>343</v>
      </c>
      <c r="S700">
        <v>366</v>
      </c>
      <c r="T700" t="s">
        <v>31</v>
      </c>
      <c r="U700" t="s">
        <v>31</v>
      </c>
      <c r="V700" t="s">
        <v>31</v>
      </c>
      <c r="W700" t="s">
        <v>31</v>
      </c>
      <c r="X700" t="s">
        <v>31</v>
      </c>
      <c r="Y700" t="s">
        <v>31</v>
      </c>
    </row>
    <row r="701" spans="1:25" hidden="1">
      <c r="A701" t="s">
        <v>25</v>
      </c>
      <c r="B701" t="s">
        <v>26</v>
      </c>
      <c r="C701" t="s">
        <v>46</v>
      </c>
      <c r="D701" s="1">
        <v>42484</v>
      </c>
      <c r="E701" s="2">
        <v>0.64583333333333337</v>
      </c>
      <c r="F701" t="s">
        <v>35</v>
      </c>
      <c r="G701" t="s">
        <v>28</v>
      </c>
      <c r="H701">
        <v>2</v>
      </c>
      <c r="I701">
        <v>0</v>
      </c>
      <c r="J701" t="s">
        <v>34</v>
      </c>
      <c r="K701">
        <v>193</v>
      </c>
      <c r="L701">
        <v>373</v>
      </c>
      <c r="M701">
        <v>422</v>
      </c>
      <c r="N701">
        <v>193</v>
      </c>
      <c r="O701">
        <v>377</v>
      </c>
      <c r="P701">
        <v>43</v>
      </c>
      <c r="Q701">
        <v>187</v>
      </c>
      <c r="R701">
        <v>356</v>
      </c>
      <c r="S701">
        <v>394</v>
      </c>
      <c r="T701" t="s">
        <v>31</v>
      </c>
      <c r="U701" t="s">
        <v>31</v>
      </c>
      <c r="V701" t="s">
        <v>31</v>
      </c>
      <c r="W701" t="s">
        <v>31</v>
      </c>
      <c r="X701" t="s">
        <v>31</v>
      </c>
      <c r="Y701" t="s">
        <v>31</v>
      </c>
    </row>
    <row r="702" spans="1:25" hidden="1">
      <c r="A702" t="s">
        <v>25</v>
      </c>
      <c r="B702" t="s">
        <v>26</v>
      </c>
      <c r="C702" t="s">
        <v>46</v>
      </c>
      <c r="D702" s="1">
        <v>42490</v>
      </c>
      <c r="E702" s="2">
        <v>0.625</v>
      </c>
      <c r="F702" t="s">
        <v>43</v>
      </c>
      <c r="G702" t="s">
        <v>35</v>
      </c>
      <c r="H702">
        <v>2</v>
      </c>
      <c r="I702">
        <v>0</v>
      </c>
      <c r="J702" t="s">
        <v>34</v>
      </c>
      <c r="K702">
        <v>564</v>
      </c>
      <c r="L702">
        <v>453</v>
      </c>
      <c r="M702">
        <v>16</v>
      </c>
      <c r="N702">
        <v>6</v>
      </c>
      <c r="O702">
        <v>453</v>
      </c>
      <c r="P702">
        <v>175</v>
      </c>
      <c r="Q702">
        <v>515</v>
      </c>
      <c r="R702">
        <v>403</v>
      </c>
      <c r="S702">
        <v>16</v>
      </c>
      <c r="T702" t="s">
        <v>31</v>
      </c>
      <c r="U702" t="s">
        <v>31</v>
      </c>
      <c r="V702" t="s">
        <v>31</v>
      </c>
      <c r="W702" t="s">
        <v>31</v>
      </c>
      <c r="X702" t="s">
        <v>31</v>
      </c>
      <c r="Y702" t="s">
        <v>31</v>
      </c>
    </row>
    <row r="703" spans="1:25" hidden="1">
      <c r="A703" t="s">
        <v>25</v>
      </c>
      <c r="B703" t="s">
        <v>26</v>
      </c>
      <c r="C703" t="s">
        <v>46</v>
      </c>
      <c r="D703" s="1">
        <v>42490</v>
      </c>
      <c r="E703" s="2">
        <v>0.72916666666666663</v>
      </c>
      <c r="F703" t="s">
        <v>39</v>
      </c>
      <c r="G703" t="s">
        <v>32</v>
      </c>
      <c r="H703">
        <v>2</v>
      </c>
      <c r="I703">
        <v>0</v>
      </c>
      <c r="J703" t="s">
        <v>34</v>
      </c>
      <c r="K703">
        <v>162</v>
      </c>
      <c r="L703">
        <v>41</v>
      </c>
      <c r="M703">
        <v>617</v>
      </c>
      <c r="N703">
        <v>167</v>
      </c>
      <c r="O703">
        <v>41</v>
      </c>
      <c r="P703">
        <v>617</v>
      </c>
      <c r="Q703">
        <v>16</v>
      </c>
      <c r="R703">
        <v>386</v>
      </c>
      <c r="S703">
        <v>534</v>
      </c>
      <c r="T703" t="s">
        <v>31</v>
      </c>
      <c r="U703" t="s">
        <v>31</v>
      </c>
      <c r="V703" t="s">
        <v>31</v>
      </c>
      <c r="W703" t="s">
        <v>31</v>
      </c>
      <c r="X703" t="s">
        <v>31</v>
      </c>
      <c r="Y703" t="s">
        <v>31</v>
      </c>
    </row>
    <row r="704" spans="1:25" hidden="1">
      <c r="A704" t="s">
        <v>25</v>
      </c>
      <c r="B704" t="s">
        <v>26</v>
      </c>
      <c r="C704" t="s">
        <v>46</v>
      </c>
      <c r="D704" s="1">
        <v>42490</v>
      </c>
      <c r="E704" s="2">
        <v>0.72916666666666663</v>
      </c>
      <c r="F704" t="s">
        <v>37</v>
      </c>
      <c r="G704" t="s">
        <v>45</v>
      </c>
      <c r="H704">
        <v>2</v>
      </c>
      <c r="I704">
        <v>1</v>
      </c>
      <c r="J704" t="s">
        <v>34</v>
      </c>
      <c r="K704">
        <v>209</v>
      </c>
      <c r="L704">
        <v>362</v>
      </c>
      <c r="M704">
        <v>375</v>
      </c>
      <c r="N704">
        <v>211</v>
      </c>
      <c r="O704">
        <v>365</v>
      </c>
      <c r="P704">
        <v>398</v>
      </c>
      <c r="Q704">
        <v>2</v>
      </c>
      <c r="R704">
        <v>341</v>
      </c>
      <c r="S704">
        <v>359</v>
      </c>
      <c r="T704" t="s">
        <v>31</v>
      </c>
      <c r="U704" t="s">
        <v>31</v>
      </c>
      <c r="V704" t="s">
        <v>31</v>
      </c>
      <c r="W704" t="s">
        <v>31</v>
      </c>
      <c r="X704" t="s">
        <v>31</v>
      </c>
      <c r="Y704" t="s">
        <v>31</v>
      </c>
    </row>
    <row r="705" spans="1:25" hidden="1">
      <c r="A705" t="s">
        <v>25</v>
      </c>
      <c r="B705" t="s">
        <v>26</v>
      </c>
      <c r="C705" t="s">
        <v>46</v>
      </c>
      <c r="D705" s="1">
        <v>42490</v>
      </c>
      <c r="E705" s="2">
        <v>0.72916666666666663</v>
      </c>
      <c r="F705" t="s">
        <v>28</v>
      </c>
      <c r="G705" t="s">
        <v>38</v>
      </c>
      <c r="H705">
        <v>0</v>
      </c>
      <c r="I705">
        <v>0</v>
      </c>
      <c r="J705" t="s">
        <v>41</v>
      </c>
      <c r="K705">
        <v>158</v>
      </c>
      <c r="L705">
        <v>426</v>
      </c>
      <c r="M705">
        <v>638</v>
      </c>
      <c r="N705">
        <v>16</v>
      </c>
      <c r="O705">
        <v>433</v>
      </c>
      <c r="P705">
        <v>638</v>
      </c>
      <c r="Q705">
        <v>155</v>
      </c>
      <c r="R705">
        <v>397</v>
      </c>
      <c r="S705">
        <v>575</v>
      </c>
      <c r="T705" t="s">
        <v>31</v>
      </c>
      <c r="U705" t="s">
        <v>31</v>
      </c>
      <c r="V705" t="s">
        <v>31</v>
      </c>
      <c r="W705" t="s">
        <v>31</v>
      </c>
      <c r="X705" t="s">
        <v>31</v>
      </c>
      <c r="Y705" t="s">
        <v>31</v>
      </c>
    </row>
    <row r="706" spans="1:25" hidden="1">
      <c r="A706" t="s">
        <v>25</v>
      </c>
      <c r="B706" t="s">
        <v>26</v>
      </c>
      <c r="C706" t="s">
        <v>46</v>
      </c>
      <c r="D706" s="1">
        <v>42491</v>
      </c>
      <c r="E706" s="2">
        <v>0.64583333333333337</v>
      </c>
      <c r="F706" t="s">
        <v>40</v>
      </c>
      <c r="G706" t="s">
        <v>29</v>
      </c>
      <c r="H706">
        <v>0</v>
      </c>
      <c r="I706">
        <v>2</v>
      </c>
      <c r="J706" t="s">
        <v>30</v>
      </c>
      <c r="K706">
        <v>363</v>
      </c>
      <c r="L706">
        <v>377</v>
      </c>
      <c r="M706">
        <v>206</v>
      </c>
      <c r="N706">
        <v>368</v>
      </c>
      <c r="O706">
        <v>38</v>
      </c>
      <c r="P706">
        <v>21</v>
      </c>
      <c r="Q706">
        <v>342</v>
      </c>
      <c r="R706">
        <v>354</v>
      </c>
      <c r="S706">
        <v>202</v>
      </c>
      <c r="T706" t="s">
        <v>31</v>
      </c>
      <c r="U706" t="s">
        <v>31</v>
      </c>
      <c r="V706" t="s">
        <v>31</v>
      </c>
      <c r="W706" t="s">
        <v>31</v>
      </c>
      <c r="X706" t="s">
        <v>31</v>
      </c>
      <c r="Y706" t="s">
        <v>31</v>
      </c>
    </row>
    <row r="707" spans="1:25" hidden="1">
      <c r="A707" t="s">
        <v>25</v>
      </c>
      <c r="B707" t="s">
        <v>26</v>
      </c>
      <c r="C707" t="s">
        <v>46</v>
      </c>
      <c r="D707" s="1">
        <v>42497</v>
      </c>
      <c r="E707" s="2">
        <v>0.625</v>
      </c>
      <c r="F707" t="s">
        <v>40</v>
      </c>
      <c r="G707" t="s">
        <v>37</v>
      </c>
      <c r="H707">
        <v>3</v>
      </c>
      <c r="I707">
        <v>1</v>
      </c>
      <c r="J707" t="s">
        <v>34</v>
      </c>
      <c r="K707">
        <v>149</v>
      </c>
      <c r="L707">
        <v>459</v>
      </c>
      <c r="M707">
        <v>724</v>
      </c>
      <c r="N707">
        <v>16</v>
      </c>
      <c r="O707">
        <v>47</v>
      </c>
      <c r="P707">
        <v>75</v>
      </c>
      <c r="Q707">
        <v>147</v>
      </c>
      <c r="R707">
        <v>427</v>
      </c>
      <c r="S707">
        <v>653</v>
      </c>
      <c r="T707" t="s">
        <v>31</v>
      </c>
      <c r="U707" t="s">
        <v>31</v>
      </c>
      <c r="V707" t="s">
        <v>31</v>
      </c>
      <c r="W707" t="s">
        <v>31</v>
      </c>
      <c r="X707" t="s">
        <v>31</v>
      </c>
      <c r="Y707" t="s">
        <v>31</v>
      </c>
    </row>
    <row r="708" spans="1:25" hidden="1">
      <c r="A708" t="s">
        <v>25</v>
      </c>
      <c r="B708" t="s">
        <v>26</v>
      </c>
      <c r="C708" t="s">
        <v>46</v>
      </c>
      <c r="D708" s="1">
        <v>42497</v>
      </c>
      <c r="E708" s="2">
        <v>0.72916666666666663</v>
      </c>
      <c r="F708" t="s">
        <v>45</v>
      </c>
      <c r="G708" t="s">
        <v>39</v>
      </c>
      <c r="H708">
        <v>1</v>
      </c>
      <c r="I708">
        <v>1</v>
      </c>
      <c r="J708" t="s">
        <v>41</v>
      </c>
      <c r="K708">
        <v>244</v>
      </c>
      <c r="L708">
        <v>326</v>
      </c>
      <c r="M708">
        <v>324</v>
      </c>
      <c r="N708">
        <v>275</v>
      </c>
      <c r="O708">
        <v>34</v>
      </c>
      <c r="P708">
        <v>325</v>
      </c>
      <c r="Q708">
        <v>235</v>
      </c>
      <c r="R708">
        <v>317</v>
      </c>
      <c r="S708">
        <v>303</v>
      </c>
      <c r="T708" t="s">
        <v>31</v>
      </c>
      <c r="U708" t="s">
        <v>31</v>
      </c>
      <c r="V708" t="s">
        <v>31</v>
      </c>
      <c r="W708" t="s">
        <v>31</v>
      </c>
      <c r="X708" t="s">
        <v>31</v>
      </c>
      <c r="Y708" t="s">
        <v>31</v>
      </c>
    </row>
    <row r="709" spans="1:25" hidden="1">
      <c r="A709" t="s">
        <v>25</v>
      </c>
      <c r="B709" t="s">
        <v>26</v>
      </c>
      <c r="C709" t="s">
        <v>46</v>
      </c>
      <c r="D709" s="1">
        <v>42497</v>
      </c>
      <c r="E709" s="2">
        <v>0.72916666666666663</v>
      </c>
      <c r="F709" t="s">
        <v>38</v>
      </c>
      <c r="G709" t="s">
        <v>43</v>
      </c>
      <c r="H709">
        <v>2</v>
      </c>
      <c r="I709">
        <v>0</v>
      </c>
      <c r="J709" t="s">
        <v>34</v>
      </c>
      <c r="K709">
        <v>198</v>
      </c>
      <c r="L709">
        <v>364</v>
      </c>
      <c r="M709">
        <v>405</v>
      </c>
      <c r="N709">
        <v>205</v>
      </c>
      <c r="O709">
        <v>364</v>
      </c>
      <c r="P709">
        <v>405</v>
      </c>
      <c r="Q709">
        <v>196</v>
      </c>
      <c r="R709">
        <v>346</v>
      </c>
      <c r="S709">
        <v>369</v>
      </c>
      <c r="T709" t="s">
        <v>31</v>
      </c>
      <c r="U709" t="s">
        <v>31</v>
      </c>
      <c r="V709" t="s">
        <v>31</v>
      </c>
      <c r="W709" t="s">
        <v>31</v>
      </c>
      <c r="X709" t="s">
        <v>31</v>
      </c>
      <c r="Y709" t="s">
        <v>31</v>
      </c>
    </row>
    <row r="710" spans="1:25" hidden="1">
      <c r="A710" t="s">
        <v>25</v>
      </c>
      <c r="B710" t="s">
        <v>26</v>
      </c>
      <c r="C710" t="s">
        <v>46</v>
      </c>
      <c r="D710" s="1">
        <v>42497</v>
      </c>
      <c r="E710" s="2">
        <v>0.72916666666666663</v>
      </c>
      <c r="F710" t="s">
        <v>29</v>
      </c>
      <c r="G710" t="s">
        <v>28</v>
      </c>
      <c r="H710">
        <v>1</v>
      </c>
      <c r="I710">
        <v>1</v>
      </c>
      <c r="J710" t="s">
        <v>41</v>
      </c>
      <c r="K710">
        <v>168</v>
      </c>
      <c r="L710">
        <v>431</v>
      </c>
      <c r="M710">
        <v>501</v>
      </c>
      <c r="N710">
        <v>171</v>
      </c>
      <c r="O710">
        <v>44</v>
      </c>
      <c r="P710">
        <v>63</v>
      </c>
      <c r="Q710">
        <v>163</v>
      </c>
      <c r="R710">
        <v>399</v>
      </c>
      <c r="S710">
        <v>491</v>
      </c>
      <c r="T710" t="s">
        <v>31</v>
      </c>
      <c r="U710" t="s">
        <v>31</v>
      </c>
      <c r="V710" t="s">
        <v>31</v>
      </c>
      <c r="W710" t="s">
        <v>31</v>
      </c>
      <c r="X710" t="s">
        <v>31</v>
      </c>
      <c r="Y710" t="s">
        <v>31</v>
      </c>
    </row>
    <row r="711" spans="1:25" hidden="1">
      <c r="A711" t="s">
        <v>25</v>
      </c>
      <c r="B711" t="s">
        <v>26</v>
      </c>
      <c r="C711" t="s">
        <v>46</v>
      </c>
      <c r="D711" s="1">
        <v>42498</v>
      </c>
      <c r="E711" s="2">
        <v>0.64583333333333337</v>
      </c>
      <c r="F711" t="s">
        <v>32</v>
      </c>
      <c r="G711" t="s">
        <v>35</v>
      </c>
      <c r="H711">
        <v>0</v>
      </c>
      <c r="I711">
        <v>2</v>
      </c>
      <c r="J711" t="s">
        <v>30</v>
      </c>
      <c r="K711">
        <v>513</v>
      </c>
      <c r="L711">
        <v>407</v>
      </c>
      <c r="M711">
        <v>171</v>
      </c>
      <c r="N711">
        <v>53</v>
      </c>
      <c r="O711">
        <v>407</v>
      </c>
      <c r="P711">
        <v>172</v>
      </c>
      <c r="Q711">
        <v>471</v>
      </c>
      <c r="R711">
        <v>384</v>
      </c>
      <c r="S711">
        <v>168</v>
      </c>
      <c r="T711" t="s">
        <v>31</v>
      </c>
      <c r="U711" t="s">
        <v>31</v>
      </c>
      <c r="V711" t="s">
        <v>31</v>
      </c>
      <c r="W711" t="s">
        <v>31</v>
      </c>
      <c r="X711" t="s">
        <v>31</v>
      </c>
      <c r="Y711" t="s">
        <v>31</v>
      </c>
    </row>
    <row r="712" spans="1:25" hidden="1">
      <c r="A712" t="s">
        <v>25</v>
      </c>
      <c r="B712" t="s">
        <v>26</v>
      </c>
      <c r="C712" t="s">
        <v>46</v>
      </c>
      <c r="D712" s="1">
        <v>42501</v>
      </c>
      <c r="E712" s="2">
        <v>0.8125</v>
      </c>
      <c r="F712" t="s">
        <v>39</v>
      </c>
      <c r="G712" t="s">
        <v>37</v>
      </c>
      <c r="H712">
        <v>1</v>
      </c>
      <c r="I712">
        <v>2</v>
      </c>
      <c r="J712" t="s">
        <v>30</v>
      </c>
      <c r="K712">
        <v>204</v>
      </c>
      <c r="L712">
        <v>37</v>
      </c>
      <c r="M712">
        <v>38</v>
      </c>
      <c r="N712">
        <v>204</v>
      </c>
      <c r="O712">
        <v>376</v>
      </c>
      <c r="P712">
        <v>415</v>
      </c>
      <c r="Q712">
        <v>194</v>
      </c>
      <c r="R712">
        <v>349</v>
      </c>
      <c r="S712">
        <v>371</v>
      </c>
      <c r="T712" t="s">
        <v>31</v>
      </c>
      <c r="U712" t="s">
        <v>31</v>
      </c>
      <c r="V712" t="s">
        <v>31</v>
      </c>
      <c r="W712" t="s">
        <v>31</v>
      </c>
      <c r="X712" t="s">
        <v>31</v>
      </c>
      <c r="Y712" t="s">
        <v>31</v>
      </c>
    </row>
    <row r="713" spans="1:25" hidden="1">
      <c r="A713" t="s">
        <v>25</v>
      </c>
      <c r="B713" t="s">
        <v>26</v>
      </c>
      <c r="C713" t="s">
        <v>46</v>
      </c>
      <c r="D713" s="1">
        <v>42501</v>
      </c>
      <c r="E713" s="2">
        <v>0.8125</v>
      </c>
      <c r="F713" t="s">
        <v>43</v>
      </c>
      <c r="G713" t="s">
        <v>29</v>
      </c>
      <c r="H713">
        <v>1</v>
      </c>
      <c r="I713">
        <v>2</v>
      </c>
      <c r="J713" t="s">
        <v>30</v>
      </c>
      <c r="K713">
        <v>319</v>
      </c>
      <c r="L713">
        <v>396</v>
      </c>
      <c r="M713">
        <v>217</v>
      </c>
      <c r="N713">
        <v>4</v>
      </c>
      <c r="O713">
        <v>43</v>
      </c>
      <c r="P713">
        <v>219</v>
      </c>
      <c r="Q713">
        <v>32</v>
      </c>
      <c r="R713">
        <v>363</v>
      </c>
      <c r="S713">
        <v>209</v>
      </c>
      <c r="T713" t="s">
        <v>31</v>
      </c>
      <c r="U713" t="s">
        <v>31</v>
      </c>
      <c r="V713" t="s">
        <v>31</v>
      </c>
      <c r="W713" t="s">
        <v>31</v>
      </c>
      <c r="X713" t="s">
        <v>31</v>
      </c>
      <c r="Y713" t="s">
        <v>31</v>
      </c>
    </row>
    <row r="714" spans="1:25" hidden="1">
      <c r="A714" t="s">
        <v>25</v>
      </c>
      <c r="B714" t="s">
        <v>26</v>
      </c>
      <c r="C714" t="s">
        <v>46</v>
      </c>
      <c r="D714" s="1">
        <v>42501</v>
      </c>
      <c r="E714" s="2">
        <v>0.8125</v>
      </c>
      <c r="F714" t="s">
        <v>35</v>
      </c>
      <c r="G714" t="s">
        <v>45</v>
      </c>
      <c r="H714">
        <v>1</v>
      </c>
      <c r="I714">
        <v>1</v>
      </c>
      <c r="J714" t="s">
        <v>41</v>
      </c>
      <c r="K714">
        <v>14</v>
      </c>
      <c r="L714">
        <v>513</v>
      </c>
      <c r="M714">
        <v>864</v>
      </c>
      <c r="N714">
        <v>14</v>
      </c>
      <c r="O714">
        <v>52</v>
      </c>
      <c r="P714">
        <v>92</v>
      </c>
      <c r="Q714">
        <v>137</v>
      </c>
      <c r="R714">
        <v>475</v>
      </c>
      <c r="S714">
        <v>787</v>
      </c>
      <c r="T714" t="s">
        <v>31</v>
      </c>
      <c r="U714" t="s">
        <v>31</v>
      </c>
      <c r="V714" t="s">
        <v>31</v>
      </c>
      <c r="W714" t="s">
        <v>31</v>
      </c>
      <c r="X714" t="s">
        <v>31</v>
      </c>
      <c r="Y714" t="s">
        <v>31</v>
      </c>
    </row>
    <row r="715" spans="1:25" hidden="1">
      <c r="A715" t="s">
        <v>25</v>
      </c>
      <c r="B715" t="s">
        <v>26</v>
      </c>
      <c r="C715" t="s">
        <v>46</v>
      </c>
      <c r="D715" s="1">
        <v>42501</v>
      </c>
      <c r="E715" s="2">
        <v>0.8125</v>
      </c>
      <c r="F715" t="s">
        <v>38</v>
      </c>
      <c r="G715" t="s">
        <v>40</v>
      </c>
      <c r="H715">
        <v>0</v>
      </c>
      <c r="I715">
        <v>5</v>
      </c>
      <c r="J715" t="s">
        <v>30</v>
      </c>
      <c r="K715">
        <v>346</v>
      </c>
      <c r="L715">
        <v>367</v>
      </c>
      <c r="M715">
        <v>216</v>
      </c>
      <c r="N715">
        <v>347</v>
      </c>
      <c r="O715">
        <v>367</v>
      </c>
      <c r="P715">
        <v>22</v>
      </c>
      <c r="Q715">
        <v>329</v>
      </c>
      <c r="R715">
        <v>343</v>
      </c>
      <c r="S715">
        <v>211</v>
      </c>
      <c r="T715" t="s">
        <v>31</v>
      </c>
      <c r="U715" t="s">
        <v>31</v>
      </c>
      <c r="V715" t="s">
        <v>31</v>
      </c>
      <c r="W715" t="s">
        <v>31</v>
      </c>
      <c r="X715" t="s">
        <v>31</v>
      </c>
      <c r="Y715" t="s">
        <v>31</v>
      </c>
    </row>
    <row r="716" spans="1:25" hidden="1">
      <c r="A716" t="s">
        <v>25</v>
      </c>
      <c r="B716" t="s">
        <v>26</v>
      </c>
      <c r="C716" t="s">
        <v>46</v>
      </c>
      <c r="D716" s="1">
        <v>42501</v>
      </c>
      <c r="E716" s="2">
        <v>0.8125</v>
      </c>
      <c r="F716" t="s">
        <v>28</v>
      </c>
      <c r="G716" t="s">
        <v>32</v>
      </c>
      <c r="H716">
        <v>1</v>
      </c>
      <c r="I716">
        <v>1</v>
      </c>
      <c r="J716" t="s">
        <v>41</v>
      </c>
      <c r="K716">
        <v>141</v>
      </c>
      <c r="L716">
        <v>512</v>
      </c>
      <c r="M716">
        <v>823</v>
      </c>
      <c r="N716">
        <v>141</v>
      </c>
      <c r="O716">
        <v>525</v>
      </c>
      <c r="P716">
        <v>9</v>
      </c>
      <c r="Q716">
        <v>136</v>
      </c>
      <c r="R716">
        <v>483</v>
      </c>
      <c r="S716">
        <v>771</v>
      </c>
      <c r="T716" t="s">
        <v>31</v>
      </c>
      <c r="U716" t="s">
        <v>31</v>
      </c>
      <c r="V716" t="s">
        <v>31</v>
      </c>
      <c r="W716" t="s">
        <v>31</v>
      </c>
      <c r="X716" t="s">
        <v>31</v>
      </c>
      <c r="Y716" t="s">
        <v>31</v>
      </c>
    </row>
    <row r="717" spans="1:25" hidden="1">
      <c r="A717" t="s">
        <v>25</v>
      </c>
      <c r="B717" t="s">
        <v>26</v>
      </c>
      <c r="C717" t="s">
        <v>46</v>
      </c>
      <c r="D717" s="1">
        <v>42505</v>
      </c>
      <c r="E717" s="2">
        <v>0.6875</v>
      </c>
      <c r="F717" t="s">
        <v>37</v>
      </c>
      <c r="G717" t="s">
        <v>35</v>
      </c>
      <c r="H717">
        <v>1</v>
      </c>
      <c r="I717">
        <v>3</v>
      </c>
      <c r="J717" t="s">
        <v>30</v>
      </c>
      <c r="K717">
        <v>289</v>
      </c>
      <c r="L717">
        <v>384</v>
      </c>
      <c r="M717">
        <v>239</v>
      </c>
      <c r="N717">
        <v>32</v>
      </c>
      <c r="O717">
        <v>384</v>
      </c>
      <c r="P717">
        <v>24</v>
      </c>
      <c r="Q717">
        <v>29</v>
      </c>
      <c r="R717">
        <v>349</v>
      </c>
      <c r="S717">
        <v>228</v>
      </c>
      <c r="T717" t="s">
        <v>31</v>
      </c>
      <c r="U717" t="s">
        <v>31</v>
      </c>
      <c r="V717" t="s">
        <v>31</v>
      </c>
      <c r="W717" t="s">
        <v>31</v>
      </c>
      <c r="X717" t="s">
        <v>31</v>
      </c>
      <c r="Y717" t="s">
        <v>31</v>
      </c>
    </row>
    <row r="718" spans="1:25" hidden="1">
      <c r="A718" t="s">
        <v>25</v>
      </c>
      <c r="B718" t="s">
        <v>26</v>
      </c>
      <c r="C718" t="s">
        <v>46</v>
      </c>
      <c r="D718" s="1">
        <v>42505</v>
      </c>
      <c r="E718" s="2">
        <v>0.6875</v>
      </c>
      <c r="F718" t="s">
        <v>45</v>
      </c>
      <c r="G718" t="s">
        <v>38</v>
      </c>
      <c r="H718">
        <v>0</v>
      </c>
      <c r="I718">
        <v>0</v>
      </c>
      <c r="J718" t="s">
        <v>41</v>
      </c>
      <c r="K718">
        <v>216</v>
      </c>
      <c r="L718">
        <v>374</v>
      </c>
      <c r="M718">
        <v>338</v>
      </c>
      <c r="N718">
        <v>217</v>
      </c>
      <c r="O718">
        <v>374</v>
      </c>
      <c r="P718">
        <v>36</v>
      </c>
      <c r="Q718">
        <v>209</v>
      </c>
      <c r="R718">
        <v>348</v>
      </c>
      <c r="S718">
        <v>33</v>
      </c>
      <c r="T718" t="s">
        <v>31</v>
      </c>
      <c r="U718" t="s">
        <v>31</v>
      </c>
      <c r="V718" t="s">
        <v>31</v>
      </c>
      <c r="W718" t="s">
        <v>31</v>
      </c>
      <c r="X718" t="s">
        <v>31</v>
      </c>
      <c r="Y718" t="s">
        <v>31</v>
      </c>
    </row>
    <row r="719" spans="1:25" hidden="1">
      <c r="A719" t="s">
        <v>25</v>
      </c>
      <c r="B719" t="s">
        <v>26</v>
      </c>
      <c r="C719" t="s">
        <v>46</v>
      </c>
      <c r="D719" s="1">
        <v>42505</v>
      </c>
      <c r="E719" s="2">
        <v>0.6875</v>
      </c>
      <c r="F719" t="s">
        <v>40</v>
      </c>
      <c r="G719" t="s">
        <v>28</v>
      </c>
      <c r="H719">
        <v>3</v>
      </c>
      <c r="I719">
        <v>0</v>
      </c>
      <c r="J719" t="s">
        <v>34</v>
      </c>
      <c r="K719">
        <v>232</v>
      </c>
      <c r="L719">
        <v>38</v>
      </c>
      <c r="M719">
        <v>303</v>
      </c>
      <c r="N719">
        <v>235</v>
      </c>
      <c r="O719">
        <v>38</v>
      </c>
      <c r="P719">
        <v>31</v>
      </c>
      <c r="Q719">
        <v>226</v>
      </c>
      <c r="R719">
        <v>351</v>
      </c>
      <c r="S719">
        <v>292</v>
      </c>
      <c r="T719" t="s">
        <v>31</v>
      </c>
      <c r="U719" t="s">
        <v>31</v>
      </c>
      <c r="V719" t="s">
        <v>31</v>
      </c>
      <c r="W719" t="s">
        <v>31</v>
      </c>
      <c r="X719" t="s">
        <v>31</v>
      </c>
      <c r="Y719" t="s">
        <v>31</v>
      </c>
    </row>
    <row r="720" spans="1:25" hidden="1">
      <c r="A720" t="s">
        <v>25</v>
      </c>
      <c r="B720" t="s">
        <v>26</v>
      </c>
      <c r="C720" t="s">
        <v>46</v>
      </c>
      <c r="D720" s="1">
        <v>42505</v>
      </c>
      <c r="E720" s="2">
        <v>0.6875</v>
      </c>
      <c r="F720" t="s">
        <v>32</v>
      </c>
      <c r="G720" t="s">
        <v>43</v>
      </c>
      <c r="H720">
        <v>2</v>
      </c>
      <c r="I720">
        <v>3</v>
      </c>
      <c r="J720" t="s">
        <v>30</v>
      </c>
      <c r="K720">
        <v>201</v>
      </c>
      <c r="L720">
        <v>382</v>
      </c>
      <c r="M720">
        <v>375</v>
      </c>
      <c r="N720">
        <v>205</v>
      </c>
      <c r="O720">
        <v>383</v>
      </c>
      <c r="P720">
        <v>384</v>
      </c>
      <c r="Q720">
        <v>195</v>
      </c>
      <c r="R720">
        <v>359</v>
      </c>
      <c r="S720">
        <v>359</v>
      </c>
      <c r="T720" t="s">
        <v>31</v>
      </c>
      <c r="U720" t="s">
        <v>31</v>
      </c>
      <c r="V720" t="s">
        <v>31</v>
      </c>
      <c r="W720" t="s">
        <v>31</v>
      </c>
      <c r="X720" t="s">
        <v>31</v>
      </c>
      <c r="Y720" t="s">
        <v>31</v>
      </c>
    </row>
    <row r="721" spans="1:25" hidden="1">
      <c r="A721" t="s">
        <v>25</v>
      </c>
      <c r="B721" t="s">
        <v>26</v>
      </c>
      <c r="C721" t="s">
        <v>46</v>
      </c>
      <c r="D721" s="1">
        <v>42505</v>
      </c>
      <c r="E721" s="2">
        <v>0.6875</v>
      </c>
      <c r="F721" t="s">
        <v>29</v>
      </c>
      <c r="G721" t="s">
        <v>39</v>
      </c>
      <c r="H721">
        <v>1</v>
      </c>
      <c r="I721">
        <v>0</v>
      </c>
      <c r="J721" t="s">
        <v>34</v>
      </c>
      <c r="K721">
        <v>15</v>
      </c>
      <c r="L721">
        <v>492</v>
      </c>
      <c r="M721">
        <v>653</v>
      </c>
      <c r="N721">
        <v>15</v>
      </c>
      <c r="O721">
        <v>504</v>
      </c>
      <c r="P721">
        <v>66</v>
      </c>
      <c r="Q721">
        <v>146</v>
      </c>
      <c r="R721">
        <v>454</v>
      </c>
      <c r="S721">
        <v>609</v>
      </c>
      <c r="T721" t="s">
        <v>31</v>
      </c>
      <c r="U721" t="s">
        <v>31</v>
      </c>
      <c r="V721" t="s">
        <v>31</v>
      </c>
      <c r="W721" t="s">
        <v>31</v>
      </c>
      <c r="X721" t="s">
        <v>31</v>
      </c>
      <c r="Y721" t="s">
        <v>31</v>
      </c>
    </row>
    <row r="722" spans="1:25" hidden="1">
      <c r="A722" t="s">
        <v>25</v>
      </c>
      <c r="B722" t="s">
        <v>26</v>
      </c>
      <c r="C722" t="s">
        <v>47</v>
      </c>
      <c r="D722" s="1">
        <v>42574</v>
      </c>
      <c r="E722" s="2">
        <v>0.625</v>
      </c>
      <c r="F722" t="s">
        <v>35</v>
      </c>
      <c r="G722" t="s">
        <v>38</v>
      </c>
      <c r="H722">
        <v>5</v>
      </c>
      <c r="I722">
        <v>0</v>
      </c>
      <c r="J722" t="s">
        <v>34</v>
      </c>
      <c r="K722">
        <v>137</v>
      </c>
      <c r="L722">
        <v>505</v>
      </c>
      <c r="M722">
        <v>1011</v>
      </c>
      <c r="N722">
        <v>145</v>
      </c>
      <c r="O722">
        <v>505</v>
      </c>
      <c r="P722">
        <v>1011</v>
      </c>
      <c r="Q722">
        <v>138</v>
      </c>
      <c r="R722">
        <v>455</v>
      </c>
      <c r="S722">
        <v>811</v>
      </c>
      <c r="T722" t="s">
        <v>31</v>
      </c>
      <c r="U722" t="s">
        <v>31</v>
      </c>
      <c r="V722" t="s">
        <v>31</v>
      </c>
      <c r="W722" t="s">
        <v>31</v>
      </c>
      <c r="X722" t="s">
        <v>31</v>
      </c>
      <c r="Y722" t="s">
        <v>31</v>
      </c>
    </row>
    <row r="723" spans="1:25" hidden="1">
      <c r="A723" t="s">
        <v>25</v>
      </c>
      <c r="B723" t="s">
        <v>26</v>
      </c>
      <c r="C723" t="s">
        <v>47</v>
      </c>
      <c r="D723" s="1">
        <v>42574</v>
      </c>
      <c r="E723" s="2">
        <v>0.72916666666666663</v>
      </c>
      <c r="F723" t="s">
        <v>45</v>
      </c>
      <c r="G723" t="s">
        <v>39</v>
      </c>
      <c r="H723">
        <v>1</v>
      </c>
      <c r="I723">
        <v>0</v>
      </c>
      <c r="J723" t="s">
        <v>34</v>
      </c>
      <c r="K723">
        <v>253</v>
      </c>
      <c r="L723">
        <v>322</v>
      </c>
      <c r="M723">
        <v>314</v>
      </c>
      <c r="N723">
        <v>26</v>
      </c>
      <c r="O723">
        <v>33</v>
      </c>
      <c r="P723">
        <v>314</v>
      </c>
      <c r="Q723">
        <v>248</v>
      </c>
      <c r="R723">
        <v>312</v>
      </c>
      <c r="S723">
        <v>29</v>
      </c>
      <c r="T723" t="s">
        <v>31</v>
      </c>
      <c r="U723" t="s">
        <v>31</v>
      </c>
      <c r="V723" t="s">
        <v>31</v>
      </c>
      <c r="W723" t="s">
        <v>31</v>
      </c>
      <c r="X723" t="s">
        <v>31</v>
      </c>
      <c r="Y723" t="s">
        <v>31</v>
      </c>
    </row>
    <row r="724" spans="1:25" hidden="1">
      <c r="A724" t="s">
        <v>25</v>
      </c>
      <c r="B724" t="s">
        <v>26</v>
      </c>
      <c r="C724" t="s">
        <v>47</v>
      </c>
      <c r="D724" s="1">
        <v>42574</v>
      </c>
      <c r="E724" s="2">
        <v>0.72916666666666663</v>
      </c>
      <c r="F724" t="s">
        <v>28</v>
      </c>
      <c r="G724" t="s">
        <v>29</v>
      </c>
      <c r="H724">
        <v>3</v>
      </c>
      <c r="I724">
        <v>1</v>
      </c>
      <c r="J724" t="s">
        <v>34</v>
      </c>
      <c r="K724">
        <v>381</v>
      </c>
      <c r="L724">
        <v>374</v>
      </c>
      <c r="M724">
        <v>202</v>
      </c>
      <c r="N724">
        <v>406</v>
      </c>
      <c r="O724">
        <v>382</v>
      </c>
      <c r="P724">
        <v>203</v>
      </c>
      <c r="Q724">
        <v>372</v>
      </c>
      <c r="R724">
        <v>352</v>
      </c>
      <c r="S724">
        <v>194</v>
      </c>
      <c r="T724" t="s">
        <v>31</v>
      </c>
      <c r="U724" t="s">
        <v>31</v>
      </c>
      <c r="V724" t="s">
        <v>31</v>
      </c>
      <c r="W724" t="s">
        <v>31</v>
      </c>
      <c r="X724" t="s">
        <v>31</v>
      </c>
      <c r="Y724" t="s">
        <v>31</v>
      </c>
    </row>
    <row r="725" spans="1:25" hidden="1">
      <c r="A725" t="s">
        <v>25</v>
      </c>
      <c r="B725" t="s">
        <v>26</v>
      </c>
      <c r="C725" t="s">
        <v>47</v>
      </c>
      <c r="D725" s="1">
        <v>42575</v>
      </c>
      <c r="E725" s="2">
        <v>0.64583333333333337</v>
      </c>
      <c r="F725" t="s">
        <v>48</v>
      </c>
      <c r="G725" t="s">
        <v>40</v>
      </c>
      <c r="H725">
        <v>1</v>
      </c>
      <c r="I725">
        <v>2</v>
      </c>
      <c r="J725" t="s">
        <v>30</v>
      </c>
      <c r="K725">
        <v>382</v>
      </c>
      <c r="L725">
        <v>375</v>
      </c>
      <c r="M725">
        <v>202</v>
      </c>
      <c r="N725">
        <v>395</v>
      </c>
      <c r="O725">
        <v>375</v>
      </c>
      <c r="P725">
        <v>227</v>
      </c>
      <c r="Q725">
        <v>35</v>
      </c>
      <c r="R725">
        <v>341</v>
      </c>
      <c r="S725">
        <v>205</v>
      </c>
      <c r="T725" t="s">
        <v>31</v>
      </c>
      <c r="U725" t="s">
        <v>31</v>
      </c>
      <c r="V725" t="s">
        <v>31</v>
      </c>
      <c r="W725" t="s">
        <v>31</v>
      </c>
      <c r="X725" t="s">
        <v>31</v>
      </c>
      <c r="Y725" t="s">
        <v>31</v>
      </c>
    </row>
    <row r="726" spans="1:25" hidden="1">
      <c r="A726" t="s">
        <v>25</v>
      </c>
      <c r="B726" t="s">
        <v>26</v>
      </c>
      <c r="C726" t="s">
        <v>47</v>
      </c>
      <c r="D726" s="1">
        <v>42575</v>
      </c>
      <c r="E726" s="2">
        <v>0.75</v>
      </c>
      <c r="F726" t="s">
        <v>32</v>
      </c>
      <c r="G726" t="s">
        <v>37</v>
      </c>
      <c r="H726">
        <v>0</v>
      </c>
      <c r="I726">
        <v>1</v>
      </c>
      <c r="J726" t="s">
        <v>30</v>
      </c>
      <c r="K726">
        <v>268</v>
      </c>
      <c r="L726">
        <v>346</v>
      </c>
      <c r="M726">
        <v>275</v>
      </c>
      <c r="N726">
        <v>284</v>
      </c>
      <c r="O726">
        <v>35</v>
      </c>
      <c r="P726">
        <v>296</v>
      </c>
      <c r="Q726">
        <v>259</v>
      </c>
      <c r="R726">
        <v>325</v>
      </c>
      <c r="S726">
        <v>268</v>
      </c>
      <c r="T726" t="s">
        <v>31</v>
      </c>
      <c r="U726" t="s">
        <v>31</v>
      </c>
      <c r="V726" t="s">
        <v>31</v>
      </c>
      <c r="W726" t="s">
        <v>31</v>
      </c>
      <c r="X726" t="s">
        <v>31</v>
      </c>
      <c r="Y726" t="s">
        <v>31</v>
      </c>
    </row>
    <row r="727" spans="1:25" hidden="1">
      <c r="A727" t="s">
        <v>25</v>
      </c>
      <c r="B727" t="s">
        <v>26</v>
      </c>
      <c r="C727" t="s">
        <v>47</v>
      </c>
      <c r="D727" s="1">
        <v>42581</v>
      </c>
      <c r="E727" s="2">
        <v>0.625</v>
      </c>
      <c r="F727" t="s">
        <v>29</v>
      </c>
      <c r="G727" t="s">
        <v>39</v>
      </c>
      <c r="H727">
        <v>1</v>
      </c>
      <c r="I727">
        <v>1</v>
      </c>
      <c r="J727" t="s">
        <v>41</v>
      </c>
      <c r="K727">
        <v>144</v>
      </c>
      <c r="L727">
        <v>488</v>
      </c>
      <c r="M727">
        <v>794</v>
      </c>
      <c r="N727">
        <v>144</v>
      </c>
      <c r="O727">
        <v>51</v>
      </c>
      <c r="P727">
        <v>892</v>
      </c>
      <c r="Q727">
        <v>139</v>
      </c>
      <c r="R727">
        <v>464</v>
      </c>
      <c r="S727">
        <v>75</v>
      </c>
      <c r="T727" t="s">
        <v>31</v>
      </c>
      <c r="U727" t="s">
        <v>31</v>
      </c>
      <c r="V727" t="s">
        <v>31</v>
      </c>
      <c r="W727" t="s">
        <v>31</v>
      </c>
      <c r="X727" t="s">
        <v>31</v>
      </c>
      <c r="Y727" t="s">
        <v>31</v>
      </c>
    </row>
    <row r="728" spans="1:25" hidden="1">
      <c r="A728" t="s">
        <v>25</v>
      </c>
      <c r="B728" t="s">
        <v>26</v>
      </c>
      <c r="C728" t="s">
        <v>47</v>
      </c>
      <c r="D728" s="1">
        <v>42581</v>
      </c>
      <c r="E728" s="2">
        <v>0.72916666666666663</v>
      </c>
      <c r="F728" t="s">
        <v>38</v>
      </c>
      <c r="G728" t="s">
        <v>28</v>
      </c>
      <c r="H728">
        <v>1</v>
      </c>
      <c r="I728">
        <v>0</v>
      </c>
      <c r="J728" t="s">
        <v>34</v>
      </c>
      <c r="K728">
        <v>362</v>
      </c>
      <c r="L728">
        <v>348</v>
      </c>
      <c r="M728">
        <v>217</v>
      </c>
      <c r="N728">
        <v>365</v>
      </c>
      <c r="O728">
        <v>357</v>
      </c>
      <c r="P728">
        <v>22</v>
      </c>
      <c r="Q728">
        <v>339</v>
      </c>
      <c r="R728">
        <v>333</v>
      </c>
      <c r="S728">
        <v>211</v>
      </c>
      <c r="T728" t="s">
        <v>31</v>
      </c>
      <c r="U728" t="s">
        <v>31</v>
      </c>
      <c r="V728" t="s">
        <v>31</v>
      </c>
      <c r="W728" t="s">
        <v>31</v>
      </c>
      <c r="X728" t="s">
        <v>31</v>
      </c>
      <c r="Y728" t="s">
        <v>31</v>
      </c>
    </row>
    <row r="729" spans="1:25" hidden="1">
      <c r="A729" t="s">
        <v>25</v>
      </c>
      <c r="B729" t="s">
        <v>26</v>
      </c>
      <c r="C729" t="s">
        <v>47</v>
      </c>
      <c r="D729" s="1">
        <v>42582</v>
      </c>
      <c r="E729" s="2">
        <v>0.64583333333333337</v>
      </c>
      <c r="F729" t="s">
        <v>45</v>
      </c>
      <c r="G729" t="s">
        <v>35</v>
      </c>
      <c r="H729">
        <v>1</v>
      </c>
      <c r="I729">
        <v>0</v>
      </c>
      <c r="J729" t="s">
        <v>34</v>
      </c>
      <c r="K729">
        <v>572</v>
      </c>
      <c r="L729">
        <v>389</v>
      </c>
      <c r="M729">
        <v>168</v>
      </c>
      <c r="N729">
        <v>58</v>
      </c>
      <c r="O729">
        <v>401</v>
      </c>
      <c r="P729">
        <v>185</v>
      </c>
      <c r="Q729">
        <v>49</v>
      </c>
      <c r="R729">
        <v>363</v>
      </c>
      <c r="S729">
        <v>171</v>
      </c>
      <c r="T729" t="s">
        <v>31</v>
      </c>
      <c r="U729" t="s">
        <v>31</v>
      </c>
      <c r="V729" t="s">
        <v>31</v>
      </c>
      <c r="W729" t="s">
        <v>31</v>
      </c>
      <c r="X729" t="s">
        <v>31</v>
      </c>
      <c r="Y729" t="s">
        <v>31</v>
      </c>
    </row>
    <row r="730" spans="1:25" hidden="1">
      <c r="A730" t="s">
        <v>25</v>
      </c>
      <c r="B730" t="s">
        <v>26</v>
      </c>
      <c r="C730" t="s">
        <v>47</v>
      </c>
      <c r="D730" s="1">
        <v>42582</v>
      </c>
      <c r="E730" s="2">
        <v>0.64583333333333337</v>
      </c>
      <c r="F730" t="s">
        <v>40</v>
      </c>
      <c r="G730" t="s">
        <v>32</v>
      </c>
      <c r="H730">
        <v>3</v>
      </c>
      <c r="I730">
        <v>1</v>
      </c>
      <c r="J730" t="s">
        <v>34</v>
      </c>
      <c r="K730">
        <v>16</v>
      </c>
      <c r="L730">
        <v>439</v>
      </c>
      <c r="M730">
        <v>578</v>
      </c>
      <c r="N730">
        <v>168</v>
      </c>
      <c r="O730">
        <v>496</v>
      </c>
      <c r="P730">
        <v>753</v>
      </c>
      <c r="Q730">
        <v>157</v>
      </c>
      <c r="R730">
        <v>416</v>
      </c>
      <c r="S730">
        <v>541</v>
      </c>
      <c r="T730" t="s">
        <v>31</v>
      </c>
      <c r="U730" t="s">
        <v>31</v>
      </c>
      <c r="V730" t="s">
        <v>31</v>
      </c>
      <c r="W730" t="s">
        <v>31</v>
      </c>
      <c r="X730" t="s">
        <v>31</v>
      </c>
      <c r="Y730" t="s">
        <v>31</v>
      </c>
    </row>
    <row r="731" spans="1:25" hidden="1">
      <c r="A731" t="s">
        <v>25</v>
      </c>
      <c r="B731" t="s">
        <v>26</v>
      </c>
      <c r="C731" t="s">
        <v>47</v>
      </c>
      <c r="D731" s="1">
        <v>42582</v>
      </c>
      <c r="E731" s="2">
        <v>0.75</v>
      </c>
      <c r="F731" t="s">
        <v>48</v>
      </c>
      <c r="G731" t="s">
        <v>37</v>
      </c>
      <c r="H731">
        <v>2</v>
      </c>
      <c r="I731">
        <v>1</v>
      </c>
      <c r="J731" t="s">
        <v>34</v>
      </c>
      <c r="K731">
        <v>21</v>
      </c>
      <c r="L731">
        <v>341</v>
      </c>
      <c r="M731">
        <v>39</v>
      </c>
      <c r="N731">
        <v>25</v>
      </c>
      <c r="O731">
        <v>346</v>
      </c>
      <c r="P731">
        <v>39</v>
      </c>
      <c r="Q731">
        <v>211</v>
      </c>
      <c r="R731">
        <v>33</v>
      </c>
      <c r="S731">
        <v>346</v>
      </c>
      <c r="T731" t="s">
        <v>31</v>
      </c>
      <c r="U731" t="s">
        <v>31</v>
      </c>
      <c r="V731" t="s">
        <v>31</v>
      </c>
      <c r="W731" t="s">
        <v>31</v>
      </c>
      <c r="X731" t="s">
        <v>31</v>
      </c>
      <c r="Y731" t="s">
        <v>31</v>
      </c>
    </row>
    <row r="732" spans="1:25" hidden="1">
      <c r="A732" t="s">
        <v>25</v>
      </c>
      <c r="B732" t="s">
        <v>26</v>
      </c>
      <c r="C732" t="s">
        <v>47</v>
      </c>
      <c r="D732" s="1">
        <v>42588</v>
      </c>
      <c r="E732" s="2">
        <v>0.625</v>
      </c>
      <c r="F732" t="s">
        <v>32</v>
      </c>
      <c r="G732" t="s">
        <v>28</v>
      </c>
      <c r="H732">
        <v>0</v>
      </c>
      <c r="I732">
        <v>2</v>
      </c>
      <c r="J732" t="s">
        <v>30</v>
      </c>
      <c r="K732">
        <v>357</v>
      </c>
      <c r="L732">
        <v>345</v>
      </c>
      <c r="M732">
        <v>22</v>
      </c>
      <c r="N732">
        <v>364</v>
      </c>
      <c r="O732">
        <v>358</v>
      </c>
      <c r="P732">
        <v>222</v>
      </c>
      <c r="Q732">
        <v>334</v>
      </c>
      <c r="R732">
        <v>335</v>
      </c>
      <c r="S732">
        <v>213</v>
      </c>
      <c r="T732" t="s">
        <v>31</v>
      </c>
      <c r="U732" t="s">
        <v>31</v>
      </c>
      <c r="V732" t="s">
        <v>31</v>
      </c>
      <c r="W732" t="s">
        <v>31</v>
      </c>
      <c r="X732" t="s">
        <v>31</v>
      </c>
      <c r="Y732" t="s">
        <v>31</v>
      </c>
    </row>
    <row r="733" spans="1:25" hidden="1">
      <c r="A733" t="s">
        <v>25</v>
      </c>
      <c r="B733" t="s">
        <v>26</v>
      </c>
      <c r="C733" t="s">
        <v>47</v>
      </c>
      <c r="D733" s="1">
        <v>42588</v>
      </c>
      <c r="E733" s="2">
        <v>0.72916666666666663</v>
      </c>
      <c r="F733" t="s">
        <v>39</v>
      </c>
      <c r="G733" t="s">
        <v>38</v>
      </c>
      <c r="H733">
        <v>1</v>
      </c>
      <c r="I733">
        <v>0</v>
      </c>
      <c r="J733" t="s">
        <v>34</v>
      </c>
      <c r="K733">
        <v>199</v>
      </c>
      <c r="L733">
        <v>343</v>
      </c>
      <c r="M733">
        <v>433</v>
      </c>
      <c r="N733">
        <v>201</v>
      </c>
      <c r="O733">
        <v>356</v>
      </c>
      <c r="P733">
        <v>436</v>
      </c>
      <c r="Q733">
        <v>193</v>
      </c>
      <c r="R733">
        <v>336</v>
      </c>
      <c r="S733">
        <v>393</v>
      </c>
      <c r="T733" t="s">
        <v>31</v>
      </c>
      <c r="U733" t="s">
        <v>31</v>
      </c>
      <c r="V733" t="s">
        <v>31</v>
      </c>
      <c r="W733" t="s">
        <v>31</v>
      </c>
      <c r="X733" t="s">
        <v>31</v>
      </c>
      <c r="Y733" t="s">
        <v>31</v>
      </c>
    </row>
    <row r="734" spans="1:25" hidden="1">
      <c r="A734" t="s">
        <v>25</v>
      </c>
      <c r="B734" t="s">
        <v>26</v>
      </c>
      <c r="C734" t="s">
        <v>47</v>
      </c>
      <c r="D734" s="1">
        <v>42588</v>
      </c>
      <c r="E734" s="2">
        <v>0.72916666666666663</v>
      </c>
      <c r="F734" t="s">
        <v>37</v>
      </c>
      <c r="G734" t="s">
        <v>45</v>
      </c>
      <c r="H734">
        <v>1</v>
      </c>
      <c r="I734">
        <v>2</v>
      </c>
      <c r="J734" t="s">
        <v>30</v>
      </c>
      <c r="K734">
        <v>237</v>
      </c>
      <c r="L734">
        <v>347</v>
      </c>
      <c r="M734">
        <v>317</v>
      </c>
      <c r="N734">
        <v>254</v>
      </c>
      <c r="O734">
        <v>347</v>
      </c>
      <c r="P734">
        <v>317</v>
      </c>
      <c r="Q734">
        <v>234</v>
      </c>
      <c r="R734">
        <v>325</v>
      </c>
      <c r="S734">
        <v>3</v>
      </c>
      <c r="T734" t="s">
        <v>31</v>
      </c>
      <c r="U734" t="s">
        <v>31</v>
      </c>
      <c r="V734" t="s">
        <v>31</v>
      </c>
      <c r="W734" t="s">
        <v>31</v>
      </c>
      <c r="X734" t="s">
        <v>31</v>
      </c>
      <c r="Y734" t="s">
        <v>31</v>
      </c>
    </row>
    <row r="735" spans="1:25" hidden="1">
      <c r="A735" t="s">
        <v>25</v>
      </c>
      <c r="B735" t="s">
        <v>26</v>
      </c>
      <c r="C735" t="s">
        <v>47</v>
      </c>
      <c r="D735" s="1">
        <v>42588</v>
      </c>
      <c r="E735" s="2">
        <v>0.72916666666666663</v>
      </c>
      <c r="F735" t="s">
        <v>29</v>
      </c>
      <c r="G735" t="s">
        <v>48</v>
      </c>
      <c r="H735">
        <v>2</v>
      </c>
      <c r="I735">
        <v>0</v>
      </c>
      <c r="J735" t="s">
        <v>34</v>
      </c>
      <c r="K735">
        <v>123</v>
      </c>
      <c r="L735">
        <v>715</v>
      </c>
      <c r="M735">
        <v>142</v>
      </c>
      <c r="N735">
        <v>13</v>
      </c>
      <c r="O735">
        <v>733</v>
      </c>
      <c r="P735">
        <v>1634</v>
      </c>
      <c r="Q735">
        <v>121</v>
      </c>
      <c r="R735">
        <v>624</v>
      </c>
      <c r="S735">
        <v>1263</v>
      </c>
      <c r="T735" t="s">
        <v>31</v>
      </c>
      <c r="U735" t="s">
        <v>31</v>
      </c>
      <c r="V735" t="s">
        <v>31</v>
      </c>
      <c r="W735" t="s">
        <v>31</v>
      </c>
      <c r="X735" t="s">
        <v>31</v>
      </c>
      <c r="Y735" t="s">
        <v>31</v>
      </c>
    </row>
    <row r="736" spans="1:25" hidden="1">
      <c r="A736" t="s">
        <v>25</v>
      </c>
      <c r="B736" t="s">
        <v>26</v>
      </c>
      <c r="C736" t="s">
        <v>47</v>
      </c>
      <c r="D736" s="1">
        <v>42589</v>
      </c>
      <c r="E736" s="2">
        <v>0.64583333333333337</v>
      </c>
      <c r="F736" t="s">
        <v>40</v>
      </c>
      <c r="G736" t="s">
        <v>35</v>
      </c>
      <c r="H736">
        <v>1</v>
      </c>
      <c r="I736">
        <v>4</v>
      </c>
      <c r="J736" t="s">
        <v>30</v>
      </c>
      <c r="K736">
        <v>321</v>
      </c>
      <c r="L736">
        <v>371</v>
      </c>
      <c r="M736">
        <v>225</v>
      </c>
      <c r="N736">
        <v>321</v>
      </c>
      <c r="O736">
        <v>371</v>
      </c>
      <c r="P736">
        <v>246</v>
      </c>
      <c r="Q736">
        <v>302</v>
      </c>
      <c r="R736">
        <v>341</v>
      </c>
      <c r="S736">
        <v>226</v>
      </c>
      <c r="T736" t="s">
        <v>31</v>
      </c>
      <c r="U736" t="s">
        <v>31</v>
      </c>
      <c r="V736" t="s">
        <v>31</v>
      </c>
      <c r="W736" t="s">
        <v>31</v>
      </c>
      <c r="X736" t="s">
        <v>31</v>
      </c>
      <c r="Y736" t="s">
        <v>31</v>
      </c>
    </row>
    <row r="737" spans="1:25" hidden="1">
      <c r="A737" t="s">
        <v>25</v>
      </c>
      <c r="B737" t="s">
        <v>26</v>
      </c>
      <c r="C737" t="s">
        <v>47</v>
      </c>
      <c r="D737" s="1">
        <v>42595</v>
      </c>
      <c r="E737" s="2">
        <v>0.625</v>
      </c>
      <c r="F737" t="s">
        <v>38</v>
      </c>
      <c r="G737" t="s">
        <v>29</v>
      </c>
      <c r="H737">
        <v>0</v>
      </c>
      <c r="I737">
        <v>2</v>
      </c>
      <c r="J737" t="s">
        <v>30</v>
      </c>
      <c r="K737">
        <v>463</v>
      </c>
      <c r="L737">
        <v>416</v>
      </c>
      <c r="M737">
        <v>176</v>
      </c>
      <c r="N737">
        <v>55</v>
      </c>
      <c r="O737">
        <v>425</v>
      </c>
      <c r="P737">
        <v>176</v>
      </c>
      <c r="Q737">
        <v>477</v>
      </c>
      <c r="R737">
        <v>384</v>
      </c>
      <c r="S737">
        <v>167</v>
      </c>
      <c r="T737" t="s">
        <v>31</v>
      </c>
      <c r="U737" t="s">
        <v>31</v>
      </c>
      <c r="V737" t="s">
        <v>31</v>
      </c>
      <c r="W737" t="s">
        <v>31</v>
      </c>
      <c r="X737" t="s">
        <v>31</v>
      </c>
      <c r="Y737" t="s">
        <v>31</v>
      </c>
    </row>
    <row r="738" spans="1:25" hidden="1">
      <c r="A738" t="s">
        <v>25</v>
      </c>
      <c r="B738" t="s">
        <v>26</v>
      </c>
      <c r="C738" t="s">
        <v>47</v>
      </c>
      <c r="D738" s="1">
        <v>42595</v>
      </c>
      <c r="E738" s="2">
        <v>0.72916666666666663</v>
      </c>
      <c r="F738" t="s">
        <v>45</v>
      </c>
      <c r="G738" t="s">
        <v>48</v>
      </c>
      <c r="H738">
        <v>3</v>
      </c>
      <c r="I738">
        <v>1</v>
      </c>
      <c r="J738" t="s">
        <v>34</v>
      </c>
      <c r="K738">
        <v>183</v>
      </c>
      <c r="L738">
        <v>377</v>
      </c>
      <c r="M738">
        <v>472</v>
      </c>
      <c r="N738">
        <v>2</v>
      </c>
      <c r="O738">
        <v>382</v>
      </c>
      <c r="P738">
        <v>472</v>
      </c>
      <c r="Q738">
        <v>183</v>
      </c>
      <c r="R738">
        <v>356</v>
      </c>
      <c r="S738">
        <v>42</v>
      </c>
      <c r="T738" t="s">
        <v>31</v>
      </c>
      <c r="U738" t="s">
        <v>31</v>
      </c>
      <c r="V738" t="s">
        <v>31</v>
      </c>
      <c r="W738" t="s">
        <v>31</v>
      </c>
      <c r="X738" t="s">
        <v>31</v>
      </c>
      <c r="Y738" t="s">
        <v>31</v>
      </c>
    </row>
    <row r="739" spans="1:25" hidden="1">
      <c r="A739" t="s">
        <v>25</v>
      </c>
      <c r="B739" t="s">
        <v>26</v>
      </c>
      <c r="C739" t="s">
        <v>47</v>
      </c>
      <c r="D739" s="1">
        <v>42595</v>
      </c>
      <c r="E739" s="2">
        <v>0.72916666666666663</v>
      </c>
      <c r="F739" t="s">
        <v>32</v>
      </c>
      <c r="G739" t="s">
        <v>39</v>
      </c>
      <c r="H739">
        <v>3</v>
      </c>
      <c r="I739">
        <v>1</v>
      </c>
      <c r="J739" t="s">
        <v>34</v>
      </c>
      <c r="K739">
        <v>303</v>
      </c>
      <c r="L739">
        <v>336</v>
      </c>
      <c r="M739">
        <v>252</v>
      </c>
      <c r="N739">
        <v>303</v>
      </c>
      <c r="O739">
        <v>35</v>
      </c>
      <c r="P739">
        <v>277</v>
      </c>
      <c r="Q739">
        <v>279</v>
      </c>
      <c r="R739">
        <v>323</v>
      </c>
      <c r="S739">
        <v>251</v>
      </c>
      <c r="T739" t="s">
        <v>31</v>
      </c>
      <c r="U739" t="s">
        <v>31</v>
      </c>
      <c r="V739" t="s">
        <v>31</v>
      </c>
      <c r="W739" t="s">
        <v>31</v>
      </c>
      <c r="X739" t="s">
        <v>31</v>
      </c>
      <c r="Y739" t="s">
        <v>31</v>
      </c>
    </row>
    <row r="740" spans="1:25" hidden="1">
      <c r="A740" t="s">
        <v>25</v>
      </c>
      <c r="B740" t="s">
        <v>26</v>
      </c>
      <c r="C740" t="s">
        <v>47</v>
      </c>
      <c r="D740" s="1">
        <v>42595</v>
      </c>
      <c r="E740" s="2">
        <v>0.72916666666666663</v>
      </c>
      <c r="F740" t="s">
        <v>35</v>
      </c>
      <c r="G740" t="s">
        <v>37</v>
      </c>
      <c r="H740">
        <v>4</v>
      </c>
      <c r="I740">
        <v>0</v>
      </c>
      <c r="J740" t="s">
        <v>34</v>
      </c>
      <c r="K740">
        <v>13</v>
      </c>
      <c r="L740">
        <v>586</v>
      </c>
      <c r="M740">
        <v>1174</v>
      </c>
      <c r="N740">
        <v>136</v>
      </c>
      <c r="O740">
        <v>595</v>
      </c>
      <c r="P740">
        <v>12</v>
      </c>
      <c r="Q740">
        <v>129</v>
      </c>
      <c r="R740">
        <v>527</v>
      </c>
      <c r="S740">
        <v>1019</v>
      </c>
      <c r="T740" t="s">
        <v>31</v>
      </c>
      <c r="U740" t="s">
        <v>31</v>
      </c>
      <c r="V740" t="s">
        <v>31</v>
      </c>
      <c r="W740" t="s">
        <v>31</v>
      </c>
      <c r="X740" t="s">
        <v>31</v>
      </c>
      <c r="Y740" t="s">
        <v>31</v>
      </c>
    </row>
    <row r="741" spans="1:25" hidden="1">
      <c r="A741" t="s">
        <v>25</v>
      </c>
      <c r="B741" t="s">
        <v>26</v>
      </c>
      <c r="C741" t="s">
        <v>47</v>
      </c>
      <c r="D741" s="1">
        <v>42596</v>
      </c>
      <c r="E741" s="2">
        <v>0.64583333333333337</v>
      </c>
      <c r="F741" t="s">
        <v>28</v>
      </c>
      <c r="G741" t="s">
        <v>40</v>
      </c>
      <c r="H741">
        <v>3</v>
      </c>
      <c r="I741">
        <v>1</v>
      </c>
      <c r="J741" t="s">
        <v>34</v>
      </c>
      <c r="K741">
        <v>23</v>
      </c>
      <c r="L741">
        <v>342</v>
      </c>
      <c r="M741">
        <v>336</v>
      </c>
      <c r="N741">
        <v>237</v>
      </c>
      <c r="O741">
        <v>35</v>
      </c>
      <c r="P741">
        <v>343</v>
      </c>
      <c r="Q741">
        <v>221</v>
      </c>
      <c r="R741">
        <v>331</v>
      </c>
      <c r="S741">
        <v>32</v>
      </c>
      <c r="T741" t="s">
        <v>31</v>
      </c>
      <c r="U741" t="s">
        <v>31</v>
      </c>
      <c r="V741" t="s">
        <v>31</v>
      </c>
      <c r="W741" t="s">
        <v>31</v>
      </c>
      <c r="X741" t="s">
        <v>31</v>
      </c>
      <c r="Y741" t="s">
        <v>31</v>
      </c>
    </row>
    <row r="742" spans="1:25" hidden="1">
      <c r="A742" t="s">
        <v>25</v>
      </c>
      <c r="B742" t="s">
        <v>26</v>
      </c>
      <c r="C742" t="s">
        <v>47</v>
      </c>
      <c r="D742" s="1">
        <v>42602</v>
      </c>
      <c r="E742" s="2">
        <v>0.625</v>
      </c>
      <c r="F742" t="s">
        <v>48</v>
      </c>
      <c r="G742" t="s">
        <v>28</v>
      </c>
      <c r="H742">
        <v>1</v>
      </c>
      <c r="I742">
        <v>3</v>
      </c>
      <c r="J742" t="s">
        <v>30</v>
      </c>
      <c r="K742">
        <v>41</v>
      </c>
      <c r="L742">
        <v>36</v>
      </c>
      <c r="M742">
        <v>199</v>
      </c>
      <c r="N742">
        <v>44</v>
      </c>
      <c r="O742">
        <v>367</v>
      </c>
      <c r="P742">
        <v>21</v>
      </c>
      <c r="Q742">
        <v>383</v>
      </c>
      <c r="R742">
        <v>342</v>
      </c>
      <c r="S742">
        <v>195</v>
      </c>
      <c r="T742" t="s">
        <v>31</v>
      </c>
      <c r="U742" t="s">
        <v>31</v>
      </c>
      <c r="V742" t="s">
        <v>31</v>
      </c>
      <c r="W742" t="s">
        <v>31</v>
      </c>
      <c r="X742" t="s">
        <v>31</v>
      </c>
      <c r="Y742" t="s">
        <v>31</v>
      </c>
    </row>
    <row r="743" spans="1:25" hidden="1">
      <c r="A743" t="s">
        <v>25</v>
      </c>
      <c r="B743" t="s">
        <v>26</v>
      </c>
      <c r="C743" t="s">
        <v>47</v>
      </c>
      <c r="D743" s="1">
        <v>42602</v>
      </c>
      <c r="E743" s="2">
        <v>0.72916666666666663</v>
      </c>
      <c r="F743" t="s">
        <v>37</v>
      </c>
      <c r="G743" t="s">
        <v>38</v>
      </c>
      <c r="H743">
        <v>1</v>
      </c>
      <c r="I743">
        <v>0</v>
      </c>
      <c r="J743" t="s">
        <v>34</v>
      </c>
      <c r="K743">
        <v>237</v>
      </c>
      <c r="L743">
        <v>346</v>
      </c>
      <c r="M743">
        <v>319</v>
      </c>
      <c r="N743">
        <v>248</v>
      </c>
      <c r="O743">
        <v>346</v>
      </c>
      <c r="P743">
        <v>32</v>
      </c>
      <c r="Q743">
        <v>232</v>
      </c>
      <c r="R743">
        <v>327</v>
      </c>
      <c r="S743">
        <v>302</v>
      </c>
      <c r="T743" t="s">
        <v>31</v>
      </c>
      <c r="U743" t="s">
        <v>31</v>
      </c>
      <c r="V743" t="s">
        <v>31</v>
      </c>
      <c r="W743" t="s">
        <v>31</v>
      </c>
      <c r="X743" t="s">
        <v>31</v>
      </c>
      <c r="Y743" t="s">
        <v>31</v>
      </c>
    </row>
    <row r="744" spans="1:25" hidden="1">
      <c r="A744" t="s">
        <v>25</v>
      </c>
      <c r="B744" t="s">
        <v>26</v>
      </c>
      <c r="C744" t="s">
        <v>47</v>
      </c>
      <c r="D744" s="1">
        <v>42602</v>
      </c>
      <c r="E744" s="2">
        <v>0.72916666666666663</v>
      </c>
      <c r="F744" t="s">
        <v>29</v>
      </c>
      <c r="G744" t="s">
        <v>32</v>
      </c>
      <c r="H744">
        <v>3</v>
      </c>
      <c r="I744">
        <v>1</v>
      </c>
      <c r="J744" t="s">
        <v>34</v>
      </c>
      <c r="K744">
        <v>138</v>
      </c>
      <c r="L744">
        <v>561</v>
      </c>
      <c r="M744">
        <v>801</v>
      </c>
      <c r="N744">
        <v>141</v>
      </c>
      <c r="O744">
        <v>561</v>
      </c>
      <c r="P744">
        <v>13</v>
      </c>
      <c r="Q744">
        <v>135</v>
      </c>
      <c r="R744">
        <v>504</v>
      </c>
      <c r="S744">
        <v>793</v>
      </c>
      <c r="T744" t="s">
        <v>31</v>
      </c>
      <c r="U744" t="s">
        <v>31</v>
      </c>
      <c r="V744" t="s">
        <v>31</v>
      </c>
      <c r="W744" t="s">
        <v>31</v>
      </c>
      <c r="X744" t="s">
        <v>31</v>
      </c>
      <c r="Y744" t="s">
        <v>31</v>
      </c>
    </row>
    <row r="745" spans="1:25" hidden="1">
      <c r="A745" t="s">
        <v>25</v>
      </c>
      <c r="B745" t="s">
        <v>26</v>
      </c>
      <c r="C745" t="s">
        <v>47</v>
      </c>
      <c r="D745" s="1">
        <v>42603</v>
      </c>
      <c r="E745" s="2">
        <v>0.64583333333333337</v>
      </c>
      <c r="F745" t="s">
        <v>39</v>
      </c>
      <c r="G745" t="s">
        <v>35</v>
      </c>
      <c r="H745">
        <v>1</v>
      </c>
      <c r="I745">
        <v>1</v>
      </c>
      <c r="J745" t="s">
        <v>41</v>
      </c>
      <c r="K745">
        <v>529</v>
      </c>
      <c r="L745">
        <v>402</v>
      </c>
      <c r="M745">
        <v>17</v>
      </c>
      <c r="N745">
        <v>529</v>
      </c>
      <c r="O745">
        <v>406</v>
      </c>
      <c r="P745">
        <v>181</v>
      </c>
      <c r="Q745">
        <v>473</v>
      </c>
      <c r="R745">
        <v>38</v>
      </c>
      <c r="S745">
        <v>169</v>
      </c>
      <c r="T745" t="s">
        <v>31</v>
      </c>
      <c r="U745" t="s">
        <v>31</v>
      </c>
      <c r="V745" t="s">
        <v>31</v>
      </c>
      <c r="W745" t="s">
        <v>31</v>
      </c>
      <c r="X745" t="s">
        <v>31</v>
      </c>
      <c r="Y745" t="s">
        <v>31</v>
      </c>
    </row>
    <row r="746" spans="1:25" hidden="1">
      <c r="A746" t="s">
        <v>25</v>
      </c>
      <c r="B746" t="s">
        <v>26</v>
      </c>
      <c r="C746" t="s">
        <v>47</v>
      </c>
      <c r="D746" s="1">
        <v>42603</v>
      </c>
      <c r="E746" s="2">
        <v>0.75</v>
      </c>
      <c r="F746" t="s">
        <v>40</v>
      </c>
      <c r="G746" t="s">
        <v>45</v>
      </c>
      <c r="H746">
        <v>3</v>
      </c>
      <c r="I746">
        <v>1</v>
      </c>
      <c r="J746" t="s">
        <v>34</v>
      </c>
      <c r="K746">
        <v>207</v>
      </c>
      <c r="L746">
        <v>365</v>
      </c>
      <c r="M746">
        <v>372</v>
      </c>
      <c r="N746">
        <v>211</v>
      </c>
      <c r="O746">
        <v>378</v>
      </c>
      <c r="P746">
        <v>39</v>
      </c>
      <c r="Q746">
        <v>202</v>
      </c>
      <c r="R746">
        <v>347</v>
      </c>
      <c r="S746">
        <v>349</v>
      </c>
      <c r="T746" t="s">
        <v>31</v>
      </c>
      <c r="U746" t="s">
        <v>31</v>
      </c>
      <c r="V746" t="s">
        <v>31</v>
      </c>
      <c r="W746" t="s">
        <v>31</v>
      </c>
      <c r="X746" t="s">
        <v>31</v>
      </c>
      <c r="Y746" t="s">
        <v>31</v>
      </c>
    </row>
    <row r="747" spans="1:25" hidden="1">
      <c r="A747" t="s">
        <v>25</v>
      </c>
      <c r="B747" t="s">
        <v>26</v>
      </c>
      <c r="C747" t="s">
        <v>47</v>
      </c>
      <c r="D747" s="1">
        <v>42609</v>
      </c>
      <c r="E747" s="2">
        <v>0.625</v>
      </c>
      <c r="F747" t="s">
        <v>28</v>
      </c>
      <c r="G747" t="s">
        <v>45</v>
      </c>
      <c r="H747">
        <v>3</v>
      </c>
      <c r="I747">
        <v>1</v>
      </c>
      <c r="J747" t="s">
        <v>34</v>
      </c>
      <c r="K747">
        <v>177</v>
      </c>
      <c r="L747">
        <v>392</v>
      </c>
      <c r="M747">
        <v>489</v>
      </c>
      <c r="N747">
        <v>177</v>
      </c>
      <c r="O747">
        <v>395</v>
      </c>
      <c r="P747">
        <v>54</v>
      </c>
      <c r="Q747">
        <v>172</v>
      </c>
      <c r="R747">
        <v>365</v>
      </c>
      <c r="S747">
        <v>471</v>
      </c>
      <c r="T747" t="s">
        <v>31</v>
      </c>
      <c r="U747" t="s">
        <v>31</v>
      </c>
      <c r="V747" t="s">
        <v>31</v>
      </c>
      <c r="W747" t="s">
        <v>31</v>
      </c>
      <c r="X747" t="s">
        <v>31</v>
      </c>
      <c r="Y747" t="s">
        <v>31</v>
      </c>
    </row>
    <row r="748" spans="1:25" hidden="1">
      <c r="A748" t="s">
        <v>25</v>
      </c>
      <c r="B748" t="s">
        <v>26</v>
      </c>
      <c r="C748" t="s">
        <v>47</v>
      </c>
      <c r="D748" s="1">
        <v>42609</v>
      </c>
      <c r="E748" s="2">
        <v>0.72916666666666663</v>
      </c>
      <c r="F748" t="s">
        <v>39</v>
      </c>
      <c r="G748" t="s">
        <v>37</v>
      </c>
      <c r="H748">
        <v>5</v>
      </c>
      <c r="I748">
        <v>0</v>
      </c>
      <c r="J748" t="s">
        <v>34</v>
      </c>
      <c r="K748">
        <v>203</v>
      </c>
      <c r="L748">
        <v>352</v>
      </c>
      <c r="M748">
        <v>405</v>
      </c>
      <c r="N748">
        <v>204</v>
      </c>
      <c r="O748">
        <v>362</v>
      </c>
      <c r="P748">
        <v>446</v>
      </c>
      <c r="Q748">
        <v>192</v>
      </c>
      <c r="R748">
        <v>341</v>
      </c>
      <c r="S748">
        <v>394</v>
      </c>
      <c r="T748" t="s">
        <v>31</v>
      </c>
      <c r="U748" t="s">
        <v>31</v>
      </c>
      <c r="V748" t="s">
        <v>31</v>
      </c>
      <c r="W748" t="s">
        <v>31</v>
      </c>
      <c r="X748" t="s">
        <v>31</v>
      </c>
      <c r="Y748" t="s">
        <v>31</v>
      </c>
    </row>
    <row r="749" spans="1:25" hidden="1">
      <c r="A749" t="s">
        <v>25</v>
      </c>
      <c r="B749" t="s">
        <v>26</v>
      </c>
      <c r="C749" t="s">
        <v>47</v>
      </c>
      <c r="D749" s="1">
        <v>42609</v>
      </c>
      <c r="E749" s="2">
        <v>0.72916666666666663</v>
      </c>
      <c r="F749" t="s">
        <v>32</v>
      </c>
      <c r="G749" t="s">
        <v>48</v>
      </c>
      <c r="H749">
        <v>1</v>
      </c>
      <c r="I749">
        <v>1</v>
      </c>
      <c r="J749" t="s">
        <v>41</v>
      </c>
      <c r="K749">
        <v>217</v>
      </c>
      <c r="L749">
        <v>363</v>
      </c>
      <c r="M749">
        <v>347</v>
      </c>
      <c r="N749">
        <v>217</v>
      </c>
      <c r="O749">
        <v>363</v>
      </c>
      <c r="P749">
        <v>385</v>
      </c>
      <c r="Q749">
        <v>205</v>
      </c>
      <c r="R749">
        <v>34</v>
      </c>
      <c r="S749">
        <v>348</v>
      </c>
      <c r="T749" t="s">
        <v>31</v>
      </c>
      <c r="U749" t="s">
        <v>31</v>
      </c>
      <c r="V749" t="s">
        <v>31</v>
      </c>
      <c r="W749" t="s">
        <v>31</v>
      </c>
      <c r="X749" t="s">
        <v>31</v>
      </c>
      <c r="Y749" t="s">
        <v>31</v>
      </c>
    </row>
    <row r="750" spans="1:25" hidden="1">
      <c r="A750" t="s">
        <v>25</v>
      </c>
      <c r="B750" t="s">
        <v>26</v>
      </c>
      <c r="C750" t="s">
        <v>47</v>
      </c>
      <c r="D750" s="1">
        <v>42610</v>
      </c>
      <c r="E750" s="2">
        <v>0.64583333333333337</v>
      </c>
      <c r="F750" t="s">
        <v>35</v>
      </c>
      <c r="G750" t="s">
        <v>29</v>
      </c>
      <c r="H750">
        <v>0</v>
      </c>
      <c r="I750">
        <v>0</v>
      </c>
      <c r="J750" t="s">
        <v>41</v>
      </c>
      <c r="K750">
        <v>234</v>
      </c>
      <c r="L750">
        <v>359</v>
      </c>
      <c r="M750">
        <v>314</v>
      </c>
      <c r="N750">
        <v>243</v>
      </c>
      <c r="O750">
        <v>362</v>
      </c>
      <c r="P750">
        <v>33</v>
      </c>
      <c r="Q750">
        <v>23</v>
      </c>
      <c r="R750">
        <v>338</v>
      </c>
      <c r="S750">
        <v>298</v>
      </c>
      <c r="T750" t="s">
        <v>31</v>
      </c>
      <c r="U750" t="s">
        <v>31</v>
      </c>
      <c r="V750" t="s">
        <v>31</v>
      </c>
      <c r="W750" t="s">
        <v>31</v>
      </c>
      <c r="X750" t="s">
        <v>31</v>
      </c>
      <c r="Y750" t="s">
        <v>31</v>
      </c>
    </row>
    <row r="751" spans="1:25" hidden="1">
      <c r="A751" t="s">
        <v>25</v>
      </c>
      <c r="B751" t="s">
        <v>26</v>
      </c>
      <c r="C751" t="s">
        <v>47</v>
      </c>
      <c r="D751" s="1">
        <v>42610</v>
      </c>
      <c r="E751" s="2">
        <v>0.75</v>
      </c>
      <c r="F751" t="s">
        <v>38</v>
      </c>
      <c r="G751" t="s">
        <v>40</v>
      </c>
      <c r="H751">
        <v>1</v>
      </c>
      <c r="I751">
        <v>1</v>
      </c>
      <c r="J751" t="s">
        <v>41</v>
      </c>
      <c r="K751">
        <v>333</v>
      </c>
      <c r="L751">
        <v>339</v>
      </c>
      <c r="M751">
        <v>233</v>
      </c>
      <c r="N751">
        <v>336</v>
      </c>
      <c r="O751">
        <v>352</v>
      </c>
      <c r="P751">
        <v>233</v>
      </c>
      <c r="Q751">
        <v>312</v>
      </c>
      <c r="R751">
        <v>332</v>
      </c>
      <c r="S751">
        <v>224</v>
      </c>
      <c r="T751" t="s">
        <v>31</v>
      </c>
      <c r="U751" t="s">
        <v>31</v>
      </c>
      <c r="V751" t="s">
        <v>31</v>
      </c>
      <c r="W751" t="s">
        <v>31</v>
      </c>
      <c r="X751" t="s">
        <v>31</v>
      </c>
      <c r="Y751" t="s">
        <v>31</v>
      </c>
    </row>
    <row r="752" spans="1:25" hidden="1">
      <c r="A752" t="s">
        <v>25</v>
      </c>
      <c r="B752" t="s">
        <v>26</v>
      </c>
      <c r="C752" t="s">
        <v>47</v>
      </c>
      <c r="D752" s="1">
        <v>42623</v>
      </c>
      <c r="E752" s="2">
        <v>0.625</v>
      </c>
      <c r="F752" t="s">
        <v>28</v>
      </c>
      <c r="G752" t="s">
        <v>35</v>
      </c>
      <c r="H752">
        <v>1</v>
      </c>
      <c r="I752">
        <v>1</v>
      </c>
      <c r="J752" t="s">
        <v>41</v>
      </c>
      <c r="K752">
        <v>341</v>
      </c>
      <c r="L752">
        <v>349</v>
      </c>
      <c r="M752">
        <v>224</v>
      </c>
      <c r="N752">
        <v>36</v>
      </c>
      <c r="O752">
        <v>366</v>
      </c>
      <c r="P752">
        <v>26</v>
      </c>
      <c r="Q752">
        <v>319</v>
      </c>
      <c r="R752">
        <v>335</v>
      </c>
      <c r="S752">
        <v>22</v>
      </c>
      <c r="T752" t="s">
        <v>31</v>
      </c>
      <c r="U752" t="s">
        <v>31</v>
      </c>
      <c r="V752" t="s">
        <v>31</v>
      </c>
      <c r="W752" t="s">
        <v>31</v>
      </c>
      <c r="X752" t="s">
        <v>31</v>
      </c>
      <c r="Y752" t="s">
        <v>31</v>
      </c>
    </row>
    <row r="753" spans="1:25" hidden="1">
      <c r="A753" t="s">
        <v>25</v>
      </c>
      <c r="B753" t="s">
        <v>26</v>
      </c>
      <c r="C753" t="s">
        <v>47</v>
      </c>
      <c r="D753" s="1">
        <v>42623</v>
      </c>
      <c r="E753" s="2">
        <v>0.72916666666666663</v>
      </c>
      <c r="F753" t="s">
        <v>45</v>
      </c>
      <c r="G753" t="s">
        <v>32</v>
      </c>
      <c r="H753">
        <v>2</v>
      </c>
      <c r="I753">
        <v>1</v>
      </c>
      <c r="J753" t="s">
        <v>34</v>
      </c>
      <c r="K753">
        <v>178</v>
      </c>
      <c r="L753">
        <v>385</v>
      </c>
      <c r="M753">
        <v>496</v>
      </c>
      <c r="N753">
        <v>181</v>
      </c>
      <c r="O753">
        <v>397</v>
      </c>
      <c r="P753">
        <v>5</v>
      </c>
      <c r="Q753">
        <v>176</v>
      </c>
      <c r="R753">
        <v>364</v>
      </c>
      <c r="S753">
        <v>445</v>
      </c>
      <c r="T753" t="s">
        <v>31</v>
      </c>
      <c r="U753" t="s">
        <v>31</v>
      </c>
      <c r="V753" t="s">
        <v>31</v>
      </c>
      <c r="W753" t="s">
        <v>31</v>
      </c>
      <c r="X753" t="s">
        <v>31</v>
      </c>
      <c r="Y753" t="s">
        <v>31</v>
      </c>
    </row>
    <row r="754" spans="1:25" hidden="1">
      <c r="A754" t="s">
        <v>25</v>
      </c>
      <c r="B754" t="s">
        <v>26</v>
      </c>
      <c r="C754" t="s">
        <v>47</v>
      </c>
      <c r="D754" s="1">
        <v>42623</v>
      </c>
      <c r="E754" s="2">
        <v>0.72916666666666663</v>
      </c>
      <c r="F754" t="s">
        <v>40</v>
      </c>
      <c r="G754" t="s">
        <v>39</v>
      </c>
      <c r="H754">
        <v>4</v>
      </c>
      <c r="I754">
        <v>1</v>
      </c>
      <c r="J754" t="s">
        <v>34</v>
      </c>
      <c r="K754">
        <v>194</v>
      </c>
      <c r="L754">
        <v>351</v>
      </c>
      <c r="M754">
        <v>445</v>
      </c>
      <c r="N754">
        <v>195</v>
      </c>
      <c r="O754">
        <v>362</v>
      </c>
      <c r="P754">
        <v>465</v>
      </c>
      <c r="Q754">
        <v>187</v>
      </c>
      <c r="R754">
        <v>347</v>
      </c>
      <c r="S754">
        <v>413</v>
      </c>
      <c r="T754" t="s">
        <v>31</v>
      </c>
      <c r="U754" t="s">
        <v>31</v>
      </c>
      <c r="V754" t="s">
        <v>31</v>
      </c>
      <c r="W754" t="s">
        <v>31</v>
      </c>
      <c r="X754" t="s">
        <v>31</v>
      </c>
      <c r="Y754" t="s">
        <v>31</v>
      </c>
    </row>
    <row r="755" spans="1:25" hidden="1">
      <c r="A755" t="s">
        <v>25</v>
      </c>
      <c r="B755" t="s">
        <v>26</v>
      </c>
      <c r="C755" t="s">
        <v>47</v>
      </c>
      <c r="D755" s="1">
        <v>42623</v>
      </c>
      <c r="E755" s="2">
        <v>0.72916666666666663</v>
      </c>
      <c r="F755" t="s">
        <v>48</v>
      </c>
      <c r="G755" t="s">
        <v>38</v>
      </c>
      <c r="H755">
        <v>2</v>
      </c>
      <c r="I755">
        <v>3</v>
      </c>
      <c r="J755" t="s">
        <v>30</v>
      </c>
      <c r="K755">
        <v>259</v>
      </c>
      <c r="L755">
        <v>336</v>
      </c>
      <c r="M755">
        <v>293</v>
      </c>
      <c r="N755">
        <v>265</v>
      </c>
      <c r="O755">
        <v>35</v>
      </c>
      <c r="P755">
        <v>304</v>
      </c>
      <c r="Q755">
        <v>246</v>
      </c>
      <c r="R755">
        <v>325</v>
      </c>
      <c r="S755">
        <v>283</v>
      </c>
      <c r="T755" t="s">
        <v>31</v>
      </c>
      <c r="U755" t="s">
        <v>31</v>
      </c>
      <c r="V755" t="s">
        <v>31</v>
      </c>
      <c r="W755" t="s">
        <v>31</v>
      </c>
      <c r="X755" t="s">
        <v>31</v>
      </c>
      <c r="Y755" t="s">
        <v>31</v>
      </c>
    </row>
    <row r="756" spans="1:25" hidden="1">
      <c r="A756" t="s">
        <v>25</v>
      </c>
      <c r="B756" t="s">
        <v>26</v>
      </c>
      <c r="C756" t="s">
        <v>47</v>
      </c>
      <c r="D756" s="1">
        <v>42624</v>
      </c>
      <c r="E756" s="2">
        <v>0.64583333333333337</v>
      </c>
      <c r="F756" t="s">
        <v>37</v>
      </c>
      <c r="G756" t="s">
        <v>29</v>
      </c>
      <c r="H756">
        <v>0</v>
      </c>
      <c r="I756">
        <v>4</v>
      </c>
      <c r="J756" t="s">
        <v>30</v>
      </c>
      <c r="K756">
        <v>817</v>
      </c>
      <c r="L756">
        <v>516</v>
      </c>
      <c r="M756">
        <v>141</v>
      </c>
      <c r="N756">
        <v>911</v>
      </c>
      <c r="O756">
        <v>516</v>
      </c>
      <c r="P756">
        <v>16</v>
      </c>
      <c r="Q756">
        <v>764</v>
      </c>
      <c r="R756">
        <v>477</v>
      </c>
      <c r="S756">
        <v>138</v>
      </c>
      <c r="T756" t="s">
        <v>31</v>
      </c>
      <c r="U756" t="s">
        <v>31</v>
      </c>
      <c r="V756" t="s">
        <v>31</v>
      </c>
      <c r="W756" t="s">
        <v>31</v>
      </c>
      <c r="X756" t="s">
        <v>31</v>
      </c>
      <c r="Y756" t="s">
        <v>31</v>
      </c>
    </row>
    <row r="757" spans="1:25" hidden="1">
      <c r="A757" t="s">
        <v>25</v>
      </c>
      <c r="B757" t="s">
        <v>26</v>
      </c>
      <c r="C757" t="s">
        <v>47</v>
      </c>
      <c r="D757" s="1">
        <v>42630</v>
      </c>
      <c r="E757" s="2">
        <v>0.625</v>
      </c>
      <c r="F757" t="s">
        <v>38</v>
      </c>
      <c r="G757" t="s">
        <v>45</v>
      </c>
      <c r="H757">
        <v>2</v>
      </c>
      <c r="I757">
        <v>1</v>
      </c>
      <c r="J757" t="s">
        <v>34</v>
      </c>
      <c r="K757">
        <v>257</v>
      </c>
      <c r="L757">
        <v>322</v>
      </c>
      <c r="M757">
        <v>307</v>
      </c>
      <c r="N757">
        <v>26</v>
      </c>
      <c r="O757">
        <v>34</v>
      </c>
      <c r="P757">
        <v>307</v>
      </c>
      <c r="Q757">
        <v>246</v>
      </c>
      <c r="R757">
        <v>317</v>
      </c>
      <c r="S757">
        <v>288</v>
      </c>
      <c r="T757" t="s">
        <v>31</v>
      </c>
      <c r="U757" t="s">
        <v>31</v>
      </c>
      <c r="V757" t="s">
        <v>31</v>
      </c>
      <c r="W757" t="s">
        <v>31</v>
      </c>
      <c r="X757" t="s">
        <v>31</v>
      </c>
      <c r="Y757" t="s">
        <v>31</v>
      </c>
    </row>
    <row r="758" spans="1:25" hidden="1">
      <c r="A758" t="s">
        <v>25</v>
      </c>
      <c r="B758" t="s">
        <v>26</v>
      </c>
      <c r="C758" t="s">
        <v>47</v>
      </c>
      <c r="D758" s="1">
        <v>42630</v>
      </c>
      <c r="E758" s="2">
        <v>0.72916666666666663</v>
      </c>
      <c r="F758" t="s">
        <v>39</v>
      </c>
      <c r="G758" t="s">
        <v>48</v>
      </c>
      <c r="H758">
        <v>1</v>
      </c>
      <c r="I758">
        <v>1</v>
      </c>
      <c r="J758" t="s">
        <v>41</v>
      </c>
      <c r="K758">
        <v>158</v>
      </c>
      <c r="L758">
        <v>427</v>
      </c>
      <c r="M758">
        <v>635</v>
      </c>
      <c r="N758">
        <v>162</v>
      </c>
      <c r="O758">
        <v>433</v>
      </c>
      <c r="P758">
        <v>67</v>
      </c>
      <c r="Q758">
        <v>155</v>
      </c>
      <c r="R758">
        <v>394</v>
      </c>
      <c r="S758">
        <v>59</v>
      </c>
      <c r="T758" t="s">
        <v>31</v>
      </c>
      <c r="U758" t="s">
        <v>31</v>
      </c>
      <c r="V758" t="s">
        <v>31</v>
      </c>
      <c r="W758" t="s">
        <v>31</v>
      </c>
      <c r="X758" t="s">
        <v>31</v>
      </c>
      <c r="Y758" t="s">
        <v>31</v>
      </c>
    </row>
    <row r="759" spans="1:25" hidden="1">
      <c r="A759" t="s">
        <v>25</v>
      </c>
      <c r="B759" t="s">
        <v>26</v>
      </c>
      <c r="C759" t="s">
        <v>47</v>
      </c>
      <c r="D759" s="1">
        <v>42630</v>
      </c>
      <c r="E759" s="2">
        <v>0.72916666666666663</v>
      </c>
      <c r="F759" t="s">
        <v>37</v>
      </c>
      <c r="G759" t="s">
        <v>28</v>
      </c>
      <c r="H759">
        <v>0</v>
      </c>
      <c r="I759">
        <v>3</v>
      </c>
      <c r="J759" t="s">
        <v>30</v>
      </c>
      <c r="K759">
        <v>505</v>
      </c>
      <c r="L759">
        <v>399</v>
      </c>
      <c r="M759">
        <v>174</v>
      </c>
      <c r="N759">
        <v>54</v>
      </c>
      <c r="O759">
        <v>406</v>
      </c>
      <c r="P759">
        <v>185</v>
      </c>
      <c r="Q759">
        <v>49</v>
      </c>
      <c r="R759">
        <v>375</v>
      </c>
      <c r="S759">
        <v>167</v>
      </c>
      <c r="T759" t="s">
        <v>31</v>
      </c>
      <c r="U759" t="s">
        <v>31</v>
      </c>
      <c r="V759" t="s">
        <v>31</v>
      </c>
      <c r="W759" t="s">
        <v>31</v>
      </c>
      <c r="X759" t="s">
        <v>31</v>
      </c>
      <c r="Y759" t="s">
        <v>31</v>
      </c>
    </row>
    <row r="760" spans="1:25" hidden="1">
      <c r="A760" t="s">
        <v>25</v>
      </c>
      <c r="B760" t="s">
        <v>26</v>
      </c>
      <c r="C760" t="s">
        <v>47</v>
      </c>
      <c r="D760" s="1">
        <v>42631</v>
      </c>
      <c r="E760" s="2">
        <v>0.64583333333333337</v>
      </c>
      <c r="F760" t="s">
        <v>29</v>
      </c>
      <c r="G760" t="s">
        <v>40</v>
      </c>
      <c r="H760">
        <v>4</v>
      </c>
      <c r="I760">
        <v>1</v>
      </c>
      <c r="J760" t="s">
        <v>34</v>
      </c>
      <c r="K760">
        <v>136</v>
      </c>
      <c r="L760">
        <v>571</v>
      </c>
      <c r="M760">
        <v>884</v>
      </c>
      <c r="N760">
        <v>145</v>
      </c>
      <c r="O760">
        <v>595</v>
      </c>
      <c r="P760">
        <v>951</v>
      </c>
      <c r="Q760">
        <v>132</v>
      </c>
      <c r="R760">
        <v>529</v>
      </c>
      <c r="S760">
        <v>817</v>
      </c>
      <c r="T760" t="s">
        <v>31</v>
      </c>
      <c r="U760" t="s">
        <v>31</v>
      </c>
      <c r="V760" t="s">
        <v>31</v>
      </c>
      <c r="W760" t="s">
        <v>31</v>
      </c>
      <c r="X760" t="s">
        <v>31</v>
      </c>
      <c r="Y760" t="s">
        <v>31</v>
      </c>
    </row>
    <row r="761" spans="1:25" hidden="1">
      <c r="A761" t="s">
        <v>25</v>
      </c>
      <c r="B761" t="s">
        <v>26</v>
      </c>
      <c r="C761" t="s">
        <v>47</v>
      </c>
      <c r="D761" s="1">
        <v>42631</v>
      </c>
      <c r="E761" s="2">
        <v>0.75</v>
      </c>
      <c r="F761" t="s">
        <v>35</v>
      </c>
      <c r="G761" t="s">
        <v>32</v>
      </c>
      <c r="H761">
        <v>3</v>
      </c>
      <c r="I761">
        <v>0</v>
      </c>
      <c r="J761" t="s">
        <v>34</v>
      </c>
      <c r="K761">
        <v>133</v>
      </c>
      <c r="L761">
        <v>598</v>
      </c>
      <c r="M761">
        <v>964</v>
      </c>
      <c r="N761">
        <v>134</v>
      </c>
      <c r="O761">
        <v>61</v>
      </c>
      <c r="P761">
        <v>103</v>
      </c>
      <c r="Q761">
        <v>13</v>
      </c>
      <c r="R761">
        <v>543</v>
      </c>
      <c r="S761">
        <v>868</v>
      </c>
      <c r="T761" t="s">
        <v>31</v>
      </c>
      <c r="U761" t="s">
        <v>31</v>
      </c>
      <c r="V761" t="s">
        <v>31</v>
      </c>
      <c r="W761" t="s">
        <v>31</v>
      </c>
      <c r="X761" t="s">
        <v>31</v>
      </c>
      <c r="Y761" t="s">
        <v>31</v>
      </c>
    </row>
    <row r="762" spans="1:25" hidden="1">
      <c r="A762" t="s">
        <v>25</v>
      </c>
      <c r="B762" t="s">
        <v>26</v>
      </c>
      <c r="C762" t="s">
        <v>47</v>
      </c>
      <c r="D762" s="1">
        <v>42637</v>
      </c>
      <c r="E762" s="2">
        <v>0.625</v>
      </c>
      <c r="F762" t="s">
        <v>48</v>
      </c>
      <c r="G762" t="s">
        <v>35</v>
      </c>
      <c r="H762">
        <v>1</v>
      </c>
      <c r="I762">
        <v>1</v>
      </c>
      <c r="J762" t="s">
        <v>41</v>
      </c>
      <c r="K762">
        <v>744</v>
      </c>
      <c r="L762">
        <v>525</v>
      </c>
      <c r="M762">
        <v>143</v>
      </c>
      <c r="N762">
        <v>9</v>
      </c>
      <c r="O762">
        <v>525</v>
      </c>
      <c r="P762">
        <v>153</v>
      </c>
      <c r="Q762">
        <v>713</v>
      </c>
      <c r="R762">
        <v>459</v>
      </c>
      <c r="S762">
        <v>141</v>
      </c>
      <c r="T762" t="s">
        <v>31</v>
      </c>
      <c r="U762" t="s">
        <v>31</v>
      </c>
      <c r="V762" t="s">
        <v>31</v>
      </c>
      <c r="W762" t="s">
        <v>31</v>
      </c>
      <c r="X762" t="s">
        <v>31</v>
      </c>
      <c r="Y762" t="s">
        <v>31</v>
      </c>
    </row>
    <row r="763" spans="1:25" hidden="1">
      <c r="A763" t="s">
        <v>25</v>
      </c>
      <c r="B763" t="s">
        <v>26</v>
      </c>
      <c r="C763" t="s">
        <v>47</v>
      </c>
      <c r="D763" s="1">
        <v>42637</v>
      </c>
      <c r="E763" s="2">
        <v>0.72916666666666663</v>
      </c>
      <c r="F763" t="s">
        <v>40</v>
      </c>
      <c r="G763" t="s">
        <v>37</v>
      </c>
      <c r="H763">
        <v>1</v>
      </c>
      <c r="I763">
        <v>2</v>
      </c>
      <c r="J763" t="s">
        <v>30</v>
      </c>
      <c r="K763">
        <v>151</v>
      </c>
      <c r="L763">
        <v>477</v>
      </c>
      <c r="M763">
        <v>662</v>
      </c>
      <c r="N763">
        <v>153</v>
      </c>
      <c r="O763">
        <v>49</v>
      </c>
      <c r="P763">
        <v>694</v>
      </c>
      <c r="Q763">
        <v>148</v>
      </c>
      <c r="R763">
        <v>442</v>
      </c>
      <c r="S763">
        <v>609</v>
      </c>
      <c r="T763" t="s">
        <v>31</v>
      </c>
      <c r="U763" t="s">
        <v>31</v>
      </c>
      <c r="V763" t="s">
        <v>31</v>
      </c>
      <c r="W763" t="s">
        <v>31</v>
      </c>
      <c r="X763" t="s">
        <v>31</v>
      </c>
      <c r="Y763" t="s">
        <v>31</v>
      </c>
    </row>
    <row r="764" spans="1:25" hidden="1">
      <c r="A764" t="s">
        <v>25</v>
      </c>
      <c r="B764" t="s">
        <v>26</v>
      </c>
      <c r="C764" t="s">
        <v>47</v>
      </c>
      <c r="D764" s="1">
        <v>42637</v>
      </c>
      <c r="E764" s="2">
        <v>0.72916666666666663</v>
      </c>
      <c r="F764" t="s">
        <v>32</v>
      </c>
      <c r="G764" t="s">
        <v>38</v>
      </c>
      <c r="H764">
        <v>1</v>
      </c>
      <c r="I764">
        <v>1</v>
      </c>
      <c r="J764" t="s">
        <v>41</v>
      </c>
      <c r="K764">
        <v>24</v>
      </c>
      <c r="L764">
        <v>344</v>
      </c>
      <c r="M764">
        <v>314</v>
      </c>
      <c r="N764">
        <v>255</v>
      </c>
      <c r="O764">
        <v>346</v>
      </c>
      <c r="P764">
        <v>314</v>
      </c>
      <c r="Q764">
        <v>236</v>
      </c>
      <c r="R764">
        <v>326</v>
      </c>
      <c r="S764">
        <v>294</v>
      </c>
      <c r="T764" t="s">
        <v>31</v>
      </c>
      <c r="U764" t="s">
        <v>31</v>
      </c>
      <c r="V764" t="s">
        <v>31</v>
      </c>
      <c r="W764" t="s">
        <v>31</v>
      </c>
      <c r="X764" t="s">
        <v>31</v>
      </c>
      <c r="Y764" t="s">
        <v>31</v>
      </c>
    </row>
    <row r="765" spans="1:25" hidden="1">
      <c r="A765" t="s">
        <v>25</v>
      </c>
      <c r="B765" t="s">
        <v>26</v>
      </c>
      <c r="C765" t="s">
        <v>47</v>
      </c>
      <c r="D765" s="1">
        <v>42637</v>
      </c>
      <c r="E765" s="2">
        <v>0.72916666666666663</v>
      </c>
      <c r="F765" t="s">
        <v>28</v>
      </c>
      <c r="G765" t="s">
        <v>39</v>
      </c>
      <c r="H765">
        <v>3</v>
      </c>
      <c r="I765">
        <v>0</v>
      </c>
      <c r="J765" t="s">
        <v>34</v>
      </c>
      <c r="K765">
        <v>159</v>
      </c>
      <c r="L765">
        <v>412</v>
      </c>
      <c r="M765">
        <v>646</v>
      </c>
      <c r="N765">
        <v>17</v>
      </c>
      <c r="O765">
        <v>42</v>
      </c>
      <c r="P765">
        <v>7</v>
      </c>
      <c r="Q765">
        <v>159</v>
      </c>
      <c r="R765">
        <v>387</v>
      </c>
      <c r="S765">
        <v>556</v>
      </c>
      <c r="T765" t="s">
        <v>31</v>
      </c>
      <c r="U765" t="s">
        <v>31</v>
      </c>
      <c r="V765" t="s">
        <v>31</v>
      </c>
      <c r="W765" t="s">
        <v>31</v>
      </c>
      <c r="X765" t="s">
        <v>31</v>
      </c>
      <c r="Y765" t="s">
        <v>31</v>
      </c>
    </row>
    <row r="766" spans="1:25" hidden="1">
      <c r="A766" t="s">
        <v>25</v>
      </c>
      <c r="B766" t="s">
        <v>26</v>
      </c>
      <c r="C766" t="s">
        <v>47</v>
      </c>
      <c r="D766" s="1">
        <v>42638</v>
      </c>
      <c r="E766" s="2">
        <v>0.64583333333333337</v>
      </c>
      <c r="F766" t="s">
        <v>45</v>
      </c>
      <c r="G766" t="s">
        <v>29</v>
      </c>
      <c r="H766">
        <v>0</v>
      </c>
      <c r="I766">
        <v>0</v>
      </c>
      <c r="J766" t="s">
        <v>41</v>
      </c>
      <c r="K766">
        <v>662</v>
      </c>
      <c r="L766">
        <v>446</v>
      </c>
      <c r="M766">
        <v>154</v>
      </c>
      <c r="N766">
        <v>7</v>
      </c>
      <c r="O766">
        <v>446</v>
      </c>
      <c r="P766">
        <v>16</v>
      </c>
      <c r="Q766">
        <v>604</v>
      </c>
      <c r="R766">
        <v>409</v>
      </c>
      <c r="S766">
        <v>152</v>
      </c>
      <c r="T766" t="s">
        <v>31</v>
      </c>
      <c r="U766" t="s">
        <v>31</v>
      </c>
      <c r="V766" t="s">
        <v>31</v>
      </c>
      <c r="W766" t="s">
        <v>31</v>
      </c>
      <c r="X766" t="s">
        <v>31</v>
      </c>
      <c r="Y766" t="s">
        <v>31</v>
      </c>
    </row>
    <row r="767" spans="1:25" hidden="1">
      <c r="A767" t="s">
        <v>25</v>
      </c>
      <c r="B767" t="s">
        <v>26</v>
      </c>
      <c r="C767" t="s">
        <v>47</v>
      </c>
      <c r="D767" s="1">
        <v>42644</v>
      </c>
      <c r="E767" s="2">
        <v>0.625</v>
      </c>
      <c r="F767" t="s">
        <v>39</v>
      </c>
      <c r="G767" t="s">
        <v>45</v>
      </c>
      <c r="H767">
        <v>1</v>
      </c>
      <c r="I767">
        <v>2</v>
      </c>
      <c r="J767" t="s">
        <v>30</v>
      </c>
      <c r="K767">
        <v>21</v>
      </c>
      <c r="L767">
        <v>334</v>
      </c>
      <c r="M767">
        <v>4</v>
      </c>
      <c r="N767">
        <v>223</v>
      </c>
      <c r="O767">
        <v>34</v>
      </c>
      <c r="P767">
        <v>4</v>
      </c>
      <c r="Q767">
        <v>211</v>
      </c>
      <c r="R767">
        <v>321</v>
      </c>
      <c r="S767">
        <v>352</v>
      </c>
      <c r="T767" t="s">
        <v>31</v>
      </c>
      <c r="U767" t="s">
        <v>31</v>
      </c>
      <c r="V767" t="s">
        <v>31</v>
      </c>
      <c r="W767" t="s">
        <v>31</v>
      </c>
      <c r="X767" t="s">
        <v>31</v>
      </c>
      <c r="Y767" t="s">
        <v>31</v>
      </c>
    </row>
    <row r="768" spans="1:25" hidden="1">
      <c r="A768" t="s">
        <v>25</v>
      </c>
      <c r="B768" t="s">
        <v>26</v>
      </c>
      <c r="C768" t="s">
        <v>47</v>
      </c>
      <c r="D768" s="1">
        <v>42644</v>
      </c>
      <c r="E768" s="2">
        <v>0.72916666666666663</v>
      </c>
      <c r="F768" t="s">
        <v>37</v>
      </c>
      <c r="G768" t="s">
        <v>32</v>
      </c>
      <c r="H768">
        <v>1</v>
      </c>
      <c r="I768">
        <v>0</v>
      </c>
      <c r="J768" t="s">
        <v>34</v>
      </c>
      <c r="K768">
        <v>261</v>
      </c>
      <c r="L768">
        <v>336</v>
      </c>
      <c r="M768">
        <v>29</v>
      </c>
      <c r="N768">
        <v>261</v>
      </c>
      <c r="O768">
        <v>347</v>
      </c>
      <c r="P768">
        <v>33</v>
      </c>
      <c r="Q768">
        <v>24</v>
      </c>
      <c r="R768">
        <v>326</v>
      </c>
      <c r="S768">
        <v>289</v>
      </c>
      <c r="T768" t="s">
        <v>31</v>
      </c>
      <c r="U768" t="s">
        <v>31</v>
      </c>
      <c r="V768" t="s">
        <v>31</v>
      </c>
      <c r="W768" t="s">
        <v>31</v>
      </c>
      <c r="X768" t="s">
        <v>31</v>
      </c>
      <c r="Y768" t="s">
        <v>31</v>
      </c>
    </row>
    <row r="769" spans="1:25" hidden="1">
      <c r="A769" t="s">
        <v>25</v>
      </c>
      <c r="B769" t="s">
        <v>26</v>
      </c>
      <c r="C769" t="s">
        <v>47</v>
      </c>
      <c r="D769" s="1">
        <v>42645</v>
      </c>
      <c r="E769" s="2">
        <v>0.64583333333333337</v>
      </c>
      <c r="F769" t="s">
        <v>38</v>
      </c>
      <c r="G769" t="s">
        <v>35</v>
      </c>
      <c r="H769">
        <v>4</v>
      </c>
      <c r="I769">
        <v>2</v>
      </c>
      <c r="J769" t="s">
        <v>34</v>
      </c>
      <c r="K769">
        <v>58</v>
      </c>
      <c r="L769">
        <v>396</v>
      </c>
      <c r="M769">
        <v>167</v>
      </c>
      <c r="N769">
        <v>59</v>
      </c>
      <c r="O769">
        <v>397</v>
      </c>
      <c r="P769">
        <v>175</v>
      </c>
      <c r="Q769">
        <v>527</v>
      </c>
      <c r="R769">
        <v>372</v>
      </c>
      <c r="S769">
        <v>164</v>
      </c>
      <c r="T769" t="s">
        <v>31</v>
      </c>
      <c r="U769" t="s">
        <v>31</v>
      </c>
      <c r="V769" t="s">
        <v>31</v>
      </c>
      <c r="W769" t="s">
        <v>31</v>
      </c>
      <c r="X769" t="s">
        <v>31</v>
      </c>
      <c r="Y769" t="s">
        <v>31</v>
      </c>
    </row>
    <row r="770" spans="1:25" hidden="1">
      <c r="A770" t="s">
        <v>25</v>
      </c>
      <c r="B770" t="s">
        <v>26</v>
      </c>
      <c r="C770" t="s">
        <v>47</v>
      </c>
      <c r="D770" s="1">
        <v>42645</v>
      </c>
      <c r="E770" s="2">
        <v>0.64583333333333337</v>
      </c>
      <c r="F770" t="s">
        <v>29</v>
      </c>
      <c r="G770" t="s">
        <v>28</v>
      </c>
      <c r="H770">
        <v>0</v>
      </c>
      <c r="I770">
        <v>1</v>
      </c>
      <c r="J770" t="s">
        <v>30</v>
      </c>
      <c r="K770">
        <v>161</v>
      </c>
      <c r="L770">
        <v>43</v>
      </c>
      <c r="M770">
        <v>585</v>
      </c>
      <c r="N770">
        <v>167</v>
      </c>
      <c r="O770">
        <v>436</v>
      </c>
      <c r="P770">
        <v>6</v>
      </c>
      <c r="Q770">
        <v>159</v>
      </c>
      <c r="R770">
        <v>402</v>
      </c>
      <c r="S770">
        <v>525</v>
      </c>
      <c r="T770" t="s">
        <v>31</v>
      </c>
      <c r="U770" t="s">
        <v>31</v>
      </c>
      <c r="V770" t="s">
        <v>31</v>
      </c>
      <c r="W770" t="s">
        <v>31</v>
      </c>
      <c r="X770" t="s">
        <v>31</v>
      </c>
      <c r="Y770" t="s">
        <v>31</v>
      </c>
    </row>
    <row r="771" spans="1:25" hidden="1">
      <c r="A771" t="s">
        <v>25</v>
      </c>
      <c r="B771" t="s">
        <v>26</v>
      </c>
      <c r="C771" t="s">
        <v>47</v>
      </c>
      <c r="D771" s="1">
        <v>42645</v>
      </c>
      <c r="E771" s="2">
        <v>0.75</v>
      </c>
      <c r="F771" t="s">
        <v>40</v>
      </c>
      <c r="G771" t="s">
        <v>48</v>
      </c>
      <c r="H771">
        <v>2</v>
      </c>
      <c r="I771">
        <v>1</v>
      </c>
      <c r="J771" t="s">
        <v>34</v>
      </c>
      <c r="K771">
        <v>15</v>
      </c>
      <c r="L771">
        <v>46</v>
      </c>
      <c r="M771">
        <v>702</v>
      </c>
      <c r="N771">
        <v>156</v>
      </c>
      <c r="O771">
        <v>465</v>
      </c>
      <c r="P771">
        <v>702</v>
      </c>
      <c r="Q771">
        <v>149</v>
      </c>
      <c r="R771">
        <v>425</v>
      </c>
      <c r="S771">
        <v>616</v>
      </c>
      <c r="T771" t="s">
        <v>31</v>
      </c>
      <c r="U771" t="s">
        <v>31</v>
      </c>
      <c r="V771" t="s">
        <v>31</v>
      </c>
      <c r="W771" t="s">
        <v>31</v>
      </c>
      <c r="X771" t="s">
        <v>31</v>
      </c>
      <c r="Y771" t="s">
        <v>31</v>
      </c>
    </row>
    <row r="772" spans="1:25" hidden="1">
      <c r="A772" t="s">
        <v>25</v>
      </c>
      <c r="B772" t="s">
        <v>26</v>
      </c>
      <c r="C772" t="s">
        <v>47</v>
      </c>
      <c r="D772" s="1">
        <v>42658</v>
      </c>
      <c r="E772" s="2">
        <v>0.625</v>
      </c>
      <c r="F772" t="s">
        <v>39</v>
      </c>
      <c r="G772" t="s">
        <v>29</v>
      </c>
      <c r="H772">
        <v>2</v>
      </c>
      <c r="I772">
        <v>2</v>
      </c>
      <c r="J772" t="s">
        <v>41</v>
      </c>
      <c r="K772">
        <v>563</v>
      </c>
      <c r="L772">
        <v>398</v>
      </c>
      <c r="M772">
        <v>168</v>
      </c>
      <c r="N772">
        <v>565</v>
      </c>
      <c r="O772">
        <v>416</v>
      </c>
      <c r="P772">
        <v>175</v>
      </c>
      <c r="Q772">
        <v>497</v>
      </c>
      <c r="R772">
        <v>373</v>
      </c>
      <c r="S772">
        <v>167</v>
      </c>
      <c r="T772" t="s">
        <v>31</v>
      </c>
      <c r="U772" t="s">
        <v>31</v>
      </c>
      <c r="V772" t="s">
        <v>31</v>
      </c>
      <c r="W772" t="s">
        <v>31</v>
      </c>
      <c r="X772" t="s">
        <v>31</v>
      </c>
      <c r="Y772" t="s">
        <v>31</v>
      </c>
    </row>
    <row r="773" spans="1:25" hidden="1">
      <c r="A773" t="s">
        <v>25</v>
      </c>
      <c r="B773" t="s">
        <v>26</v>
      </c>
      <c r="C773" t="s">
        <v>47</v>
      </c>
      <c r="D773" s="1">
        <v>42658</v>
      </c>
      <c r="E773" s="2">
        <v>0.72916666666666663</v>
      </c>
      <c r="F773" t="s">
        <v>37</v>
      </c>
      <c r="G773" t="s">
        <v>48</v>
      </c>
      <c r="H773">
        <v>1</v>
      </c>
      <c r="I773">
        <v>1</v>
      </c>
      <c r="J773" t="s">
        <v>41</v>
      </c>
      <c r="K773">
        <v>214</v>
      </c>
      <c r="L773">
        <v>348</v>
      </c>
      <c r="M773">
        <v>369</v>
      </c>
      <c r="N773">
        <v>228</v>
      </c>
      <c r="O773">
        <v>348</v>
      </c>
      <c r="P773">
        <v>369</v>
      </c>
      <c r="Q773">
        <v>213</v>
      </c>
      <c r="R773">
        <v>329</v>
      </c>
      <c r="S773">
        <v>336</v>
      </c>
      <c r="T773" t="s">
        <v>31</v>
      </c>
      <c r="U773" t="s">
        <v>31</v>
      </c>
      <c r="V773" t="s">
        <v>31</v>
      </c>
      <c r="W773" t="s">
        <v>31</v>
      </c>
      <c r="X773" t="s">
        <v>31</v>
      </c>
      <c r="Y773" t="s">
        <v>31</v>
      </c>
    </row>
    <row r="774" spans="1:25" hidden="1">
      <c r="A774" t="s">
        <v>25</v>
      </c>
      <c r="B774" t="s">
        <v>26</v>
      </c>
      <c r="C774" t="s">
        <v>47</v>
      </c>
      <c r="D774" s="1">
        <v>42658</v>
      </c>
      <c r="E774" s="2">
        <v>0.72916666666666663</v>
      </c>
      <c r="F774" t="s">
        <v>35</v>
      </c>
      <c r="G774" t="s">
        <v>45</v>
      </c>
      <c r="H774">
        <v>1</v>
      </c>
      <c r="I774">
        <v>1</v>
      </c>
      <c r="J774" t="s">
        <v>41</v>
      </c>
      <c r="K774">
        <v>147</v>
      </c>
      <c r="L774">
        <v>469</v>
      </c>
      <c r="M774">
        <v>762</v>
      </c>
      <c r="N774">
        <v>148</v>
      </c>
      <c r="O774">
        <v>486</v>
      </c>
      <c r="P774">
        <v>832</v>
      </c>
      <c r="Q774">
        <v>142</v>
      </c>
      <c r="R774">
        <v>439</v>
      </c>
      <c r="S774">
        <v>721</v>
      </c>
      <c r="T774" t="s">
        <v>31</v>
      </c>
      <c r="U774" t="s">
        <v>31</v>
      </c>
      <c r="V774" t="s">
        <v>31</v>
      </c>
      <c r="W774" t="s">
        <v>31</v>
      </c>
      <c r="X774" t="s">
        <v>31</v>
      </c>
      <c r="Y774" t="s">
        <v>31</v>
      </c>
    </row>
    <row r="775" spans="1:25" hidden="1">
      <c r="A775" t="s">
        <v>25</v>
      </c>
      <c r="B775" t="s">
        <v>26</v>
      </c>
      <c r="C775" t="s">
        <v>47</v>
      </c>
      <c r="D775" s="1">
        <v>42658</v>
      </c>
      <c r="E775" s="2">
        <v>0.72916666666666663</v>
      </c>
      <c r="F775" t="s">
        <v>28</v>
      </c>
      <c r="G775" t="s">
        <v>38</v>
      </c>
      <c r="H775">
        <v>1</v>
      </c>
      <c r="I775">
        <v>0</v>
      </c>
      <c r="J775" t="s">
        <v>34</v>
      </c>
      <c r="K775">
        <v>153</v>
      </c>
      <c r="L775">
        <v>443</v>
      </c>
      <c r="M775">
        <v>674</v>
      </c>
      <c r="N775">
        <v>156</v>
      </c>
      <c r="O775">
        <v>46</v>
      </c>
      <c r="P775">
        <v>695</v>
      </c>
      <c r="Q775">
        <v>151</v>
      </c>
      <c r="R775">
        <v>415</v>
      </c>
      <c r="S775">
        <v>606</v>
      </c>
      <c r="T775" t="s">
        <v>31</v>
      </c>
      <c r="U775" t="s">
        <v>31</v>
      </c>
      <c r="V775" t="s">
        <v>31</v>
      </c>
      <c r="W775" t="s">
        <v>31</v>
      </c>
      <c r="X775" t="s">
        <v>31</v>
      </c>
      <c r="Y775" t="s">
        <v>31</v>
      </c>
    </row>
    <row r="776" spans="1:25" hidden="1">
      <c r="A776" t="s">
        <v>25</v>
      </c>
      <c r="B776" t="s">
        <v>26</v>
      </c>
      <c r="C776" t="s">
        <v>47</v>
      </c>
      <c r="D776" s="1">
        <v>42659</v>
      </c>
      <c r="E776" s="2">
        <v>0.64583333333333337</v>
      </c>
      <c r="F776" t="s">
        <v>32</v>
      </c>
      <c r="G776" t="s">
        <v>40</v>
      </c>
      <c r="H776">
        <v>0</v>
      </c>
      <c r="I776">
        <v>2</v>
      </c>
      <c r="J776" t="s">
        <v>30</v>
      </c>
      <c r="K776">
        <v>374</v>
      </c>
      <c r="L776">
        <v>389</v>
      </c>
      <c r="M776">
        <v>2</v>
      </c>
      <c r="N776">
        <v>4</v>
      </c>
      <c r="O776">
        <v>395</v>
      </c>
      <c r="P776">
        <v>21</v>
      </c>
      <c r="Q776">
        <v>362</v>
      </c>
      <c r="R776">
        <v>365</v>
      </c>
      <c r="S776">
        <v>193</v>
      </c>
      <c r="T776" t="s">
        <v>31</v>
      </c>
      <c r="U776" t="s">
        <v>31</v>
      </c>
      <c r="V776" t="s">
        <v>31</v>
      </c>
      <c r="W776" t="s">
        <v>31</v>
      </c>
      <c r="X776" t="s">
        <v>31</v>
      </c>
      <c r="Y776" t="s">
        <v>31</v>
      </c>
    </row>
    <row r="777" spans="1:25" hidden="1">
      <c r="A777" t="s">
        <v>25</v>
      </c>
      <c r="B777" t="s">
        <v>26</v>
      </c>
      <c r="C777" t="s">
        <v>47</v>
      </c>
      <c r="D777" s="1">
        <v>42665</v>
      </c>
      <c r="E777" s="2">
        <v>0.625</v>
      </c>
      <c r="F777" t="s">
        <v>28</v>
      </c>
      <c r="G777" t="s">
        <v>32</v>
      </c>
      <c r="H777">
        <v>2</v>
      </c>
      <c r="I777">
        <v>2</v>
      </c>
      <c r="J777" t="s">
        <v>41</v>
      </c>
      <c r="K777">
        <v>137</v>
      </c>
      <c r="L777">
        <v>536</v>
      </c>
      <c r="M777">
        <v>939</v>
      </c>
      <c r="N777">
        <v>137</v>
      </c>
      <c r="O777">
        <v>55</v>
      </c>
      <c r="P777">
        <v>11</v>
      </c>
      <c r="Q777">
        <v>133</v>
      </c>
      <c r="R777">
        <v>493</v>
      </c>
      <c r="S777">
        <v>881</v>
      </c>
      <c r="T777" t="s">
        <v>31</v>
      </c>
      <c r="U777" t="s">
        <v>31</v>
      </c>
      <c r="V777" t="s">
        <v>31</v>
      </c>
      <c r="W777" t="s">
        <v>31</v>
      </c>
      <c r="X777" t="s">
        <v>31</v>
      </c>
      <c r="Y777" t="s">
        <v>31</v>
      </c>
    </row>
    <row r="778" spans="1:25" hidden="1">
      <c r="A778" t="s">
        <v>25</v>
      </c>
      <c r="B778" t="s">
        <v>26</v>
      </c>
      <c r="C778" t="s">
        <v>47</v>
      </c>
      <c r="D778" s="1">
        <v>42665</v>
      </c>
      <c r="E778" s="2">
        <v>0.72916666666666663</v>
      </c>
      <c r="F778" t="s">
        <v>45</v>
      </c>
      <c r="G778" t="s">
        <v>37</v>
      </c>
      <c r="H778">
        <v>2</v>
      </c>
      <c r="I778">
        <v>0</v>
      </c>
      <c r="J778" t="s">
        <v>34</v>
      </c>
      <c r="K778">
        <v>18</v>
      </c>
      <c r="L778">
        <v>378</v>
      </c>
      <c r="M778">
        <v>489</v>
      </c>
      <c r="N778">
        <v>182</v>
      </c>
      <c r="O778">
        <v>4</v>
      </c>
      <c r="P778">
        <v>5</v>
      </c>
      <c r="Q778">
        <v>175</v>
      </c>
      <c r="R778">
        <v>362</v>
      </c>
      <c r="S778">
        <v>454</v>
      </c>
      <c r="T778" t="s">
        <v>31</v>
      </c>
      <c r="U778" t="s">
        <v>31</v>
      </c>
      <c r="V778" t="s">
        <v>31</v>
      </c>
      <c r="W778" t="s">
        <v>31</v>
      </c>
      <c r="X778" t="s">
        <v>31</v>
      </c>
      <c r="Y778" t="s">
        <v>31</v>
      </c>
    </row>
    <row r="779" spans="1:25" hidden="1">
      <c r="A779" t="s">
        <v>25</v>
      </c>
      <c r="B779" t="s">
        <v>26</v>
      </c>
      <c r="C779" t="s">
        <v>47</v>
      </c>
      <c r="D779" s="1">
        <v>42665</v>
      </c>
      <c r="E779" s="2">
        <v>0.72916666666666663</v>
      </c>
      <c r="F779" t="s">
        <v>38</v>
      </c>
      <c r="G779" t="s">
        <v>39</v>
      </c>
      <c r="H779">
        <v>0</v>
      </c>
      <c r="I779">
        <v>1</v>
      </c>
      <c r="J779" t="s">
        <v>30</v>
      </c>
      <c r="K779">
        <v>23</v>
      </c>
      <c r="L779">
        <v>337</v>
      </c>
      <c r="M779">
        <v>342</v>
      </c>
      <c r="N779">
        <v>244</v>
      </c>
      <c r="O779">
        <v>34</v>
      </c>
      <c r="P779">
        <v>342</v>
      </c>
      <c r="Q779">
        <v>227</v>
      </c>
      <c r="R779">
        <v>321</v>
      </c>
      <c r="S779">
        <v>316</v>
      </c>
      <c r="T779" t="s">
        <v>31</v>
      </c>
      <c r="U779" t="s">
        <v>31</v>
      </c>
      <c r="V779" t="s">
        <v>31</v>
      </c>
      <c r="W779" t="s">
        <v>31</v>
      </c>
      <c r="X779" t="s">
        <v>31</v>
      </c>
      <c r="Y779" t="s">
        <v>31</v>
      </c>
    </row>
    <row r="780" spans="1:25" hidden="1">
      <c r="A780" t="s">
        <v>25</v>
      </c>
      <c r="B780" t="s">
        <v>26</v>
      </c>
      <c r="C780" t="s">
        <v>47</v>
      </c>
      <c r="D780" s="1">
        <v>42666</v>
      </c>
      <c r="E780" s="2">
        <v>0.54166666666666663</v>
      </c>
      <c r="F780" t="s">
        <v>48</v>
      </c>
      <c r="G780" t="s">
        <v>29</v>
      </c>
      <c r="H780">
        <v>1</v>
      </c>
      <c r="I780">
        <v>5</v>
      </c>
      <c r="J780" t="s">
        <v>30</v>
      </c>
      <c r="K780">
        <v>86</v>
      </c>
      <c r="L780">
        <v>534</v>
      </c>
      <c r="M780">
        <v>139</v>
      </c>
      <c r="N780">
        <v>86</v>
      </c>
      <c r="O780">
        <v>534</v>
      </c>
      <c r="P780">
        <v>142</v>
      </c>
      <c r="Q780">
        <v>763</v>
      </c>
      <c r="R780">
        <v>479</v>
      </c>
      <c r="S780">
        <v>137</v>
      </c>
      <c r="T780" t="s">
        <v>31</v>
      </c>
      <c r="U780" t="s">
        <v>31</v>
      </c>
      <c r="V780" t="s">
        <v>31</v>
      </c>
      <c r="W780" t="s">
        <v>31</v>
      </c>
      <c r="X780" t="s">
        <v>31</v>
      </c>
      <c r="Y780" t="s">
        <v>31</v>
      </c>
    </row>
    <row r="781" spans="1:25" hidden="1">
      <c r="A781" t="s">
        <v>25</v>
      </c>
      <c r="B781" t="s">
        <v>26</v>
      </c>
      <c r="C781" t="s">
        <v>47</v>
      </c>
      <c r="D781" s="1">
        <v>42666</v>
      </c>
      <c r="E781" s="2">
        <v>0.64583333333333337</v>
      </c>
      <c r="F781" t="s">
        <v>35</v>
      </c>
      <c r="G781" t="s">
        <v>40</v>
      </c>
      <c r="H781">
        <v>0</v>
      </c>
      <c r="I781">
        <v>2</v>
      </c>
      <c r="J781" t="s">
        <v>30</v>
      </c>
      <c r="K781">
        <v>191</v>
      </c>
      <c r="L781">
        <v>378</v>
      </c>
      <c r="M781">
        <v>421</v>
      </c>
      <c r="N781">
        <v>194</v>
      </c>
      <c r="O781">
        <v>397</v>
      </c>
      <c r="P781">
        <v>436</v>
      </c>
      <c r="Q781">
        <v>185</v>
      </c>
      <c r="R781">
        <v>365</v>
      </c>
      <c r="S781">
        <v>394</v>
      </c>
      <c r="T781" t="s">
        <v>31</v>
      </c>
      <c r="U781" t="s">
        <v>31</v>
      </c>
      <c r="V781" t="s">
        <v>31</v>
      </c>
      <c r="W781" t="s">
        <v>31</v>
      </c>
      <c r="X781" t="s">
        <v>31</v>
      </c>
      <c r="Y781" t="s">
        <v>31</v>
      </c>
    </row>
    <row r="782" spans="1:25" hidden="1">
      <c r="A782" t="s">
        <v>25</v>
      </c>
      <c r="B782" t="s">
        <v>26</v>
      </c>
      <c r="C782" t="s">
        <v>47</v>
      </c>
      <c r="D782" s="1">
        <v>42672</v>
      </c>
      <c r="E782" s="2">
        <v>0.625</v>
      </c>
      <c r="F782" t="s">
        <v>37</v>
      </c>
      <c r="G782" t="s">
        <v>35</v>
      </c>
      <c r="H782">
        <v>1</v>
      </c>
      <c r="I782">
        <v>2</v>
      </c>
      <c r="J782" t="s">
        <v>30</v>
      </c>
      <c r="K782">
        <v>507</v>
      </c>
      <c r="L782">
        <v>403</v>
      </c>
      <c r="M782">
        <v>172</v>
      </c>
      <c r="N782">
        <v>57</v>
      </c>
      <c r="O782">
        <v>416</v>
      </c>
      <c r="P782">
        <v>176</v>
      </c>
      <c r="Q782">
        <v>48</v>
      </c>
      <c r="R782">
        <v>384</v>
      </c>
      <c r="S782">
        <v>167</v>
      </c>
      <c r="T782" t="s">
        <v>31</v>
      </c>
      <c r="U782" t="s">
        <v>31</v>
      </c>
      <c r="V782" t="s">
        <v>31</v>
      </c>
      <c r="W782" t="s">
        <v>31</v>
      </c>
      <c r="X782" t="s">
        <v>31</v>
      </c>
      <c r="Y782" t="s">
        <v>31</v>
      </c>
    </row>
    <row r="783" spans="1:25" hidden="1">
      <c r="A783" t="s">
        <v>25</v>
      </c>
      <c r="B783" t="s">
        <v>26</v>
      </c>
      <c r="C783" t="s">
        <v>47</v>
      </c>
      <c r="D783" s="1">
        <v>42672</v>
      </c>
      <c r="E783" s="2">
        <v>0.72916666666666663</v>
      </c>
      <c r="F783" t="s">
        <v>39</v>
      </c>
      <c r="G783" t="s">
        <v>32</v>
      </c>
      <c r="H783">
        <v>3</v>
      </c>
      <c r="I783">
        <v>0</v>
      </c>
      <c r="J783" t="s">
        <v>34</v>
      </c>
      <c r="K783">
        <v>192</v>
      </c>
      <c r="L783">
        <v>366</v>
      </c>
      <c r="M783">
        <v>436</v>
      </c>
      <c r="N783">
        <v>194</v>
      </c>
      <c r="O783">
        <v>37</v>
      </c>
      <c r="P783">
        <v>47</v>
      </c>
      <c r="Q783">
        <v>186</v>
      </c>
      <c r="R783">
        <v>347</v>
      </c>
      <c r="S783">
        <v>409</v>
      </c>
      <c r="T783" t="s">
        <v>31</v>
      </c>
      <c r="U783" t="s">
        <v>31</v>
      </c>
      <c r="V783" t="s">
        <v>31</v>
      </c>
      <c r="W783" t="s">
        <v>31</v>
      </c>
      <c r="X783" t="s">
        <v>31</v>
      </c>
      <c r="Y783" t="s">
        <v>31</v>
      </c>
    </row>
    <row r="784" spans="1:25" hidden="1">
      <c r="A784" t="s">
        <v>25</v>
      </c>
      <c r="B784" t="s">
        <v>26</v>
      </c>
      <c r="C784" t="s">
        <v>47</v>
      </c>
      <c r="D784" s="1">
        <v>42672</v>
      </c>
      <c r="E784" s="2">
        <v>0.72916666666666663</v>
      </c>
      <c r="F784" t="s">
        <v>29</v>
      </c>
      <c r="G784" t="s">
        <v>38</v>
      </c>
      <c r="H784">
        <v>1</v>
      </c>
      <c r="I784">
        <v>0</v>
      </c>
      <c r="J784" t="s">
        <v>34</v>
      </c>
      <c r="K784">
        <v>123</v>
      </c>
      <c r="L784">
        <v>678</v>
      </c>
      <c r="M784">
        <v>1495</v>
      </c>
      <c r="N784">
        <v>126</v>
      </c>
      <c r="O784">
        <v>694</v>
      </c>
      <c r="P784">
        <v>1495</v>
      </c>
      <c r="Q784">
        <v>122</v>
      </c>
      <c r="R784">
        <v>611</v>
      </c>
      <c r="S784">
        <v>1169</v>
      </c>
      <c r="T784" t="s">
        <v>31</v>
      </c>
      <c r="U784" t="s">
        <v>31</v>
      </c>
      <c r="V784" t="s">
        <v>31</v>
      </c>
      <c r="W784" t="s">
        <v>31</v>
      </c>
      <c r="X784" t="s">
        <v>31</v>
      </c>
      <c r="Y784" t="s">
        <v>31</v>
      </c>
    </row>
    <row r="785" spans="1:25" hidden="1">
      <c r="A785" t="s">
        <v>25</v>
      </c>
      <c r="B785" t="s">
        <v>26</v>
      </c>
      <c r="C785" t="s">
        <v>47</v>
      </c>
      <c r="D785" s="1">
        <v>42672</v>
      </c>
      <c r="E785" s="2">
        <v>0.72916666666666663</v>
      </c>
      <c r="F785" t="s">
        <v>48</v>
      </c>
      <c r="G785" t="s">
        <v>45</v>
      </c>
      <c r="H785">
        <v>0</v>
      </c>
      <c r="I785">
        <v>1</v>
      </c>
      <c r="J785" t="s">
        <v>30</v>
      </c>
      <c r="K785">
        <v>32</v>
      </c>
      <c r="L785">
        <v>358</v>
      </c>
      <c r="M785">
        <v>231</v>
      </c>
      <c r="N785">
        <v>332</v>
      </c>
      <c r="O785">
        <v>358</v>
      </c>
      <c r="P785">
        <v>238</v>
      </c>
      <c r="Q785">
        <v>312</v>
      </c>
      <c r="R785">
        <v>329</v>
      </c>
      <c r="S785">
        <v>225</v>
      </c>
      <c r="T785" t="s">
        <v>31</v>
      </c>
      <c r="U785" t="s">
        <v>31</v>
      </c>
      <c r="V785" t="s">
        <v>31</v>
      </c>
      <c r="W785" t="s">
        <v>31</v>
      </c>
      <c r="X785" t="s">
        <v>31</v>
      </c>
      <c r="Y785" t="s">
        <v>31</v>
      </c>
    </row>
    <row r="786" spans="1:25" hidden="1">
      <c r="A786" t="s">
        <v>25</v>
      </c>
      <c r="B786" t="s">
        <v>26</v>
      </c>
      <c r="C786" t="s">
        <v>47</v>
      </c>
      <c r="D786" s="1">
        <v>42673</v>
      </c>
      <c r="E786" s="2">
        <v>0.64583333333333337</v>
      </c>
      <c r="F786" t="s">
        <v>40</v>
      </c>
      <c r="G786" t="s">
        <v>28</v>
      </c>
      <c r="H786">
        <v>2</v>
      </c>
      <c r="I786">
        <v>0</v>
      </c>
      <c r="J786" t="s">
        <v>34</v>
      </c>
      <c r="K786">
        <v>241</v>
      </c>
      <c r="L786">
        <v>358</v>
      </c>
      <c r="M786">
        <v>303</v>
      </c>
      <c r="N786">
        <v>246</v>
      </c>
      <c r="O786">
        <v>358</v>
      </c>
      <c r="P786">
        <v>305</v>
      </c>
      <c r="Q786">
        <v>236</v>
      </c>
      <c r="R786">
        <v>333</v>
      </c>
      <c r="S786">
        <v>29</v>
      </c>
      <c r="T786" t="s">
        <v>31</v>
      </c>
      <c r="U786" t="s">
        <v>31</v>
      </c>
      <c r="V786" t="s">
        <v>31</v>
      </c>
      <c r="W786" t="s">
        <v>31</v>
      </c>
      <c r="X786" t="s">
        <v>31</v>
      </c>
      <c r="Y786" t="s">
        <v>31</v>
      </c>
    </row>
    <row r="787" spans="1:25" hidden="1">
      <c r="A787" t="s">
        <v>25</v>
      </c>
      <c r="B787" t="s">
        <v>26</v>
      </c>
      <c r="C787" t="s">
        <v>47</v>
      </c>
      <c r="D787" s="1">
        <v>42679</v>
      </c>
      <c r="E787" s="2">
        <v>0.625</v>
      </c>
      <c r="F787" t="s">
        <v>28</v>
      </c>
      <c r="G787" t="s">
        <v>48</v>
      </c>
      <c r="H787">
        <v>1</v>
      </c>
      <c r="I787">
        <v>2</v>
      </c>
      <c r="J787" t="s">
        <v>30</v>
      </c>
      <c r="K787">
        <v>135</v>
      </c>
      <c r="L787">
        <v>55</v>
      </c>
      <c r="M787">
        <v>988</v>
      </c>
      <c r="N787">
        <v>135</v>
      </c>
      <c r="O787">
        <v>57</v>
      </c>
      <c r="P787">
        <v>109</v>
      </c>
      <c r="Q787">
        <v>131</v>
      </c>
      <c r="R787">
        <v>504</v>
      </c>
      <c r="S787">
        <v>923</v>
      </c>
      <c r="T787" t="s">
        <v>31</v>
      </c>
      <c r="U787" t="s">
        <v>31</v>
      </c>
      <c r="V787" t="s">
        <v>31</v>
      </c>
      <c r="W787" t="s">
        <v>31</v>
      </c>
      <c r="X787" t="s">
        <v>31</v>
      </c>
      <c r="Y787" t="s">
        <v>31</v>
      </c>
    </row>
    <row r="788" spans="1:25" hidden="1">
      <c r="A788" t="s">
        <v>25</v>
      </c>
      <c r="B788" t="s">
        <v>26</v>
      </c>
      <c r="C788" t="s">
        <v>47</v>
      </c>
      <c r="D788" s="1">
        <v>42679</v>
      </c>
      <c r="E788" s="2">
        <v>0.72916666666666663</v>
      </c>
      <c r="F788" t="s">
        <v>38</v>
      </c>
      <c r="G788" t="s">
        <v>37</v>
      </c>
      <c r="H788">
        <v>2</v>
      </c>
      <c r="I788">
        <v>1</v>
      </c>
      <c r="J788" t="s">
        <v>34</v>
      </c>
      <c r="K788">
        <v>223</v>
      </c>
      <c r="L788">
        <v>345</v>
      </c>
      <c r="M788">
        <v>347</v>
      </c>
      <c r="N788">
        <v>224</v>
      </c>
      <c r="O788">
        <v>367</v>
      </c>
      <c r="P788">
        <v>406</v>
      </c>
      <c r="Q788">
        <v>206</v>
      </c>
      <c r="R788">
        <v>335</v>
      </c>
      <c r="S788">
        <v>353</v>
      </c>
      <c r="T788" t="s">
        <v>31</v>
      </c>
      <c r="U788" t="s">
        <v>31</v>
      </c>
      <c r="V788" t="s">
        <v>31</v>
      </c>
      <c r="W788" t="s">
        <v>31</v>
      </c>
      <c r="X788" t="s">
        <v>31</v>
      </c>
      <c r="Y788" t="s">
        <v>31</v>
      </c>
    </row>
    <row r="789" spans="1:25" hidden="1">
      <c r="A789" t="s">
        <v>25</v>
      </c>
      <c r="B789" t="s">
        <v>26</v>
      </c>
      <c r="C789" t="s">
        <v>47</v>
      </c>
      <c r="D789" s="1">
        <v>42680</v>
      </c>
      <c r="E789" s="2">
        <v>0.54166666666666663</v>
      </c>
      <c r="F789" t="s">
        <v>35</v>
      </c>
      <c r="G789" t="s">
        <v>39</v>
      </c>
      <c r="H789">
        <v>0</v>
      </c>
      <c r="I789">
        <v>1</v>
      </c>
      <c r="J789" t="s">
        <v>30</v>
      </c>
      <c r="K789">
        <v>161</v>
      </c>
      <c r="L789">
        <v>42</v>
      </c>
      <c r="M789">
        <v>605</v>
      </c>
      <c r="N789">
        <v>161</v>
      </c>
      <c r="O789">
        <v>433</v>
      </c>
      <c r="P789">
        <v>685</v>
      </c>
      <c r="Q789">
        <v>154</v>
      </c>
      <c r="R789">
        <v>399</v>
      </c>
      <c r="S789">
        <v>588</v>
      </c>
      <c r="T789" t="s">
        <v>31</v>
      </c>
      <c r="U789" t="s">
        <v>31</v>
      </c>
      <c r="V789" t="s">
        <v>31</v>
      </c>
      <c r="W789" t="s">
        <v>31</v>
      </c>
      <c r="X789" t="s">
        <v>31</v>
      </c>
      <c r="Y789" t="s">
        <v>31</v>
      </c>
    </row>
    <row r="790" spans="1:25" hidden="1">
      <c r="A790" t="s">
        <v>25</v>
      </c>
      <c r="B790" t="s">
        <v>26</v>
      </c>
      <c r="C790" t="s">
        <v>47</v>
      </c>
      <c r="D790" s="1">
        <v>42680</v>
      </c>
      <c r="E790" s="2">
        <v>0.64583333333333337</v>
      </c>
      <c r="F790" t="s">
        <v>45</v>
      </c>
      <c r="G790" t="s">
        <v>40</v>
      </c>
      <c r="H790">
        <v>5</v>
      </c>
      <c r="I790">
        <v>1</v>
      </c>
      <c r="J790" t="s">
        <v>34</v>
      </c>
      <c r="K790">
        <v>258</v>
      </c>
      <c r="L790">
        <v>326</v>
      </c>
      <c r="M790">
        <v>303</v>
      </c>
      <c r="N790">
        <v>28</v>
      </c>
      <c r="O790">
        <v>34</v>
      </c>
      <c r="P790">
        <v>303</v>
      </c>
      <c r="Q790">
        <v>249</v>
      </c>
      <c r="R790">
        <v>318</v>
      </c>
      <c r="S790">
        <v>281</v>
      </c>
      <c r="T790" t="s">
        <v>31</v>
      </c>
      <c r="U790" t="s">
        <v>31</v>
      </c>
      <c r="V790" t="s">
        <v>31</v>
      </c>
      <c r="W790" t="s">
        <v>31</v>
      </c>
      <c r="X790" t="s">
        <v>31</v>
      </c>
      <c r="Y790" t="s">
        <v>31</v>
      </c>
    </row>
    <row r="791" spans="1:25" hidden="1">
      <c r="A791" t="s">
        <v>25</v>
      </c>
      <c r="B791" t="s">
        <v>26</v>
      </c>
      <c r="C791" t="s">
        <v>47</v>
      </c>
      <c r="D791" s="1">
        <v>42680</v>
      </c>
      <c r="E791" s="2">
        <v>0.64583333333333337</v>
      </c>
      <c r="F791" t="s">
        <v>32</v>
      </c>
      <c r="G791" t="s">
        <v>29</v>
      </c>
      <c r="H791">
        <v>2</v>
      </c>
      <c r="I791">
        <v>1</v>
      </c>
      <c r="J791" t="s">
        <v>34</v>
      </c>
      <c r="K791">
        <v>102</v>
      </c>
      <c r="L791">
        <v>633</v>
      </c>
      <c r="M791">
        <v>13</v>
      </c>
      <c r="N791">
        <v>105</v>
      </c>
      <c r="O791">
        <v>633</v>
      </c>
      <c r="P791">
        <v>14</v>
      </c>
      <c r="Q791">
        <v>908</v>
      </c>
      <c r="R791">
        <v>532</v>
      </c>
      <c r="S791">
        <v>13</v>
      </c>
      <c r="T791" t="s">
        <v>31</v>
      </c>
      <c r="U791" t="s">
        <v>31</v>
      </c>
      <c r="V791" t="s">
        <v>31</v>
      </c>
      <c r="W791" t="s">
        <v>31</v>
      </c>
      <c r="X791" t="s">
        <v>31</v>
      </c>
      <c r="Y791" t="s">
        <v>31</v>
      </c>
    </row>
    <row r="792" spans="1:25" hidden="1">
      <c r="A792" t="s">
        <v>25</v>
      </c>
      <c r="B792" t="s">
        <v>26</v>
      </c>
      <c r="C792" t="s">
        <v>47</v>
      </c>
      <c r="D792" s="1">
        <v>42693</v>
      </c>
      <c r="E792" s="2">
        <v>0.625</v>
      </c>
      <c r="F792" t="s">
        <v>45</v>
      </c>
      <c r="G792" t="s">
        <v>28</v>
      </c>
      <c r="H792">
        <v>1</v>
      </c>
      <c r="I792">
        <v>1</v>
      </c>
      <c r="J792" t="s">
        <v>41</v>
      </c>
      <c r="K792">
        <v>279</v>
      </c>
      <c r="L792">
        <v>324</v>
      </c>
      <c r="M792">
        <v>279</v>
      </c>
      <c r="N792">
        <v>279</v>
      </c>
      <c r="O792">
        <v>34</v>
      </c>
      <c r="P792">
        <v>292</v>
      </c>
      <c r="Q792">
        <v>263</v>
      </c>
      <c r="R792">
        <v>314</v>
      </c>
      <c r="S792">
        <v>271</v>
      </c>
      <c r="T792" t="s">
        <v>31</v>
      </c>
      <c r="U792" t="s">
        <v>31</v>
      </c>
      <c r="V792" t="s">
        <v>31</v>
      </c>
      <c r="W792" t="s">
        <v>31</v>
      </c>
      <c r="X792" t="s">
        <v>31</v>
      </c>
      <c r="Y792" t="s">
        <v>31</v>
      </c>
    </row>
    <row r="793" spans="1:25" hidden="1">
      <c r="A793" t="s">
        <v>25</v>
      </c>
      <c r="B793" t="s">
        <v>26</v>
      </c>
      <c r="C793" t="s">
        <v>47</v>
      </c>
      <c r="D793" s="1">
        <v>42693</v>
      </c>
      <c r="E793" s="2">
        <v>0.72916666666666663</v>
      </c>
      <c r="F793" t="s">
        <v>37</v>
      </c>
      <c r="G793" t="s">
        <v>39</v>
      </c>
      <c r="H793">
        <v>4</v>
      </c>
      <c r="I793">
        <v>1</v>
      </c>
      <c r="J793" t="s">
        <v>34</v>
      </c>
      <c r="K793">
        <v>276</v>
      </c>
      <c r="L793">
        <v>327</v>
      </c>
      <c r="M793">
        <v>281</v>
      </c>
      <c r="N793">
        <v>286</v>
      </c>
      <c r="O793">
        <v>34</v>
      </c>
      <c r="P793">
        <v>284</v>
      </c>
      <c r="Q793">
        <v>264</v>
      </c>
      <c r="R793">
        <v>316</v>
      </c>
      <c r="S793">
        <v>268</v>
      </c>
      <c r="T793" t="s">
        <v>31</v>
      </c>
      <c r="U793" t="s">
        <v>31</v>
      </c>
      <c r="V793" t="s">
        <v>31</v>
      </c>
      <c r="W793" t="s">
        <v>31</v>
      </c>
      <c r="X793" t="s">
        <v>31</v>
      </c>
      <c r="Y793" t="s">
        <v>31</v>
      </c>
    </row>
    <row r="794" spans="1:25" hidden="1">
      <c r="A794" t="s">
        <v>25</v>
      </c>
      <c r="B794" t="s">
        <v>26</v>
      </c>
      <c r="C794" t="s">
        <v>47</v>
      </c>
      <c r="D794" s="1">
        <v>42693</v>
      </c>
      <c r="E794" s="2">
        <v>0.72916666666666663</v>
      </c>
      <c r="F794" t="s">
        <v>40</v>
      </c>
      <c r="G794" t="s">
        <v>38</v>
      </c>
      <c r="H794">
        <v>2</v>
      </c>
      <c r="I794">
        <v>0</v>
      </c>
      <c r="J794" t="s">
        <v>34</v>
      </c>
      <c r="K794">
        <v>16</v>
      </c>
      <c r="L794">
        <v>432</v>
      </c>
      <c r="M794">
        <v>588</v>
      </c>
      <c r="N794">
        <v>167</v>
      </c>
      <c r="O794">
        <v>436</v>
      </c>
      <c r="P794">
        <v>595</v>
      </c>
      <c r="Q794">
        <v>159</v>
      </c>
      <c r="R794">
        <v>398</v>
      </c>
      <c r="S794">
        <v>53</v>
      </c>
      <c r="T794" t="s">
        <v>31</v>
      </c>
      <c r="U794" t="s">
        <v>31</v>
      </c>
      <c r="V794" t="s">
        <v>31</v>
      </c>
      <c r="W794" t="s">
        <v>31</v>
      </c>
      <c r="X794" t="s">
        <v>31</v>
      </c>
      <c r="Y794" t="s">
        <v>31</v>
      </c>
    </row>
    <row r="795" spans="1:25" hidden="1">
      <c r="A795" t="s">
        <v>25</v>
      </c>
      <c r="B795" t="s">
        <v>26</v>
      </c>
      <c r="C795" t="s">
        <v>47</v>
      </c>
      <c r="D795" s="1">
        <v>42693</v>
      </c>
      <c r="E795" s="2">
        <v>0.72916666666666663</v>
      </c>
      <c r="F795" t="s">
        <v>48</v>
      </c>
      <c r="G795" t="s">
        <v>32</v>
      </c>
      <c r="H795">
        <v>2</v>
      </c>
      <c r="I795">
        <v>2</v>
      </c>
      <c r="J795" t="s">
        <v>41</v>
      </c>
      <c r="K795">
        <v>236</v>
      </c>
      <c r="L795">
        <v>341</v>
      </c>
      <c r="M795">
        <v>323</v>
      </c>
      <c r="N795">
        <v>241</v>
      </c>
      <c r="O795">
        <v>352</v>
      </c>
      <c r="P795">
        <v>327</v>
      </c>
      <c r="Q795">
        <v>23</v>
      </c>
      <c r="R795">
        <v>327</v>
      </c>
      <c r="S795">
        <v>305</v>
      </c>
      <c r="T795" t="s">
        <v>31</v>
      </c>
      <c r="U795" t="s">
        <v>31</v>
      </c>
      <c r="V795" t="s">
        <v>31</v>
      </c>
      <c r="W795" t="s">
        <v>31</v>
      </c>
      <c r="X795" t="s">
        <v>31</v>
      </c>
      <c r="Y795" t="s">
        <v>31</v>
      </c>
    </row>
    <row r="796" spans="1:25" hidden="1">
      <c r="A796" t="s">
        <v>25</v>
      </c>
      <c r="B796" t="s">
        <v>26</v>
      </c>
      <c r="C796" t="s">
        <v>47</v>
      </c>
      <c r="D796" s="1">
        <v>42694</v>
      </c>
      <c r="E796" s="2">
        <v>0.64583333333333337</v>
      </c>
      <c r="F796" t="s">
        <v>29</v>
      </c>
      <c r="G796" t="s">
        <v>35</v>
      </c>
      <c r="H796">
        <v>2</v>
      </c>
      <c r="I796">
        <v>1</v>
      </c>
      <c r="J796" t="s">
        <v>34</v>
      </c>
      <c r="K796">
        <v>17</v>
      </c>
      <c r="L796">
        <v>385</v>
      </c>
      <c r="M796">
        <v>563</v>
      </c>
      <c r="N796">
        <v>182</v>
      </c>
      <c r="O796">
        <v>398</v>
      </c>
      <c r="P796">
        <v>563</v>
      </c>
      <c r="Q796">
        <v>169</v>
      </c>
      <c r="R796">
        <v>374</v>
      </c>
      <c r="S796">
        <v>482</v>
      </c>
      <c r="T796" t="s">
        <v>31</v>
      </c>
      <c r="U796" t="s">
        <v>31</v>
      </c>
      <c r="V796" t="s">
        <v>31</v>
      </c>
      <c r="W796" t="s">
        <v>31</v>
      </c>
      <c r="X796" t="s">
        <v>31</v>
      </c>
      <c r="Y796" t="s">
        <v>31</v>
      </c>
    </row>
    <row r="797" spans="1:25" hidden="1">
      <c r="A797" t="s">
        <v>25</v>
      </c>
      <c r="B797" t="s">
        <v>26</v>
      </c>
      <c r="C797" t="s">
        <v>47</v>
      </c>
      <c r="D797" s="1">
        <v>42700</v>
      </c>
      <c r="E797" s="2">
        <v>0.625</v>
      </c>
      <c r="F797" t="s">
        <v>38</v>
      </c>
      <c r="G797" t="s">
        <v>48</v>
      </c>
      <c r="H797">
        <v>1</v>
      </c>
      <c r="I797">
        <v>2</v>
      </c>
      <c r="J797" t="s">
        <v>30</v>
      </c>
      <c r="K797">
        <v>199</v>
      </c>
      <c r="L797">
        <v>353</v>
      </c>
      <c r="M797">
        <v>418</v>
      </c>
      <c r="N797">
        <v>204</v>
      </c>
      <c r="O797">
        <v>357</v>
      </c>
      <c r="P797">
        <v>433</v>
      </c>
      <c r="Q797">
        <v>194</v>
      </c>
      <c r="R797">
        <v>336</v>
      </c>
      <c r="S797">
        <v>393</v>
      </c>
      <c r="T797" t="s">
        <v>31</v>
      </c>
      <c r="U797" t="s">
        <v>31</v>
      </c>
      <c r="V797" t="s">
        <v>31</v>
      </c>
      <c r="W797" t="s">
        <v>31</v>
      </c>
      <c r="X797" t="s">
        <v>31</v>
      </c>
      <c r="Y797" t="s">
        <v>31</v>
      </c>
    </row>
    <row r="798" spans="1:25" hidden="1">
      <c r="A798" t="s">
        <v>25</v>
      </c>
      <c r="B798" t="s">
        <v>26</v>
      </c>
      <c r="C798" t="s">
        <v>47</v>
      </c>
      <c r="D798" s="1">
        <v>42700</v>
      </c>
      <c r="E798" s="2">
        <v>0.72916666666666663</v>
      </c>
      <c r="F798" t="s">
        <v>32</v>
      </c>
      <c r="G798" t="s">
        <v>45</v>
      </c>
      <c r="H798">
        <v>1</v>
      </c>
      <c r="I798">
        <v>2</v>
      </c>
      <c r="J798" t="s">
        <v>30</v>
      </c>
      <c r="K798">
        <v>316</v>
      </c>
      <c r="L798">
        <v>346</v>
      </c>
      <c r="M798">
        <v>238</v>
      </c>
      <c r="N798">
        <v>327</v>
      </c>
      <c r="O798">
        <v>346</v>
      </c>
      <c r="P798">
        <v>252</v>
      </c>
      <c r="Q798">
        <v>306</v>
      </c>
      <c r="R798">
        <v>324</v>
      </c>
      <c r="S798">
        <v>232</v>
      </c>
      <c r="T798" t="s">
        <v>31</v>
      </c>
      <c r="U798" t="s">
        <v>31</v>
      </c>
      <c r="V798" t="s">
        <v>31</v>
      </c>
      <c r="W798" t="s">
        <v>31</v>
      </c>
      <c r="X798" t="s">
        <v>31</v>
      </c>
      <c r="Y798" t="s">
        <v>31</v>
      </c>
    </row>
    <row r="799" spans="1:25" hidden="1">
      <c r="A799" t="s">
        <v>25</v>
      </c>
      <c r="B799" t="s">
        <v>26</v>
      </c>
      <c r="C799" t="s">
        <v>47</v>
      </c>
      <c r="D799" s="1">
        <v>42701</v>
      </c>
      <c r="E799" s="2">
        <v>0.54166666666666663</v>
      </c>
      <c r="F799" t="s">
        <v>39</v>
      </c>
      <c r="G799" t="s">
        <v>40</v>
      </c>
      <c r="H799">
        <v>0</v>
      </c>
      <c r="I799">
        <v>3</v>
      </c>
      <c r="J799" t="s">
        <v>30</v>
      </c>
      <c r="K799">
        <v>264</v>
      </c>
      <c r="L799">
        <v>334</v>
      </c>
      <c r="M799">
        <v>289</v>
      </c>
      <c r="N799">
        <v>277</v>
      </c>
      <c r="O799">
        <v>34</v>
      </c>
      <c r="P799">
        <v>289</v>
      </c>
      <c r="Q799">
        <v>26</v>
      </c>
      <c r="R799">
        <v>321</v>
      </c>
      <c r="S799">
        <v>268</v>
      </c>
      <c r="T799" t="s">
        <v>31</v>
      </c>
      <c r="U799" t="s">
        <v>31</v>
      </c>
      <c r="V799" t="s">
        <v>31</v>
      </c>
      <c r="W799" t="s">
        <v>31</v>
      </c>
      <c r="X799" t="s">
        <v>31</v>
      </c>
      <c r="Y799" t="s">
        <v>31</v>
      </c>
    </row>
    <row r="800" spans="1:25" hidden="1">
      <c r="A800" t="s">
        <v>25</v>
      </c>
      <c r="B800" t="s">
        <v>26</v>
      </c>
      <c r="C800" t="s">
        <v>47</v>
      </c>
      <c r="D800" s="1">
        <v>42701</v>
      </c>
      <c r="E800" s="2">
        <v>0.64583333333333337</v>
      </c>
      <c r="F800" t="s">
        <v>35</v>
      </c>
      <c r="G800" t="s">
        <v>28</v>
      </c>
      <c r="H800">
        <v>1</v>
      </c>
      <c r="I800">
        <v>2</v>
      </c>
      <c r="J800" t="s">
        <v>30</v>
      </c>
      <c r="K800">
        <v>221</v>
      </c>
      <c r="L800">
        <v>346</v>
      </c>
      <c r="M800">
        <v>352</v>
      </c>
      <c r="N800">
        <v>227</v>
      </c>
      <c r="O800">
        <v>36</v>
      </c>
      <c r="P800">
        <v>387</v>
      </c>
      <c r="Q800">
        <v>207</v>
      </c>
      <c r="R800">
        <v>336</v>
      </c>
      <c r="S800">
        <v>348</v>
      </c>
      <c r="T800" t="s">
        <v>31</v>
      </c>
      <c r="U800" t="s">
        <v>31</v>
      </c>
      <c r="V800" t="s">
        <v>31</v>
      </c>
      <c r="W800" t="s">
        <v>31</v>
      </c>
      <c r="X800" t="s">
        <v>31</v>
      </c>
      <c r="Y800" t="s">
        <v>31</v>
      </c>
    </row>
    <row r="801" spans="1:25" hidden="1">
      <c r="A801" t="s">
        <v>25</v>
      </c>
      <c r="B801" t="s">
        <v>26</v>
      </c>
      <c r="C801" t="s">
        <v>47</v>
      </c>
      <c r="D801" s="1">
        <v>42701</v>
      </c>
      <c r="E801" s="2">
        <v>0.64583333333333337</v>
      </c>
      <c r="F801" t="s">
        <v>29</v>
      </c>
      <c r="G801" t="s">
        <v>37</v>
      </c>
      <c r="H801">
        <v>0</v>
      </c>
      <c r="I801">
        <v>1</v>
      </c>
      <c r="J801" t="s">
        <v>30</v>
      </c>
      <c r="K801">
        <v>123</v>
      </c>
      <c r="L801">
        <v>73</v>
      </c>
      <c r="M801">
        <v>1298</v>
      </c>
      <c r="N801">
        <v>124</v>
      </c>
      <c r="O801">
        <v>77</v>
      </c>
      <c r="P801">
        <v>1436</v>
      </c>
      <c r="Q801">
        <v>121</v>
      </c>
      <c r="R801">
        <v>644</v>
      </c>
      <c r="S801">
        <v>1183</v>
      </c>
      <c r="T801" t="s">
        <v>31</v>
      </c>
      <c r="U801" t="s">
        <v>31</v>
      </c>
      <c r="V801" t="s">
        <v>31</v>
      </c>
      <c r="W801" t="s">
        <v>31</v>
      </c>
      <c r="X801" t="s">
        <v>31</v>
      </c>
      <c r="Y801" t="s">
        <v>31</v>
      </c>
    </row>
    <row r="802" spans="1:25" hidden="1">
      <c r="A802" t="s">
        <v>25</v>
      </c>
      <c r="B802" t="s">
        <v>26</v>
      </c>
      <c r="C802" t="s">
        <v>47</v>
      </c>
      <c r="D802" s="1">
        <v>42703</v>
      </c>
      <c r="E802" s="2">
        <v>0.75</v>
      </c>
      <c r="F802" t="s">
        <v>45</v>
      </c>
      <c r="G802" t="s">
        <v>38</v>
      </c>
      <c r="H802">
        <v>1</v>
      </c>
      <c r="I802">
        <v>0</v>
      </c>
      <c r="J802" t="s">
        <v>34</v>
      </c>
      <c r="K802">
        <v>194</v>
      </c>
      <c r="L802">
        <v>347</v>
      </c>
      <c r="M802">
        <v>449</v>
      </c>
      <c r="N802">
        <v>195</v>
      </c>
      <c r="O802">
        <v>372</v>
      </c>
      <c r="P802">
        <v>52</v>
      </c>
      <c r="Q802">
        <v>183</v>
      </c>
      <c r="R802">
        <v>342</v>
      </c>
      <c r="S802">
        <v>44</v>
      </c>
      <c r="T802" t="s">
        <v>31</v>
      </c>
      <c r="U802" t="s">
        <v>31</v>
      </c>
      <c r="V802" t="s">
        <v>31</v>
      </c>
      <c r="W802" t="s">
        <v>31</v>
      </c>
      <c r="X802" t="s">
        <v>31</v>
      </c>
      <c r="Y802" t="s">
        <v>31</v>
      </c>
    </row>
    <row r="803" spans="1:25" hidden="1">
      <c r="A803" t="s">
        <v>25</v>
      </c>
      <c r="B803" t="s">
        <v>26</v>
      </c>
      <c r="C803" t="s">
        <v>47</v>
      </c>
      <c r="D803" s="1">
        <v>42704</v>
      </c>
      <c r="E803" s="2">
        <v>0.8125</v>
      </c>
      <c r="F803" t="s">
        <v>40</v>
      </c>
      <c r="G803" t="s">
        <v>29</v>
      </c>
      <c r="H803">
        <v>1</v>
      </c>
      <c r="I803">
        <v>3</v>
      </c>
      <c r="J803" t="s">
        <v>30</v>
      </c>
      <c r="K803">
        <v>494</v>
      </c>
      <c r="L803">
        <v>431</v>
      </c>
      <c r="M803">
        <v>169</v>
      </c>
      <c r="N803">
        <v>54</v>
      </c>
      <c r="O803">
        <v>434</v>
      </c>
      <c r="P803">
        <v>19</v>
      </c>
      <c r="Q803">
        <v>483</v>
      </c>
      <c r="R803">
        <v>397</v>
      </c>
      <c r="S803">
        <v>165</v>
      </c>
      <c r="T803" t="s">
        <v>31</v>
      </c>
      <c r="U803" t="s">
        <v>31</v>
      </c>
      <c r="V803" t="s">
        <v>31</v>
      </c>
      <c r="W803" t="s">
        <v>31</v>
      </c>
      <c r="X803" t="s">
        <v>31</v>
      </c>
      <c r="Y803" t="s">
        <v>31</v>
      </c>
    </row>
    <row r="804" spans="1:25" hidden="1">
      <c r="A804" t="s">
        <v>25</v>
      </c>
      <c r="B804" t="s">
        <v>26</v>
      </c>
      <c r="C804" t="s">
        <v>47</v>
      </c>
      <c r="D804" s="1">
        <v>42704</v>
      </c>
      <c r="E804" s="2">
        <v>0.8125</v>
      </c>
      <c r="F804" t="s">
        <v>32</v>
      </c>
      <c r="G804" t="s">
        <v>35</v>
      </c>
      <c r="H804">
        <v>1</v>
      </c>
      <c r="I804">
        <v>1</v>
      </c>
      <c r="J804" t="s">
        <v>41</v>
      </c>
      <c r="K804">
        <v>486</v>
      </c>
      <c r="L804">
        <v>405</v>
      </c>
      <c r="M804">
        <v>175</v>
      </c>
      <c r="N804">
        <v>505</v>
      </c>
      <c r="O804">
        <v>414</v>
      </c>
      <c r="P804">
        <v>186</v>
      </c>
      <c r="Q804">
        <v>461</v>
      </c>
      <c r="R804">
        <v>372</v>
      </c>
      <c r="S804">
        <v>172</v>
      </c>
      <c r="T804" t="s">
        <v>31</v>
      </c>
      <c r="U804" t="s">
        <v>31</v>
      </c>
      <c r="V804" t="s">
        <v>31</v>
      </c>
      <c r="W804" t="s">
        <v>31</v>
      </c>
      <c r="X804" t="s">
        <v>31</v>
      </c>
      <c r="Y804" t="s">
        <v>31</v>
      </c>
    </row>
    <row r="805" spans="1:25" hidden="1">
      <c r="A805" t="s">
        <v>25</v>
      </c>
      <c r="B805" t="s">
        <v>26</v>
      </c>
      <c r="C805" t="s">
        <v>47</v>
      </c>
      <c r="D805" s="1">
        <v>42704</v>
      </c>
      <c r="E805" s="2">
        <v>0.8125</v>
      </c>
      <c r="F805" t="s">
        <v>48</v>
      </c>
      <c r="G805" t="s">
        <v>39</v>
      </c>
      <c r="H805">
        <v>0</v>
      </c>
      <c r="I805">
        <v>4</v>
      </c>
      <c r="J805" t="s">
        <v>30</v>
      </c>
      <c r="K805">
        <v>248</v>
      </c>
      <c r="L805">
        <v>347</v>
      </c>
      <c r="M805">
        <v>299</v>
      </c>
      <c r="N805">
        <v>252</v>
      </c>
      <c r="O805">
        <v>347</v>
      </c>
      <c r="P805">
        <v>317</v>
      </c>
      <c r="Q805">
        <v>239</v>
      </c>
      <c r="R805">
        <v>322</v>
      </c>
      <c r="S805">
        <v>295</v>
      </c>
      <c r="T805" t="s">
        <v>31</v>
      </c>
      <c r="U805" t="s">
        <v>31</v>
      </c>
      <c r="V805" t="s">
        <v>31</v>
      </c>
      <c r="W805" t="s">
        <v>31</v>
      </c>
      <c r="X805" t="s">
        <v>31</v>
      </c>
      <c r="Y805" t="s">
        <v>31</v>
      </c>
    </row>
    <row r="806" spans="1:25" hidden="1">
      <c r="A806" t="s">
        <v>25</v>
      </c>
      <c r="B806" t="s">
        <v>26</v>
      </c>
      <c r="C806" t="s">
        <v>47</v>
      </c>
      <c r="D806" s="1">
        <v>42704</v>
      </c>
      <c r="E806" s="2">
        <v>0.8125</v>
      </c>
      <c r="F806" t="s">
        <v>28</v>
      </c>
      <c r="G806" t="s">
        <v>37</v>
      </c>
      <c r="H806">
        <v>0</v>
      </c>
      <c r="I806">
        <v>2</v>
      </c>
      <c r="J806" t="s">
        <v>30</v>
      </c>
      <c r="K806">
        <v>155</v>
      </c>
      <c r="L806">
        <v>421</v>
      </c>
      <c r="M806">
        <v>707</v>
      </c>
      <c r="N806">
        <v>16</v>
      </c>
      <c r="O806">
        <v>433</v>
      </c>
      <c r="P806">
        <v>707</v>
      </c>
      <c r="Q806">
        <v>153</v>
      </c>
      <c r="R806">
        <v>407</v>
      </c>
      <c r="S806">
        <v>596</v>
      </c>
      <c r="T806" t="s">
        <v>31</v>
      </c>
      <c r="U806" t="s">
        <v>31</v>
      </c>
      <c r="V806" t="s">
        <v>31</v>
      </c>
      <c r="W806" t="s">
        <v>31</v>
      </c>
      <c r="X806" t="s">
        <v>31</v>
      </c>
      <c r="Y806" t="s">
        <v>31</v>
      </c>
    </row>
    <row r="807" spans="1:25" hidden="1">
      <c r="A807" t="s">
        <v>25</v>
      </c>
      <c r="B807" t="s">
        <v>26</v>
      </c>
      <c r="C807" t="s">
        <v>47</v>
      </c>
      <c r="D807" s="1">
        <v>42707</v>
      </c>
      <c r="E807" s="2">
        <v>0.625</v>
      </c>
      <c r="F807" t="s">
        <v>35</v>
      </c>
      <c r="G807" t="s">
        <v>48</v>
      </c>
      <c r="H807">
        <v>1</v>
      </c>
      <c r="I807">
        <v>0</v>
      </c>
      <c r="J807" t="s">
        <v>34</v>
      </c>
      <c r="K807">
        <v>137</v>
      </c>
      <c r="L807">
        <v>528</v>
      </c>
      <c r="M807">
        <v>966</v>
      </c>
      <c r="N807">
        <v>145</v>
      </c>
      <c r="O807">
        <v>53</v>
      </c>
      <c r="P807">
        <v>969</v>
      </c>
      <c r="Q807">
        <v>138</v>
      </c>
      <c r="R807">
        <v>469</v>
      </c>
      <c r="S807">
        <v>783</v>
      </c>
      <c r="T807" t="s">
        <v>31</v>
      </c>
      <c r="U807" t="s">
        <v>31</v>
      </c>
      <c r="V807" t="s">
        <v>31</v>
      </c>
      <c r="W807" t="s">
        <v>31</v>
      </c>
      <c r="X807" t="s">
        <v>31</v>
      </c>
      <c r="Y807" t="s">
        <v>31</v>
      </c>
    </row>
    <row r="808" spans="1:25" hidden="1">
      <c r="A808" t="s">
        <v>25</v>
      </c>
      <c r="B808" t="s">
        <v>26</v>
      </c>
      <c r="C808" t="s">
        <v>47</v>
      </c>
      <c r="D808" s="1">
        <v>42707</v>
      </c>
      <c r="E808" s="2">
        <v>0.72916666666666663</v>
      </c>
      <c r="F808" t="s">
        <v>37</v>
      </c>
      <c r="G808" t="s">
        <v>40</v>
      </c>
      <c r="H808">
        <v>0</v>
      </c>
      <c r="I808">
        <v>2</v>
      </c>
      <c r="J808" t="s">
        <v>30</v>
      </c>
      <c r="K808">
        <v>306</v>
      </c>
      <c r="L808">
        <v>364</v>
      </c>
      <c r="M808">
        <v>237</v>
      </c>
      <c r="N808">
        <v>315</v>
      </c>
      <c r="O808">
        <v>366</v>
      </c>
      <c r="P808">
        <v>242</v>
      </c>
      <c r="Q808">
        <v>295</v>
      </c>
      <c r="R808">
        <v>341</v>
      </c>
      <c r="S808">
        <v>229</v>
      </c>
      <c r="T808" t="s">
        <v>31</v>
      </c>
      <c r="U808" t="s">
        <v>31</v>
      </c>
      <c r="V808" t="s">
        <v>31</v>
      </c>
      <c r="W808" t="s">
        <v>31</v>
      </c>
      <c r="X808" t="s">
        <v>31</v>
      </c>
      <c r="Y808" t="s">
        <v>31</v>
      </c>
    </row>
    <row r="809" spans="1:25" hidden="1">
      <c r="A809" t="s">
        <v>25</v>
      </c>
      <c r="B809" t="s">
        <v>26</v>
      </c>
      <c r="C809" t="s">
        <v>47</v>
      </c>
      <c r="D809" s="1">
        <v>42707</v>
      </c>
      <c r="E809" s="2">
        <v>0.72916666666666663</v>
      </c>
      <c r="F809" t="s">
        <v>38</v>
      </c>
      <c r="G809" t="s">
        <v>32</v>
      </c>
      <c r="H809">
        <v>2</v>
      </c>
      <c r="I809">
        <v>1</v>
      </c>
      <c r="J809" t="s">
        <v>34</v>
      </c>
      <c r="K809">
        <v>207</v>
      </c>
      <c r="L809">
        <v>349</v>
      </c>
      <c r="M809">
        <v>392</v>
      </c>
      <c r="N809">
        <v>223</v>
      </c>
      <c r="O809">
        <v>36</v>
      </c>
      <c r="P809">
        <v>392</v>
      </c>
      <c r="Q809">
        <v>205</v>
      </c>
      <c r="R809">
        <v>336</v>
      </c>
      <c r="S809">
        <v>357</v>
      </c>
      <c r="T809" t="s">
        <v>31</v>
      </c>
      <c r="U809" t="s">
        <v>31</v>
      </c>
      <c r="V809" t="s">
        <v>31</v>
      </c>
      <c r="W809" t="s">
        <v>31</v>
      </c>
      <c r="X809" t="s">
        <v>31</v>
      </c>
      <c r="Y809" t="s">
        <v>31</v>
      </c>
    </row>
    <row r="810" spans="1:25" hidden="1">
      <c r="A810" t="s">
        <v>25</v>
      </c>
      <c r="B810" t="s">
        <v>26</v>
      </c>
      <c r="C810" t="s">
        <v>47</v>
      </c>
      <c r="D810" s="1">
        <v>42707</v>
      </c>
      <c r="E810" s="2">
        <v>0.72916666666666663</v>
      </c>
      <c r="F810" t="s">
        <v>29</v>
      </c>
      <c r="G810" t="s">
        <v>45</v>
      </c>
      <c r="H810">
        <v>4</v>
      </c>
      <c r="I810">
        <v>1</v>
      </c>
      <c r="J810" t="s">
        <v>34</v>
      </c>
      <c r="K810">
        <v>132</v>
      </c>
      <c r="L810">
        <v>549</v>
      </c>
      <c r="M810">
        <v>1202</v>
      </c>
      <c r="N810">
        <v>137</v>
      </c>
      <c r="O810">
        <v>549</v>
      </c>
      <c r="P810">
        <v>1202</v>
      </c>
      <c r="Q810">
        <v>132</v>
      </c>
      <c r="R810">
        <v>501</v>
      </c>
      <c r="S810">
        <v>934</v>
      </c>
      <c r="T810" t="s">
        <v>31</v>
      </c>
      <c r="U810" t="s">
        <v>31</v>
      </c>
      <c r="V810" t="s">
        <v>31</v>
      </c>
      <c r="W810" t="s">
        <v>31</v>
      </c>
      <c r="X810" t="s">
        <v>31</v>
      </c>
      <c r="Y810" t="s">
        <v>31</v>
      </c>
    </row>
    <row r="811" spans="1:25" hidden="1">
      <c r="A811" t="s">
        <v>25</v>
      </c>
      <c r="B811" t="s">
        <v>26</v>
      </c>
      <c r="C811" t="s">
        <v>47</v>
      </c>
      <c r="D811" s="1">
        <v>42708</v>
      </c>
      <c r="E811" s="2">
        <v>0.64583333333333337</v>
      </c>
      <c r="F811" t="s">
        <v>39</v>
      </c>
      <c r="G811" t="s">
        <v>28</v>
      </c>
      <c r="H811">
        <v>0</v>
      </c>
      <c r="I811">
        <v>4</v>
      </c>
      <c r="J811" t="s">
        <v>30</v>
      </c>
      <c r="K811">
        <v>353</v>
      </c>
      <c r="L811">
        <v>344</v>
      </c>
      <c r="M811">
        <v>221</v>
      </c>
      <c r="N811">
        <v>353</v>
      </c>
      <c r="O811">
        <v>345</v>
      </c>
      <c r="P811">
        <v>242</v>
      </c>
      <c r="Q811">
        <v>322</v>
      </c>
      <c r="R811">
        <v>324</v>
      </c>
      <c r="S811">
        <v>223</v>
      </c>
      <c r="T811" t="s">
        <v>31</v>
      </c>
      <c r="U811" t="s">
        <v>31</v>
      </c>
      <c r="V811" t="s">
        <v>31</v>
      </c>
      <c r="W811" t="s">
        <v>31</v>
      </c>
      <c r="X811" t="s">
        <v>31</v>
      </c>
      <c r="Y811" t="s">
        <v>31</v>
      </c>
    </row>
    <row r="812" spans="1:25" hidden="1">
      <c r="A812" t="s">
        <v>25</v>
      </c>
      <c r="B812" t="s">
        <v>26</v>
      </c>
      <c r="C812" t="s">
        <v>47</v>
      </c>
      <c r="D812" s="1">
        <v>42714</v>
      </c>
      <c r="E812" s="2">
        <v>0.625</v>
      </c>
      <c r="F812" t="s">
        <v>45</v>
      </c>
      <c r="G812" t="s">
        <v>39</v>
      </c>
      <c r="H812">
        <v>2</v>
      </c>
      <c r="I812">
        <v>1</v>
      </c>
      <c r="J812" t="s">
        <v>34</v>
      </c>
      <c r="K812">
        <v>184</v>
      </c>
      <c r="L812">
        <v>36</v>
      </c>
      <c r="M812">
        <v>491</v>
      </c>
      <c r="N812">
        <v>187</v>
      </c>
      <c r="O812">
        <v>365</v>
      </c>
      <c r="P812">
        <v>53</v>
      </c>
      <c r="Q812">
        <v>178</v>
      </c>
      <c r="R812">
        <v>344</v>
      </c>
      <c r="S812">
        <v>464</v>
      </c>
      <c r="T812" t="s">
        <v>31</v>
      </c>
      <c r="U812" t="s">
        <v>31</v>
      </c>
      <c r="V812" t="s">
        <v>31</v>
      </c>
      <c r="W812" t="s">
        <v>31</v>
      </c>
      <c r="X812" t="s">
        <v>31</v>
      </c>
      <c r="Y812" t="s">
        <v>31</v>
      </c>
    </row>
    <row r="813" spans="1:25" hidden="1">
      <c r="A813" t="s">
        <v>25</v>
      </c>
      <c r="B813" t="s">
        <v>26</v>
      </c>
      <c r="C813" t="s">
        <v>47</v>
      </c>
      <c r="D813" s="1">
        <v>42714</v>
      </c>
      <c r="E813" s="2">
        <v>0.72916666666666663</v>
      </c>
      <c r="F813" t="s">
        <v>32</v>
      </c>
      <c r="G813" t="s">
        <v>37</v>
      </c>
      <c r="H813">
        <v>2</v>
      </c>
      <c r="I813">
        <v>0</v>
      </c>
      <c r="J813" t="s">
        <v>34</v>
      </c>
      <c r="K813">
        <v>256</v>
      </c>
      <c r="L813">
        <v>34</v>
      </c>
      <c r="M813">
        <v>294</v>
      </c>
      <c r="N813">
        <v>272</v>
      </c>
      <c r="O813">
        <v>34</v>
      </c>
      <c r="P813">
        <v>294</v>
      </c>
      <c r="Q813">
        <v>25</v>
      </c>
      <c r="R813">
        <v>323</v>
      </c>
      <c r="S813">
        <v>278</v>
      </c>
      <c r="T813" t="s">
        <v>31</v>
      </c>
      <c r="U813" t="s">
        <v>31</v>
      </c>
      <c r="V813" t="s">
        <v>31</v>
      </c>
      <c r="W813" t="s">
        <v>31</v>
      </c>
      <c r="X813" t="s">
        <v>31</v>
      </c>
      <c r="Y813" t="s">
        <v>31</v>
      </c>
    </row>
    <row r="814" spans="1:25" hidden="1">
      <c r="A814" t="s">
        <v>25</v>
      </c>
      <c r="B814" t="s">
        <v>26</v>
      </c>
      <c r="C814" t="s">
        <v>47</v>
      </c>
      <c r="D814" s="1">
        <v>42715</v>
      </c>
      <c r="E814" s="2">
        <v>0.54166666666666663</v>
      </c>
      <c r="F814" t="s">
        <v>35</v>
      </c>
      <c r="G814" t="s">
        <v>38</v>
      </c>
      <c r="H814">
        <v>3</v>
      </c>
      <c r="I814">
        <v>1</v>
      </c>
      <c r="J814" t="s">
        <v>34</v>
      </c>
      <c r="K814">
        <v>148</v>
      </c>
      <c r="L814">
        <v>45</v>
      </c>
      <c r="M814">
        <v>79</v>
      </c>
      <c r="N814">
        <v>15</v>
      </c>
      <c r="O814">
        <v>465</v>
      </c>
      <c r="P814">
        <v>812</v>
      </c>
      <c r="Q814">
        <v>145</v>
      </c>
      <c r="R814">
        <v>427</v>
      </c>
      <c r="S814">
        <v>701</v>
      </c>
      <c r="T814" t="s">
        <v>31</v>
      </c>
      <c r="U814" t="s">
        <v>31</v>
      </c>
      <c r="V814" t="s">
        <v>31</v>
      </c>
      <c r="W814" t="s">
        <v>31</v>
      </c>
      <c r="X814" t="s">
        <v>31</v>
      </c>
      <c r="Y814" t="s">
        <v>31</v>
      </c>
    </row>
    <row r="815" spans="1:25" hidden="1">
      <c r="A815" t="s">
        <v>25</v>
      </c>
      <c r="B815" t="s">
        <v>26</v>
      </c>
      <c r="C815" t="s">
        <v>47</v>
      </c>
      <c r="D815" s="1">
        <v>42715</v>
      </c>
      <c r="E815" s="2">
        <v>0.64583333333333337</v>
      </c>
      <c r="F815" t="s">
        <v>28</v>
      </c>
      <c r="G815" t="s">
        <v>29</v>
      </c>
      <c r="H815">
        <v>0</v>
      </c>
      <c r="I815">
        <v>1</v>
      </c>
      <c r="J815" t="s">
        <v>30</v>
      </c>
      <c r="K815">
        <v>401</v>
      </c>
      <c r="L815">
        <v>362</v>
      </c>
      <c r="M815">
        <v>2</v>
      </c>
      <c r="N815">
        <v>401</v>
      </c>
      <c r="O815">
        <v>367</v>
      </c>
      <c r="P815">
        <v>208</v>
      </c>
      <c r="Q815">
        <v>373</v>
      </c>
      <c r="R815">
        <v>343</v>
      </c>
      <c r="S815">
        <v>196</v>
      </c>
      <c r="T815" t="s">
        <v>31</v>
      </c>
      <c r="U815" t="s">
        <v>31</v>
      </c>
      <c r="V815" t="s">
        <v>31</v>
      </c>
      <c r="W815" t="s">
        <v>31</v>
      </c>
      <c r="X815" t="s">
        <v>31</v>
      </c>
      <c r="Y815" t="s">
        <v>31</v>
      </c>
    </row>
    <row r="816" spans="1:25" hidden="1">
      <c r="A816" t="s">
        <v>25</v>
      </c>
      <c r="B816" t="s">
        <v>26</v>
      </c>
      <c r="C816" t="s">
        <v>47</v>
      </c>
      <c r="D816" s="1">
        <v>42716</v>
      </c>
      <c r="E816" s="2">
        <v>0.64583333333333337</v>
      </c>
      <c r="F816" t="s">
        <v>48</v>
      </c>
      <c r="G816" t="s">
        <v>40</v>
      </c>
      <c r="H816">
        <v>2</v>
      </c>
      <c r="I816">
        <v>1</v>
      </c>
      <c r="J816" t="s">
        <v>34</v>
      </c>
      <c r="K816">
        <v>362</v>
      </c>
      <c r="L816">
        <v>386</v>
      </c>
      <c r="M816">
        <v>204</v>
      </c>
      <c r="N816">
        <v>375</v>
      </c>
      <c r="O816">
        <v>386</v>
      </c>
      <c r="P816">
        <v>21</v>
      </c>
      <c r="Q816">
        <v>349</v>
      </c>
      <c r="R816">
        <v>353</v>
      </c>
      <c r="S816">
        <v>2</v>
      </c>
      <c r="T816" t="s">
        <v>31</v>
      </c>
      <c r="U816" t="s">
        <v>31</v>
      </c>
      <c r="V816" t="s">
        <v>31</v>
      </c>
      <c r="W816" t="s">
        <v>31</v>
      </c>
      <c r="X816" t="s">
        <v>31</v>
      </c>
      <c r="Y816" t="s">
        <v>31</v>
      </c>
    </row>
    <row r="817" spans="1:25" hidden="1">
      <c r="A817" t="s">
        <v>25</v>
      </c>
      <c r="B817" t="s">
        <v>26</v>
      </c>
      <c r="C817" t="s">
        <v>47</v>
      </c>
      <c r="D817" s="1">
        <v>42721</v>
      </c>
      <c r="E817" s="2">
        <v>0.625</v>
      </c>
      <c r="F817" t="s">
        <v>38</v>
      </c>
      <c r="G817" t="s">
        <v>28</v>
      </c>
      <c r="H817">
        <v>0</v>
      </c>
      <c r="I817">
        <v>3</v>
      </c>
      <c r="J817" t="s">
        <v>30</v>
      </c>
      <c r="K817">
        <v>421</v>
      </c>
      <c r="L817">
        <v>34</v>
      </c>
      <c r="M817">
        <v>203</v>
      </c>
      <c r="N817">
        <v>425</v>
      </c>
      <c r="O817">
        <v>347</v>
      </c>
      <c r="P817">
        <v>21</v>
      </c>
      <c r="Q817">
        <v>379</v>
      </c>
      <c r="R817">
        <v>328</v>
      </c>
      <c r="S817">
        <v>2</v>
      </c>
      <c r="T817" t="s">
        <v>31</v>
      </c>
      <c r="U817" t="s">
        <v>31</v>
      </c>
      <c r="V817" t="s">
        <v>31</v>
      </c>
      <c r="W817" t="s">
        <v>31</v>
      </c>
      <c r="X817" t="s">
        <v>31</v>
      </c>
      <c r="Y817" t="s">
        <v>31</v>
      </c>
    </row>
    <row r="818" spans="1:25" hidden="1">
      <c r="A818" t="s">
        <v>25</v>
      </c>
      <c r="B818" t="s">
        <v>26</v>
      </c>
      <c r="C818" t="s">
        <v>47</v>
      </c>
      <c r="D818" s="1">
        <v>42721</v>
      </c>
      <c r="E818" s="2">
        <v>0.72916666666666663</v>
      </c>
      <c r="F818" t="s">
        <v>40</v>
      </c>
      <c r="G818" t="s">
        <v>32</v>
      </c>
      <c r="H818">
        <v>2</v>
      </c>
      <c r="I818">
        <v>0</v>
      </c>
      <c r="J818" t="s">
        <v>34</v>
      </c>
      <c r="K818">
        <v>166</v>
      </c>
      <c r="L818">
        <v>415</v>
      </c>
      <c r="M818">
        <v>552</v>
      </c>
      <c r="N818">
        <v>169</v>
      </c>
      <c r="O818">
        <v>436</v>
      </c>
      <c r="P818">
        <v>555</v>
      </c>
      <c r="Q818">
        <v>162</v>
      </c>
      <c r="R818">
        <v>398</v>
      </c>
      <c r="S818">
        <v>503</v>
      </c>
      <c r="T818" t="s">
        <v>31</v>
      </c>
      <c r="U818" t="s">
        <v>31</v>
      </c>
      <c r="V818" t="s">
        <v>31</v>
      </c>
      <c r="W818" t="s">
        <v>31</v>
      </c>
      <c r="X818" t="s">
        <v>31</v>
      </c>
      <c r="Y818" t="s">
        <v>31</v>
      </c>
    </row>
    <row r="819" spans="1:25" hidden="1">
      <c r="A819" t="s">
        <v>25</v>
      </c>
      <c r="B819" t="s">
        <v>26</v>
      </c>
      <c r="C819" t="s">
        <v>47</v>
      </c>
      <c r="D819" s="1">
        <v>42721</v>
      </c>
      <c r="E819" s="2">
        <v>0.72916666666666663</v>
      </c>
      <c r="F819" t="s">
        <v>29</v>
      </c>
      <c r="G819" t="s">
        <v>39</v>
      </c>
      <c r="H819">
        <v>3</v>
      </c>
      <c r="I819">
        <v>0</v>
      </c>
      <c r="J819" t="s">
        <v>34</v>
      </c>
      <c r="K819">
        <v>121</v>
      </c>
      <c r="L819">
        <v>75</v>
      </c>
      <c r="M819">
        <v>1581</v>
      </c>
      <c r="N819">
        <v>122</v>
      </c>
      <c r="O819">
        <v>773</v>
      </c>
      <c r="P819">
        <v>1783</v>
      </c>
      <c r="Q819">
        <v>119</v>
      </c>
      <c r="R819">
        <v>658</v>
      </c>
      <c r="S819">
        <v>1377</v>
      </c>
      <c r="T819" t="s">
        <v>31</v>
      </c>
      <c r="U819" t="s">
        <v>31</v>
      </c>
      <c r="V819" t="s">
        <v>31</v>
      </c>
      <c r="W819" t="s">
        <v>31</v>
      </c>
      <c r="X819" t="s">
        <v>31</v>
      </c>
      <c r="Y819" t="s">
        <v>31</v>
      </c>
    </row>
    <row r="820" spans="1:25" hidden="1">
      <c r="A820" t="s">
        <v>25</v>
      </c>
      <c r="B820" t="s">
        <v>26</v>
      </c>
      <c r="C820" t="s">
        <v>47</v>
      </c>
      <c r="D820" s="1">
        <v>42721</v>
      </c>
      <c r="E820" s="2">
        <v>0.72916666666666663</v>
      </c>
      <c r="F820" t="s">
        <v>48</v>
      </c>
      <c r="G820" t="s">
        <v>37</v>
      </c>
      <c r="H820">
        <v>2</v>
      </c>
      <c r="I820">
        <v>2</v>
      </c>
      <c r="J820" t="s">
        <v>41</v>
      </c>
      <c r="K820">
        <v>309</v>
      </c>
      <c r="L820">
        <v>334</v>
      </c>
      <c r="M820">
        <v>248</v>
      </c>
      <c r="N820">
        <v>309</v>
      </c>
      <c r="O820">
        <v>339</v>
      </c>
      <c r="P820">
        <v>265</v>
      </c>
      <c r="Q820">
        <v>289</v>
      </c>
      <c r="R820">
        <v>323</v>
      </c>
      <c r="S820">
        <v>242</v>
      </c>
      <c r="T820" t="s">
        <v>31</v>
      </c>
      <c r="U820" t="s">
        <v>31</v>
      </c>
      <c r="V820" t="s">
        <v>31</v>
      </c>
      <c r="W820" t="s">
        <v>31</v>
      </c>
      <c r="X820" t="s">
        <v>31</v>
      </c>
      <c r="Y820" t="s">
        <v>31</v>
      </c>
    </row>
    <row r="821" spans="1:25" hidden="1">
      <c r="A821" t="s">
        <v>25</v>
      </c>
      <c r="B821" t="s">
        <v>26</v>
      </c>
      <c r="C821" t="s">
        <v>47</v>
      </c>
      <c r="D821" s="1">
        <v>42722</v>
      </c>
      <c r="E821" s="2">
        <v>0.64583333333333337</v>
      </c>
      <c r="F821" t="s">
        <v>45</v>
      </c>
      <c r="G821" t="s">
        <v>35</v>
      </c>
      <c r="H821">
        <v>3</v>
      </c>
      <c r="I821">
        <v>1</v>
      </c>
      <c r="J821" t="s">
        <v>34</v>
      </c>
      <c r="K821">
        <v>292</v>
      </c>
      <c r="L821">
        <v>339</v>
      </c>
      <c r="M821">
        <v>258</v>
      </c>
      <c r="N821">
        <v>298</v>
      </c>
      <c r="O821">
        <v>339</v>
      </c>
      <c r="P821">
        <v>276</v>
      </c>
      <c r="Q821">
        <v>277</v>
      </c>
      <c r="R821">
        <v>32</v>
      </c>
      <c r="S821">
        <v>253</v>
      </c>
      <c r="T821" t="s">
        <v>31</v>
      </c>
      <c r="U821" t="s">
        <v>31</v>
      </c>
      <c r="V821" t="s">
        <v>31</v>
      </c>
      <c r="W821" t="s">
        <v>31</v>
      </c>
      <c r="X821" t="s">
        <v>31</v>
      </c>
      <c r="Y821" t="s">
        <v>31</v>
      </c>
    </row>
    <row r="822" spans="1:25" hidden="1">
      <c r="A822" t="s">
        <v>25</v>
      </c>
      <c r="B822" t="s">
        <v>26</v>
      </c>
      <c r="C822" t="s">
        <v>47</v>
      </c>
      <c r="D822" s="1">
        <v>42777</v>
      </c>
      <c r="E822" s="2">
        <v>0.625</v>
      </c>
      <c r="F822" t="s">
        <v>37</v>
      </c>
      <c r="G822" t="s">
        <v>45</v>
      </c>
      <c r="H822">
        <v>1</v>
      </c>
      <c r="I822">
        <v>1</v>
      </c>
      <c r="J822" t="s">
        <v>41</v>
      </c>
      <c r="K822">
        <v>301</v>
      </c>
      <c r="L822">
        <v>332</v>
      </c>
      <c r="M822">
        <v>256</v>
      </c>
      <c r="N822">
        <v>301</v>
      </c>
      <c r="O822">
        <v>332</v>
      </c>
      <c r="P822">
        <v>301</v>
      </c>
      <c r="Q822">
        <v>255</v>
      </c>
      <c r="R822">
        <v>319</v>
      </c>
      <c r="S822">
        <v>276</v>
      </c>
      <c r="T822" t="s">
        <v>31</v>
      </c>
      <c r="U822" t="s">
        <v>31</v>
      </c>
      <c r="V822" t="s">
        <v>31</v>
      </c>
      <c r="W822" t="s">
        <v>31</v>
      </c>
      <c r="X822" t="s">
        <v>31</v>
      </c>
      <c r="Y822" t="s">
        <v>31</v>
      </c>
    </row>
    <row r="823" spans="1:25" hidden="1">
      <c r="A823" t="s">
        <v>25</v>
      </c>
      <c r="B823" t="s">
        <v>26</v>
      </c>
      <c r="C823" t="s">
        <v>47</v>
      </c>
      <c r="D823" s="1">
        <v>42777</v>
      </c>
      <c r="E823" s="2">
        <v>0.72916666666666663</v>
      </c>
      <c r="F823" t="s">
        <v>39</v>
      </c>
      <c r="G823" t="s">
        <v>38</v>
      </c>
      <c r="H823">
        <v>1</v>
      </c>
      <c r="I823">
        <v>0</v>
      </c>
      <c r="J823" t="s">
        <v>34</v>
      </c>
      <c r="K823">
        <v>201</v>
      </c>
      <c r="L823">
        <v>348</v>
      </c>
      <c r="M823">
        <v>417</v>
      </c>
      <c r="N823">
        <v>213</v>
      </c>
      <c r="O823">
        <v>35</v>
      </c>
      <c r="P823">
        <v>417</v>
      </c>
      <c r="Q823">
        <v>203</v>
      </c>
      <c r="R823">
        <v>326</v>
      </c>
      <c r="S823">
        <v>369</v>
      </c>
      <c r="T823" t="s">
        <v>31</v>
      </c>
      <c r="U823" t="s">
        <v>31</v>
      </c>
      <c r="V823" t="s">
        <v>31</v>
      </c>
      <c r="W823" t="s">
        <v>31</v>
      </c>
      <c r="X823" t="s">
        <v>31</v>
      </c>
      <c r="Y823" t="s">
        <v>31</v>
      </c>
    </row>
    <row r="824" spans="1:25" hidden="1">
      <c r="A824" t="s">
        <v>25</v>
      </c>
      <c r="B824" t="s">
        <v>26</v>
      </c>
      <c r="C824" t="s">
        <v>47</v>
      </c>
      <c r="D824" s="1">
        <v>42777</v>
      </c>
      <c r="E824" s="2">
        <v>0.72916666666666663</v>
      </c>
      <c r="F824" t="s">
        <v>32</v>
      </c>
      <c r="G824" t="s">
        <v>28</v>
      </c>
      <c r="H824">
        <v>1</v>
      </c>
      <c r="I824">
        <v>0</v>
      </c>
      <c r="J824" t="s">
        <v>34</v>
      </c>
      <c r="K824">
        <v>41</v>
      </c>
      <c r="L824">
        <v>359</v>
      </c>
      <c r="M824">
        <v>199</v>
      </c>
      <c r="N824">
        <v>41</v>
      </c>
      <c r="O824">
        <v>359</v>
      </c>
      <c r="P824">
        <v>206</v>
      </c>
      <c r="Q824">
        <v>372</v>
      </c>
      <c r="R824">
        <v>339</v>
      </c>
      <c r="S824">
        <v>197</v>
      </c>
      <c r="T824" t="s">
        <v>31</v>
      </c>
      <c r="U824" t="s">
        <v>31</v>
      </c>
      <c r="V824" t="s">
        <v>31</v>
      </c>
      <c r="W824" t="s">
        <v>31</v>
      </c>
      <c r="X824" t="s">
        <v>31</v>
      </c>
      <c r="Y824" t="s">
        <v>31</v>
      </c>
    </row>
    <row r="825" spans="1:25" hidden="1">
      <c r="A825" t="s">
        <v>25</v>
      </c>
      <c r="B825" t="s">
        <v>26</v>
      </c>
      <c r="C825" t="s">
        <v>47</v>
      </c>
      <c r="D825" s="1">
        <v>42777</v>
      </c>
      <c r="E825" s="2">
        <v>0.72916666666666663</v>
      </c>
      <c r="F825" t="s">
        <v>29</v>
      </c>
      <c r="G825" t="s">
        <v>48</v>
      </c>
      <c r="H825">
        <v>2</v>
      </c>
      <c r="I825">
        <v>0</v>
      </c>
      <c r="J825" t="s">
        <v>34</v>
      </c>
      <c r="K825">
        <v>113</v>
      </c>
      <c r="L825">
        <v>97</v>
      </c>
      <c r="M825">
        <v>25</v>
      </c>
      <c r="N825">
        <v>117</v>
      </c>
      <c r="O825">
        <v>999</v>
      </c>
      <c r="P825">
        <v>28</v>
      </c>
      <c r="Q825">
        <v>112</v>
      </c>
      <c r="R825">
        <v>831</v>
      </c>
      <c r="S825">
        <v>204</v>
      </c>
      <c r="T825" t="s">
        <v>31</v>
      </c>
      <c r="U825" t="s">
        <v>31</v>
      </c>
      <c r="V825" t="s">
        <v>31</v>
      </c>
      <c r="W825" t="s">
        <v>31</v>
      </c>
      <c r="X825" t="s">
        <v>31</v>
      </c>
      <c r="Y825" t="s">
        <v>31</v>
      </c>
    </row>
    <row r="826" spans="1:25" hidden="1">
      <c r="A826" t="s">
        <v>25</v>
      </c>
      <c r="B826" t="s">
        <v>26</v>
      </c>
      <c r="C826" t="s">
        <v>47</v>
      </c>
      <c r="D826" s="1">
        <v>42778</v>
      </c>
      <c r="E826" s="2">
        <v>0.64583333333333337</v>
      </c>
      <c r="F826" t="s">
        <v>40</v>
      </c>
      <c r="G826" t="s">
        <v>35</v>
      </c>
      <c r="H826">
        <v>1</v>
      </c>
      <c r="I826">
        <v>1</v>
      </c>
      <c r="J826" t="s">
        <v>41</v>
      </c>
      <c r="K826">
        <v>276</v>
      </c>
      <c r="L826">
        <v>354</v>
      </c>
      <c r="M826">
        <v>263</v>
      </c>
      <c r="N826">
        <v>31</v>
      </c>
      <c r="O826">
        <v>354</v>
      </c>
      <c r="P826">
        <v>263</v>
      </c>
      <c r="Q826">
        <v>285</v>
      </c>
      <c r="R826">
        <v>326</v>
      </c>
      <c r="S826">
        <v>243</v>
      </c>
      <c r="T826" t="s">
        <v>31</v>
      </c>
      <c r="U826" t="s">
        <v>31</v>
      </c>
      <c r="V826" t="s">
        <v>31</v>
      </c>
      <c r="W826" t="s">
        <v>31</v>
      </c>
      <c r="X826" t="s">
        <v>31</v>
      </c>
      <c r="Y826" t="s">
        <v>31</v>
      </c>
    </row>
    <row r="827" spans="1:25" hidden="1">
      <c r="A827" t="s">
        <v>25</v>
      </c>
      <c r="B827" t="s">
        <v>26</v>
      </c>
      <c r="C827" t="s">
        <v>47</v>
      </c>
      <c r="D827" s="1">
        <v>42784</v>
      </c>
      <c r="E827" s="2">
        <v>0.625</v>
      </c>
      <c r="F827" t="s">
        <v>28</v>
      </c>
      <c r="G827" t="s">
        <v>40</v>
      </c>
      <c r="H827">
        <v>0</v>
      </c>
      <c r="I827">
        <v>4</v>
      </c>
      <c r="J827" t="s">
        <v>30</v>
      </c>
      <c r="K827">
        <v>217</v>
      </c>
      <c r="L827">
        <v>349</v>
      </c>
      <c r="M827">
        <v>359</v>
      </c>
      <c r="N827">
        <v>225</v>
      </c>
      <c r="O827">
        <v>35</v>
      </c>
      <c r="P827">
        <v>375</v>
      </c>
      <c r="Q827">
        <v>215</v>
      </c>
      <c r="R827">
        <v>333</v>
      </c>
      <c r="S827">
        <v>331</v>
      </c>
      <c r="T827" t="s">
        <v>31</v>
      </c>
      <c r="U827" t="s">
        <v>31</v>
      </c>
      <c r="V827" t="s">
        <v>31</v>
      </c>
      <c r="W827" t="s">
        <v>31</v>
      </c>
      <c r="X827" t="s">
        <v>31</v>
      </c>
      <c r="Y827" t="s">
        <v>31</v>
      </c>
    </row>
    <row r="828" spans="1:25" hidden="1">
      <c r="A828" t="s">
        <v>25</v>
      </c>
      <c r="B828" t="s">
        <v>26</v>
      </c>
      <c r="C828" t="s">
        <v>47</v>
      </c>
      <c r="D828" s="1">
        <v>42784</v>
      </c>
      <c r="E828" s="2">
        <v>0.72916666666666663</v>
      </c>
      <c r="F828" t="s">
        <v>45</v>
      </c>
      <c r="G828" t="s">
        <v>48</v>
      </c>
      <c r="H828">
        <v>1</v>
      </c>
      <c r="I828">
        <v>2</v>
      </c>
      <c r="J828" t="s">
        <v>30</v>
      </c>
      <c r="K828">
        <v>168</v>
      </c>
      <c r="L828">
        <v>397</v>
      </c>
      <c r="M828">
        <v>559</v>
      </c>
      <c r="N828">
        <v>172</v>
      </c>
      <c r="O828">
        <v>414</v>
      </c>
      <c r="P828">
        <v>61</v>
      </c>
      <c r="Q828">
        <v>162</v>
      </c>
      <c r="R828">
        <v>378</v>
      </c>
      <c r="S828">
        <v>538</v>
      </c>
      <c r="T828" t="s">
        <v>31</v>
      </c>
      <c r="U828" t="s">
        <v>31</v>
      </c>
      <c r="V828" t="s">
        <v>31</v>
      </c>
      <c r="W828" t="s">
        <v>31</v>
      </c>
      <c r="X828" t="s">
        <v>31</v>
      </c>
      <c r="Y828" t="s">
        <v>31</v>
      </c>
    </row>
    <row r="829" spans="1:25" hidden="1">
      <c r="A829" t="s">
        <v>25</v>
      </c>
      <c r="B829" t="s">
        <v>26</v>
      </c>
      <c r="C829" t="s">
        <v>47</v>
      </c>
      <c r="D829" s="1">
        <v>42784</v>
      </c>
      <c r="E829" s="2">
        <v>0.72916666666666663</v>
      </c>
      <c r="F829" t="s">
        <v>32</v>
      </c>
      <c r="G829" t="s">
        <v>39</v>
      </c>
      <c r="H829">
        <v>2</v>
      </c>
      <c r="I829">
        <v>1</v>
      </c>
      <c r="J829" t="s">
        <v>34</v>
      </c>
      <c r="K829">
        <v>23</v>
      </c>
      <c r="L829">
        <v>331</v>
      </c>
      <c r="M829">
        <v>348</v>
      </c>
      <c r="N829">
        <v>24</v>
      </c>
      <c r="O829">
        <v>331</v>
      </c>
      <c r="P829">
        <v>348</v>
      </c>
      <c r="Q829">
        <v>227</v>
      </c>
      <c r="R829">
        <v>317</v>
      </c>
      <c r="S829">
        <v>321</v>
      </c>
      <c r="T829" t="s">
        <v>31</v>
      </c>
      <c r="U829" t="s">
        <v>31</v>
      </c>
      <c r="V829" t="s">
        <v>31</v>
      </c>
      <c r="W829" t="s">
        <v>31</v>
      </c>
      <c r="X829" t="s">
        <v>31</v>
      </c>
      <c r="Y829" t="s">
        <v>31</v>
      </c>
    </row>
    <row r="830" spans="1:25" hidden="1">
      <c r="A830" t="s">
        <v>25</v>
      </c>
      <c r="B830" t="s">
        <v>26</v>
      </c>
      <c r="C830" t="s">
        <v>47</v>
      </c>
      <c r="D830" s="1">
        <v>42784</v>
      </c>
      <c r="E830" s="2">
        <v>0.72916666666666663</v>
      </c>
      <c r="F830" t="s">
        <v>35</v>
      </c>
      <c r="G830" t="s">
        <v>37</v>
      </c>
      <c r="H830">
        <v>0</v>
      </c>
      <c r="I830">
        <v>0</v>
      </c>
      <c r="J830" t="s">
        <v>41</v>
      </c>
      <c r="K830">
        <v>152</v>
      </c>
      <c r="L830">
        <v>44</v>
      </c>
      <c r="M830">
        <v>718</v>
      </c>
      <c r="N830">
        <v>154</v>
      </c>
      <c r="O830">
        <v>44</v>
      </c>
      <c r="P830">
        <v>73</v>
      </c>
      <c r="Q830">
        <v>149</v>
      </c>
      <c r="R830">
        <v>417</v>
      </c>
      <c r="S830">
        <v>644</v>
      </c>
      <c r="T830" t="s">
        <v>31</v>
      </c>
      <c r="U830" t="s">
        <v>31</v>
      </c>
      <c r="V830" t="s">
        <v>31</v>
      </c>
      <c r="W830" t="s">
        <v>31</v>
      </c>
      <c r="X830" t="s">
        <v>31</v>
      </c>
      <c r="Y830" t="s">
        <v>31</v>
      </c>
    </row>
    <row r="831" spans="1:25" hidden="1">
      <c r="A831" t="s">
        <v>25</v>
      </c>
      <c r="B831" t="s">
        <v>26</v>
      </c>
      <c r="C831" t="s">
        <v>47</v>
      </c>
      <c r="D831" s="1">
        <v>42785</v>
      </c>
      <c r="E831" s="2">
        <v>0.64583333333333337</v>
      </c>
      <c r="F831" t="s">
        <v>38</v>
      </c>
      <c r="G831" t="s">
        <v>29</v>
      </c>
      <c r="H831">
        <v>1</v>
      </c>
      <c r="I831">
        <v>6</v>
      </c>
      <c r="J831" t="s">
        <v>30</v>
      </c>
      <c r="K831">
        <v>971</v>
      </c>
      <c r="L831">
        <v>528</v>
      </c>
      <c r="M831">
        <v>136</v>
      </c>
      <c r="N831">
        <v>11</v>
      </c>
      <c r="O831">
        <v>569</v>
      </c>
      <c r="P831">
        <v>145</v>
      </c>
      <c r="Q831">
        <v>905</v>
      </c>
      <c r="R831">
        <v>498</v>
      </c>
      <c r="S831">
        <v>132</v>
      </c>
      <c r="T831" t="s">
        <v>31</v>
      </c>
      <c r="U831" t="s">
        <v>31</v>
      </c>
      <c r="V831" t="s">
        <v>31</v>
      </c>
      <c r="W831" t="s">
        <v>31</v>
      </c>
      <c r="X831" t="s">
        <v>31</v>
      </c>
      <c r="Y831" t="s">
        <v>31</v>
      </c>
    </row>
    <row r="832" spans="1:25" hidden="1">
      <c r="A832" t="s">
        <v>25</v>
      </c>
      <c r="B832" t="s">
        <v>26</v>
      </c>
      <c r="C832" t="s">
        <v>47</v>
      </c>
      <c r="D832" s="1">
        <v>42791</v>
      </c>
      <c r="E832" s="2">
        <v>0.625</v>
      </c>
      <c r="F832" t="s">
        <v>39</v>
      </c>
      <c r="G832" t="s">
        <v>35</v>
      </c>
      <c r="H832">
        <v>2</v>
      </c>
      <c r="I832">
        <v>1</v>
      </c>
      <c r="J832" t="s">
        <v>34</v>
      </c>
      <c r="K832">
        <v>409</v>
      </c>
      <c r="L832">
        <v>339</v>
      </c>
      <c r="M832">
        <v>206</v>
      </c>
      <c r="N832">
        <v>446</v>
      </c>
      <c r="O832">
        <v>352</v>
      </c>
      <c r="P832">
        <v>21</v>
      </c>
      <c r="Q832">
        <v>392</v>
      </c>
      <c r="R832">
        <v>329</v>
      </c>
      <c r="S832">
        <v>197</v>
      </c>
      <c r="T832" t="s">
        <v>31</v>
      </c>
      <c r="U832" t="s">
        <v>31</v>
      </c>
      <c r="V832" t="s">
        <v>31</v>
      </c>
      <c r="W832" t="s">
        <v>31</v>
      </c>
      <c r="X832" t="s">
        <v>31</v>
      </c>
      <c r="Y832" t="s">
        <v>31</v>
      </c>
    </row>
    <row r="833" spans="1:25" hidden="1">
      <c r="A833" t="s">
        <v>25</v>
      </c>
      <c r="B833" t="s">
        <v>26</v>
      </c>
      <c r="C833" t="s">
        <v>47</v>
      </c>
      <c r="D833" s="1">
        <v>42791</v>
      </c>
      <c r="E833" s="2">
        <v>0.72916666666666663</v>
      </c>
      <c r="F833" t="s">
        <v>37</v>
      </c>
      <c r="G833" t="s">
        <v>38</v>
      </c>
      <c r="H833">
        <v>1</v>
      </c>
      <c r="I833">
        <v>0</v>
      </c>
      <c r="J833" t="s">
        <v>34</v>
      </c>
      <c r="K833">
        <v>208</v>
      </c>
      <c r="L833">
        <v>343</v>
      </c>
      <c r="M833">
        <v>395</v>
      </c>
      <c r="N833">
        <v>21</v>
      </c>
      <c r="O833">
        <v>36</v>
      </c>
      <c r="P833">
        <v>416</v>
      </c>
      <c r="Q833">
        <v>2</v>
      </c>
      <c r="R833">
        <v>331</v>
      </c>
      <c r="S833">
        <v>378</v>
      </c>
      <c r="T833" t="s">
        <v>31</v>
      </c>
      <c r="U833" t="s">
        <v>31</v>
      </c>
      <c r="V833" t="s">
        <v>31</v>
      </c>
      <c r="W833" t="s">
        <v>31</v>
      </c>
      <c r="X833" t="s">
        <v>31</v>
      </c>
      <c r="Y833" t="s">
        <v>31</v>
      </c>
    </row>
    <row r="834" spans="1:25" hidden="1">
      <c r="A834" t="s">
        <v>25</v>
      </c>
      <c r="B834" t="s">
        <v>26</v>
      </c>
      <c r="C834" t="s">
        <v>47</v>
      </c>
      <c r="D834" s="1">
        <v>42791</v>
      </c>
      <c r="E834" s="2">
        <v>0.72916666666666663</v>
      </c>
      <c r="F834" t="s">
        <v>40</v>
      </c>
      <c r="G834" t="s">
        <v>45</v>
      </c>
      <c r="H834">
        <v>1</v>
      </c>
      <c r="I834">
        <v>3</v>
      </c>
      <c r="J834" t="s">
        <v>30</v>
      </c>
      <c r="K834">
        <v>182</v>
      </c>
      <c r="L834">
        <v>374</v>
      </c>
      <c r="M834">
        <v>481</v>
      </c>
      <c r="N834">
        <v>185</v>
      </c>
      <c r="O834">
        <v>382</v>
      </c>
      <c r="P834">
        <v>54</v>
      </c>
      <c r="Q834">
        <v>177</v>
      </c>
      <c r="R834">
        <v>362</v>
      </c>
      <c r="S834">
        <v>444</v>
      </c>
      <c r="T834" t="s">
        <v>31</v>
      </c>
      <c r="U834" t="s">
        <v>31</v>
      </c>
      <c r="V834" t="s">
        <v>31</v>
      </c>
      <c r="W834" t="s">
        <v>31</v>
      </c>
      <c r="X834" t="s">
        <v>31</v>
      </c>
      <c r="Y834" t="s">
        <v>31</v>
      </c>
    </row>
    <row r="835" spans="1:25" hidden="1">
      <c r="A835" t="s">
        <v>25</v>
      </c>
      <c r="B835" t="s">
        <v>26</v>
      </c>
      <c r="C835" t="s">
        <v>47</v>
      </c>
      <c r="D835" s="1">
        <v>42791</v>
      </c>
      <c r="E835" s="2">
        <v>0.72916666666666663</v>
      </c>
      <c r="F835" t="s">
        <v>29</v>
      </c>
      <c r="G835" t="s">
        <v>32</v>
      </c>
      <c r="H835">
        <v>1</v>
      </c>
      <c r="I835">
        <v>0</v>
      </c>
      <c r="J835" t="s">
        <v>34</v>
      </c>
      <c r="K835">
        <v>121</v>
      </c>
      <c r="L835">
        <v>73</v>
      </c>
      <c r="M835">
        <v>158</v>
      </c>
      <c r="N835">
        <v>123</v>
      </c>
      <c r="O835">
        <v>76</v>
      </c>
      <c r="P835">
        <v>16</v>
      </c>
      <c r="Q835">
        <v>12</v>
      </c>
      <c r="R835">
        <v>643</v>
      </c>
      <c r="S835">
        <v>1314</v>
      </c>
      <c r="T835" t="s">
        <v>31</v>
      </c>
      <c r="U835" t="s">
        <v>31</v>
      </c>
      <c r="V835" t="s">
        <v>31</v>
      </c>
      <c r="W835" t="s">
        <v>31</v>
      </c>
      <c r="X835" t="s">
        <v>31</v>
      </c>
      <c r="Y835" t="s">
        <v>31</v>
      </c>
    </row>
    <row r="836" spans="1:25" hidden="1">
      <c r="A836" t="s">
        <v>25</v>
      </c>
      <c r="B836" t="s">
        <v>26</v>
      </c>
      <c r="C836" t="s">
        <v>47</v>
      </c>
      <c r="D836" s="1">
        <v>42792</v>
      </c>
      <c r="E836" s="2">
        <v>0.64583333333333337</v>
      </c>
      <c r="F836" t="s">
        <v>48</v>
      </c>
      <c r="G836" t="s">
        <v>28</v>
      </c>
      <c r="H836">
        <v>2</v>
      </c>
      <c r="I836">
        <v>1</v>
      </c>
      <c r="J836" t="s">
        <v>34</v>
      </c>
      <c r="K836">
        <v>395</v>
      </c>
      <c r="L836">
        <v>363</v>
      </c>
      <c r="M836">
        <v>201</v>
      </c>
      <c r="N836">
        <v>395</v>
      </c>
      <c r="O836">
        <v>363</v>
      </c>
      <c r="P836">
        <v>22</v>
      </c>
      <c r="Q836">
        <v>369</v>
      </c>
      <c r="R836">
        <v>341</v>
      </c>
      <c r="S836">
        <v>198</v>
      </c>
      <c r="T836" t="s">
        <v>31</v>
      </c>
      <c r="U836" t="s">
        <v>31</v>
      </c>
      <c r="V836" t="s">
        <v>31</v>
      </c>
      <c r="W836" t="s">
        <v>31</v>
      </c>
      <c r="X836" t="s">
        <v>31</v>
      </c>
      <c r="Y836" t="s">
        <v>31</v>
      </c>
    </row>
    <row r="837" spans="1:25" hidden="1">
      <c r="A837" t="s">
        <v>25</v>
      </c>
      <c r="B837" t="s">
        <v>26</v>
      </c>
      <c r="C837" t="s">
        <v>47</v>
      </c>
      <c r="D837" s="1">
        <v>42798</v>
      </c>
      <c r="E837" s="2">
        <v>0.625</v>
      </c>
      <c r="F837" t="s">
        <v>28</v>
      </c>
      <c r="G837" t="s">
        <v>45</v>
      </c>
      <c r="H837">
        <v>3</v>
      </c>
      <c r="I837">
        <v>0</v>
      </c>
      <c r="J837" t="s">
        <v>34</v>
      </c>
      <c r="K837">
        <v>206</v>
      </c>
      <c r="L837">
        <v>345</v>
      </c>
      <c r="M837">
        <v>401</v>
      </c>
      <c r="N837">
        <v>206</v>
      </c>
      <c r="O837">
        <v>364</v>
      </c>
      <c r="P837">
        <v>436</v>
      </c>
      <c r="Q837">
        <v>193</v>
      </c>
      <c r="R837">
        <v>34</v>
      </c>
      <c r="S837">
        <v>392</v>
      </c>
      <c r="T837" t="s">
        <v>31</v>
      </c>
      <c r="U837" t="s">
        <v>31</v>
      </c>
      <c r="V837" t="s">
        <v>31</v>
      </c>
      <c r="W837" t="s">
        <v>31</v>
      </c>
      <c r="X837" t="s">
        <v>31</v>
      </c>
      <c r="Y837" t="s">
        <v>31</v>
      </c>
    </row>
    <row r="838" spans="1:25" hidden="1">
      <c r="A838" t="s">
        <v>25</v>
      </c>
      <c r="B838" t="s">
        <v>26</v>
      </c>
      <c r="C838" t="s">
        <v>47</v>
      </c>
      <c r="D838" s="1">
        <v>42798</v>
      </c>
      <c r="E838" s="2">
        <v>0.72916666666666663</v>
      </c>
      <c r="F838" t="s">
        <v>39</v>
      </c>
      <c r="G838" t="s">
        <v>37</v>
      </c>
      <c r="H838">
        <v>1</v>
      </c>
      <c r="I838">
        <v>1</v>
      </c>
      <c r="J838" t="s">
        <v>41</v>
      </c>
      <c r="K838">
        <v>238</v>
      </c>
      <c r="L838">
        <v>321</v>
      </c>
      <c r="M838">
        <v>34</v>
      </c>
      <c r="N838">
        <v>24</v>
      </c>
      <c r="O838">
        <v>322</v>
      </c>
      <c r="P838">
        <v>348</v>
      </c>
      <c r="Q838">
        <v>229</v>
      </c>
      <c r="R838">
        <v>311</v>
      </c>
      <c r="S838">
        <v>321</v>
      </c>
      <c r="T838" t="s">
        <v>31</v>
      </c>
      <c r="U838" t="s">
        <v>31</v>
      </c>
      <c r="V838" t="s">
        <v>31</v>
      </c>
      <c r="W838" t="s">
        <v>31</v>
      </c>
      <c r="X838" t="s">
        <v>31</v>
      </c>
      <c r="Y838" t="s">
        <v>31</v>
      </c>
    </row>
    <row r="839" spans="1:25" hidden="1">
      <c r="A839" t="s">
        <v>25</v>
      </c>
      <c r="B839" t="s">
        <v>26</v>
      </c>
      <c r="C839" t="s">
        <v>47</v>
      </c>
      <c r="D839" s="1">
        <v>42798</v>
      </c>
      <c r="E839" s="2">
        <v>0.72916666666666663</v>
      </c>
      <c r="F839" t="s">
        <v>32</v>
      </c>
      <c r="G839" t="s">
        <v>48</v>
      </c>
      <c r="H839">
        <v>1</v>
      </c>
      <c r="I839">
        <v>0</v>
      </c>
      <c r="J839" t="s">
        <v>34</v>
      </c>
      <c r="K839">
        <v>185</v>
      </c>
      <c r="L839">
        <v>371</v>
      </c>
      <c r="M839">
        <v>461</v>
      </c>
      <c r="N839">
        <v>2</v>
      </c>
      <c r="O839">
        <v>374</v>
      </c>
      <c r="P839">
        <v>475</v>
      </c>
      <c r="Q839">
        <v>184</v>
      </c>
      <c r="R839">
        <v>348</v>
      </c>
      <c r="S839">
        <v>423</v>
      </c>
      <c r="T839" t="s">
        <v>31</v>
      </c>
      <c r="U839" t="s">
        <v>31</v>
      </c>
      <c r="V839" t="s">
        <v>31</v>
      </c>
      <c r="W839" t="s">
        <v>31</v>
      </c>
      <c r="X839" t="s">
        <v>31</v>
      </c>
      <c r="Y839" t="s">
        <v>31</v>
      </c>
    </row>
    <row r="840" spans="1:25" hidden="1">
      <c r="A840" t="s">
        <v>25</v>
      </c>
      <c r="B840" t="s">
        <v>26</v>
      </c>
      <c r="C840" t="s">
        <v>47</v>
      </c>
      <c r="D840" s="1">
        <v>42798</v>
      </c>
      <c r="E840" s="2">
        <v>0.72916666666666663</v>
      </c>
      <c r="F840" t="s">
        <v>38</v>
      </c>
      <c r="G840" t="s">
        <v>40</v>
      </c>
      <c r="H840">
        <v>0</v>
      </c>
      <c r="I840">
        <v>3</v>
      </c>
      <c r="J840" t="s">
        <v>30</v>
      </c>
      <c r="K840">
        <v>359</v>
      </c>
      <c r="L840">
        <v>362</v>
      </c>
      <c r="M840">
        <v>213</v>
      </c>
      <c r="N840">
        <v>4</v>
      </c>
      <c r="O840">
        <v>372</v>
      </c>
      <c r="P840">
        <v>219</v>
      </c>
      <c r="Q840">
        <v>354</v>
      </c>
      <c r="R840">
        <v>342</v>
      </c>
      <c r="S840">
        <v>203</v>
      </c>
      <c r="T840" t="s">
        <v>31</v>
      </c>
      <c r="U840" t="s">
        <v>31</v>
      </c>
      <c r="V840" t="s">
        <v>31</v>
      </c>
      <c r="W840" t="s">
        <v>31</v>
      </c>
      <c r="X840" t="s">
        <v>31</v>
      </c>
      <c r="Y840" t="s">
        <v>31</v>
      </c>
    </row>
    <row r="841" spans="1:25" hidden="1">
      <c r="A841" t="s">
        <v>25</v>
      </c>
      <c r="B841" t="s">
        <v>26</v>
      </c>
      <c r="C841" t="s">
        <v>47</v>
      </c>
      <c r="D841" s="1">
        <v>42799</v>
      </c>
      <c r="E841" s="2">
        <v>0.64583333333333337</v>
      </c>
      <c r="F841" t="s">
        <v>35</v>
      </c>
      <c r="G841" t="s">
        <v>29</v>
      </c>
      <c r="H841">
        <v>0</v>
      </c>
      <c r="I841">
        <v>1</v>
      </c>
      <c r="J841" t="s">
        <v>30</v>
      </c>
      <c r="K841">
        <v>392</v>
      </c>
      <c r="L841">
        <v>354</v>
      </c>
      <c r="M841">
        <v>205</v>
      </c>
      <c r="N841">
        <v>4</v>
      </c>
      <c r="O841">
        <v>362</v>
      </c>
      <c r="P841">
        <v>22</v>
      </c>
      <c r="Q841">
        <v>36</v>
      </c>
      <c r="R841">
        <v>337</v>
      </c>
      <c r="S841">
        <v>202</v>
      </c>
      <c r="T841" t="s">
        <v>31</v>
      </c>
      <c r="U841" t="s">
        <v>31</v>
      </c>
      <c r="V841" t="s">
        <v>31</v>
      </c>
      <c r="W841" t="s">
        <v>31</v>
      </c>
      <c r="X841" t="s">
        <v>31</v>
      </c>
      <c r="Y841" t="s">
        <v>31</v>
      </c>
    </row>
    <row r="842" spans="1:25" hidden="1">
      <c r="A842" t="s">
        <v>25</v>
      </c>
      <c r="B842" t="s">
        <v>26</v>
      </c>
      <c r="C842" t="s">
        <v>47</v>
      </c>
      <c r="D842" s="1">
        <v>42805</v>
      </c>
      <c r="E842" s="2">
        <v>0.625</v>
      </c>
      <c r="F842" t="s">
        <v>48</v>
      </c>
      <c r="G842" t="s">
        <v>38</v>
      </c>
      <c r="H842">
        <v>1</v>
      </c>
      <c r="I842">
        <v>0</v>
      </c>
      <c r="J842" t="s">
        <v>34</v>
      </c>
      <c r="K842">
        <v>234</v>
      </c>
      <c r="L842">
        <v>333</v>
      </c>
      <c r="M842">
        <v>336</v>
      </c>
      <c r="N842">
        <v>24</v>
      </c>
      <c r="O842">
        <v>34</v>
      </c>
      <c r="P842">
        <v>336</v>
      </c>
      <c r="Q842">
        <v>228</v>
      </c>
      <c r="R842">
        <v>322</v>
      </c>
      <c r="S842">
        <v>314</v>
      </c>
      <c r="T842" t="s">
        <v>31</v>
      </c>
      <c r="U842" t="s">
        <v>31</v>
      </c>
      <c r="V842" t="s">
        <v>31</v>
      </c>
      <c r="W842" t="s">
        <v>31</v>
      </c>
      <c r="X842" t="s">
        <v>31</v>
      </c>
      <c r="Y842" t="s">
        <v>31</v>
      </c>
    </row>
    <row r="843" spans="1:25" hidden="1">
      <c r="A843" t="s">
        <v>25</v>
      </c>
      <c r="B843" t="s">
        <v>26</v>
      </c>
      <c r="C843" t="s">
        <v>47</v>
      </c>
      <c r="D843" s="1">
        <v>42805</v>
      </c>
      <c r="E843" s="2">
        <v>0.72916666666666663</v>
      </c>
      <c r="F843" t="s">
        <v>37</v>
      </c>
      <c r="G843" t="s">
        <v>29</v>
      </c>
      <c r="H843">
        <v>1</v>
      </c>
      <c r="I843">
        <v>1</v>
      </c>
      <c r="J843" t="s">
        <v>41</v>
      </c>
      <c r="K843">
        <v>791</v>
      </c>
      <c r="L843">
        <v>49</v>
      </c>
      <c r="M843">
        <v>144</v>
      </c>
      <c r="N843">
        <v>892</v>
      </c>
      <c r="O843">
        <v>5</v>
      </c>
      <c r="P843">
        <v>147</v>
      </c>
      <c r="Q843">
        <v>757</v>
      </c>
      <c r="R843">
        <v>455</v>
      </c>
      <c r="S843">
        <v>14</v>
      </c>
      <c r="T843" t="s">
        <v>31</v>
      </c>
      <c r="U843" t="s">
        <v>31</v>
      </c>
      <c r="V843" t="s">
        <v>31</v>
      </c>
      <c r="W843" t="s">
        <v>31</v>
      </c>
      <c r="X843" t="s">
        <v>31</v>
      </c>
      <c r="Y843" t="s">
        <v>31</v>
      </c>
    </row>
    <row r="844" spans="1:25" hidden="1">
      <c r="A844" t="s">
        <v>25</v>
      </c>
      <c r="B844" t="s">
        <v>26</v>
      </c>
      <c r="C844" t="s">
        <v>47</v>
      </c>
      <c r="D844" s="1">
        <v>42805</v>
      </c>
      <c r="E844" s="2">
        <v>0.72916666666666663</v>
      </c>
      <c r="F844" t="s">
        <v>45</v>
      </c>
      <c r="G844" t="s">
        <v>32</v>
      </c>
      <c r="H844">
        <v>3</v>
      </c>
      <c r="I844">
        <v>0</v>
      </c>
      <c r="J844" t="s">
        <v>34</v>
      </c>
      <c r="K844">
        <v>22</v>
      </c>
      <c r="L844">
        <v>333</v>
      </c>
      <c r="M844">
        <v>37</v>
      </c>
      <c r="N844">
        <v>222</v>
      </c>
      <c r="O844">
        <v>35</v>
      </c>
      <c r="P844">
        <v>392</v>
      </c>
      <c r="Q844">
        <v>209</v>
      </c>
      <c r="R844">
        <v>325</v>
      </c>
      <c r="S844">
        <v>356</v>
      </c>
      <c r="T844" t="s">
        <v>31</v>
      </c>
      <c r="U844" t="s">
        <v>31</v>
      </c>
      <c r="V844" t="s">
        <v>31</v>
      </c>
      <c r="W844" t="s">
        <v>31</v>
      </c>
      <c r="X844" t="s">
        <v>31</v>
      </c>
      <c r="Y844" t="s">
        <v>31</v>
      </c>
    </row>
    <row r="845" spans="1:25" hidden="1">
      <c r="A845" t="s">
        <v>25</v>
      </c>
      <c r="B845" t="s">
        <v>26</v>
      </c>
      <c r="C845" t="s">
        <v>47</v>
      </c>
      <c r="D845" s="1">
        <v>42805</v>
      </c>
      <c r="E845" s="2">
        <v>0.72916666666666663</v>
      </c>
      <c r="F845" t="s">
        <v>40</v>
      </c>
      <c r="G845" t="s">
        <v>39</v>
      </c>
      <c r="H845">
        <v>3</v>
      </c>
      <c r="I845">
        <v>0</v>
      </c>
      <c r="J845" t="s">
        <v>34</v>
      </c>
      <c r="K845">
        <v>154</v>
      </c>
      <c r="L845">
        <v>443</v>
      </c>
      <c r="M845">
        <v>667</v>
      </c>
      <c r="N845">
        <v>165</v>
      </c>
      <c r="O845">
        <v>445</v>
      </c>
      <c r="P845">
        <v>71</v>
      </c>
      <c r="Q845">
        <v>152</v>
      </c>
      <c r="R845">
        <v>415</v>
      </c>
      <c r="S845">
        <v>598</v>
      </c>
      <c r="T845" t="s">
        <v>31</v>
      </c>
      <c r="U845" t="s">
        <v>31</v>
      </c>
      <c r="V845" t="s">
        <v>31</v>
      </c>
      <c r="W845" t="s">
        <v>31</v>
      </c>
      <c r="X845" t="s">
        <v>31</v>
      </c>
      <c r="Y845" t="s">
        <v>31</v>
      </c>
    </row>
    <row r="846" spans="1:25" hidden="1">
      <c r="A846" t="s">
        <v>25</v>
      </c>
      <c r="B846" t="s">
        <v>26</v>
      </c>
      <c r="C846" t="s">
        <v>47</v>
      </c>
      <c r="D846" s="1">
        <v>42806</v>
      </c>
      <c r="E846" s="2">
        <v>0.64583333333333337</v>
      </c>
      <c r="F846" t="s">
        <v>28</v>
      </c>
      <c r="G846" t="s">
        <v>35</v>
      </c>
      <c r="H846">
        <v>2</v>
      </c>
      <c r="I846">
        <v>1</v>
      </c>
      <c r="J846" t="s">
        <v>34</v>
      </c>
      <c r="K846">
        <v>281</v>
      </c>
      <c r="L846">
        <v>333</v>
      </c>
      <c r="M846">
        <v>27</v>
      </c>
      <c r="N846">
        <v>282</v>
      </c>
      <c r="O846">
        <v>335</v>
      </c>
      <c r="P846">
        <v>28</v>
      </c>
      <c r="Q846">
        <v>264</v>
      </c>
      <c r="R846">
        <v>32</v>
      </c>
      <c r="S846">
        <v>264</v>
      </c>
      <c r="T846" t="s">
        <v>31</v>
      </c>
      <c r="U846" t="s">
        <v>31</v>
      </c>
      <c r="V846" t="s">
        <v>31</v>
      </c>
      <c r="W846" t="s">
        <v>31</v>
      </c>
      <c r="X846" t="s">
        <v>31</v>
      </c>
      <c r="Y846" t="s">
        <v>31</v>
      </c>
    </row>
    <row r="847" spans="1:25" hidden="1">
      <c r="A847" t="s">
        <v>25</v>
      </c>
      <c r="B847" t="s">
        <v>26</v>
      </c>
      <c r="C847" t="s">
        <v>47</v>
      </c>
      <c r="D847" s="1">
        <v>42812</v>
      </c>
      <c r="E847" s="2">
        <v>0.625</v>
      </c>
      <c r="F847" t="s">
        <v>35</v>
      </c>
      <c r="G847" t="s">
        <v>32</v>
      </c>
      <c r="H847">
        <v>1</v>
      </c>
      <c r="I847">
        <v>1</v>
      </c>
      <c r="J847" t="s">
        <v>41</v>
      </c>
      <c r="K847">
        <v>147</v>
      </c>
      <c r="L847">
        <v>448</v>
      </c>
      <c r="M847">
        <v>832</v>
      </c>
      <c r="N847">
        <v>154</v>
      </c>
      <c r="O847">
        <v>45</v>
      </c>
      <c r="P847">
        <v>832</v>
      </c>
      <c r="Q847">
        <v>147</v>
      </c>
      <c r="R847">
        <v>419</v>
      </c>
      <c r="S847">
        <v>687</v>
      </c>
      <c r="T847" t="s">
        <v>31</v>
      </c>
      <c r="U847" t="s">
        <v>31</v>
      </c>
      <c r="V847" t="s">
        <v>31</v>
      </c>
      <c r="W847" t="s">
        <v>31</v>
      </c>
      <c r="X847" t="s">
        <v>31</v>
      </c>
      <c r="Y847" t="s">
        <v>31</v>
      </c>
    </row>
    <row r="848" spans="1:25" hidden="1">
      <c r="A848" t="s">
        <v>25</v>
      </c>
      <c r="B848" t="s">
        <v>26</v>
      </c>
      <c r="C848" t="s">
        <v>47</v>
      </c>
      <c r="D848" s="1">
        <v>42812</v>
      </c>
      <c r="E848" s="2">
        <v>0.72916666666666663</v>
      </c>
      <c r="F848" t="s">
        <v>39</v>
      </c>
      <c r="G848" t="s">
        <v>48</v>
      </c>
      <c r="H848">
        <v>1</v>
      </c>
      <c r="I848">
        <v>0</v>
      </c>
      <c r="J848" t="s">
        <v>34</v>
      </c>
      <c r="K848">
        <v>212</v>
      </c>
      <c r="L848">
        <v>346</v>
      </c>
      <c r="M848">
        <v>378</v>
      </c>
      <c r="N848">
        <v>216</v>
      </c>
      <c r="O848">
        <v>346</v>
      </c>
      <c r="P848">
        <v>382</v>
      </c>
      <c r="Q848">
        <v>208</v>
      </c>
      <c r="R848">
        <v>328</v>
      </c>
      <c r="S848">
        <v>356</v>
      </c>
      <c r="T848" t="s">
        <v>31</v>
      </c>
      <c r="U848" t="s">
        <v>31</v>
      </c>
      <c r="V848" t="s">
        <v>31</v>
      </c>
      <c r="W848" t="s">
        <v>31</v>
      </c>
      <c r="X848" t="s">
        <v>31</v>
      </c>
      <c r="Y848" t="s">
        <v>31</v>
      </c>
    </row>
    <row r="849" spans="1:25" hidden="1">
      <c r="A849" t="s">
        <v>25</v>
      </c>
      <c r="B849" t="s">
        <v>26</v>
      </c>
      <c r="C849" t="s">
        <v>47</v>
      </c>
      <c r="D849" s="1">
        <v>42812</v>
      </c>
      <c r="E849" s="2">
        <v>0.72916666666666663</v>
      </c>
      <c r="F849" t="s">
        <v>37</v>
      </c>
      <c r="G849" t="s">
        <v>28</v>
      </c>
      <c r="H849">
        <v>1</v>
      </c>
      <c r="I849">
        <v>0</v>
      </c>
      <c r="J849" t="s">
        <v>34</v>
      </c>
      <c r="K849">
        <v>325</v>
      </c>
      <c r="L849">
        <v>336</v>
      </c>
      <c r="M849">
        <v>239</v>
      </c>
      <c r="N849">
        <v>325</v>
      </c>
      <c r="O849">
        <v>336</v>
      </c>
      <c r="P849">
        <v>256</v>
      </c>
      <c r="Q849">
        <v>305</v>
      </c>
      <c r="R849">
        <v>32</v>
      </c>
      <c r="S849">
        <v>234</v>
      </c>
      <c r="T849" t="s">
        <v>31</v>
      </c>
      <c r="U849" t="s">
        <v>31</v>
      </c>
      <c r="V849" t="s">
        <v>31</v>
      </c>
      <c r="W849" t="s">
        <v>31</v>
      </c>
      <c r="X849" t="s">
        <v>31</v>
      </c>
      <c r="Y849" t="s">
        <v>31</v>
      </c>
    </row>
    <row r="850" spans="1:25" hidden="1">
      <c r="A850" t="s">
        <v>25</v>
      </c>
      <c r="B850" t="s">
        <v>26</v>
      </c>
      <c r="C850" t="s">
        <v>47</v>
      </c>
      <c r="D850" s="1">
        <v>42812</v>
      </c>
      <c r="E850" s="2">
        <v>0.72916666666666663</v>
      </c>
      <c r="F850" t="s">
        <v>38</v>
      </c>
      <c r="G850" t="s">
        <v>45</v>
      </c>
      <c r="H850">
        <v>2</v>
      </c>
      <c r="I850">
        <v>0</v>
      </c>
      <c r="J850" t="s">
        <v>34</v>
      </c>
      <c r="K850">
        <v>293</v>
      </c>
      <c r="L850">
        <v>322</v>
      </c>
      <c r="M850">
        <v>268</v>
      </c>
      <c r="N850">
        <v>296</v>
      </c>
      <c r="O850">
        <v>34</v>
      </c>
      <c r="P850">
        <v>278</v>
      </c>
      <c r="Q850">
        <v>28</v>
      </c>
      <c r="R850">
        <v>309</v>
      </c>
      <c r="S850">
        <v>259</v>
      </c>
      <c r="T850" t="s">
        <v>31</v>
      </c>
      <c r="U850" t="s">
        <v>31</v>
      </c>
      <c r="V850" t="s">
        <v>31</v>
      </c>
      <c r="W850" t="s">
        <v>31</v>
      </c>
      <c r="X850" t="s">
        <v>31</v>
      </c>
      <c r="Y850" t="s">
        <v>31</v>
      </c>
    </row>
    <row r="851" spans="1:25" hidden="1">
      <c r="A851" t="s">
        <v>25</v>
      </c>
      <c r="B851" t="s">
        <v>26</v>
      </c>
      <c r="C851" t="s">
        <v>47</v>
      </c>
      <c r="D851" s="1">
        <v>42813</v>
      </c>
      <c r="E851" s="2">
        <v>0.64583333333333337</v>
      </c>
      <c r="F851" t="s">
        <v>29</v>
      </c>
      <c r="G851" t="s">
        <v>40</v>
      </c>
      <c r="H851">
        <v>5</v>
      </c>
      <c r="I851">
        <v>0</v>
      </c>
      <c r="J851" t="s">
        <v>34</v>
      </c>
      <c r="K851">
        <v>142</v>
      </c>
      <c r="L851">
        <v>502</v>
      </c>
      <c r="M851">
        <v>813</v>
      </c>
      <c r="N851">
        <v>145</v>
      </c>
      <c r="O851">
        <v>502</v>
      </c>
      <c r="P851">
        <v>832</v>
      </c>
      <c r="Q851">
        <v>14</v>
      </c>
      <c r="R851">
        <v>466</v>
      </c>
      <c r="S851">
        <v>714</v>
      </c>
      <c r="T851" t="s">
        <v>31</v>
      </c>
      <c r="U851" t="s">
        <v>31</v>
      </c>
      <c r="V851" t="s">
        <v>31</v>
      </c>
      <c r="W851" t="s">
        <v>31</v>
      </c>
      <c r="X851" t="s">
        <v>31</v>
      </c>
      <c r="Y851" t="s">
        <v>31</v>
      </c>
    </row>
    <row r="852" spans="1:25" hidden="1">
      <c r="A852" t="s">
        <v>25</v>
      </c>
      <c r="B852" t="s">
        <v>26</v>
      </c>
      <c r="C852" t="s">
        <v>47</v>
      </c>
      <c r="D852" s="1">
        <v>42826</v>
      </c>
      <c r="E852" s="2">
        <v>0.625</v>
      </c>
      <c r="F852" t="s">
        <v>48</v>
      </c>
      <c r="G852" t="s">
        <v>35</v>
      </c>
      <c r="H852">
        <v>1</v>
      </c>
      <c r="I852">
        <v>1</v>
      </c>
      <c r="J852" t="s">
        <v>41</v>
      </c>
      <c r="K852">
        <v>536</v>
      </c>
      <c r="L852">
        <v>408</v>
      </c>
      <c r="M852">
        <v>168</v>
      </c>
      <c r="N852">
        <v>566</v>
      </c>
      <c r="O852">
        <v>408</v>
      </c>
      <c r="P852">
        <v>18</v>
      </c>
      <c r="Q852">
        <v>516</v>
      </c>
      <c r="R852">
        <v>375</v>
      </c>
      <c r="S852">
        <v>165</v>
      </c>
      <c r="T852" t="s">
        <v>31</v>
      </c>
      <c r="U852" t="s">
        <v>31</v>
      </c>
      <c r="V852" t="s">
        <v>31</v>
      </c>
      <c r="W852" t="s">
        <v>31</v>
      </c>
      <c r="X852" t="s">
        <v>31</v>
      </c>
      <c r="Y852" t="s">
        <v>31</v>
      </c>
    </row>
    <row r="853" spans="1:25" hidden="1">
      <c r="A853" t="s">
        <v>25</v>
      </c>
      <c r="B853" t="s">
        <v>26</v>
      </c>
      <c r="C853" t="s">
        <v>47</v>
      </c>
      <c r="D853" s="1">
        <v>42826</v>
      </c>
      <c r="E853" s="2">
        <v>0.72916666666666663</v>
      </c>
      <c r="F853" t="s">
        <v>40</v>
      </c>
      <c r="G853" t="s">
        <v>37</v>
      </c>
      <c r="H853">
        <v>0</v>
      </c>
      <c r="I853">
        <v>2</v>
      </c>
      <c r="J853" t="s">
        <v>30</v>
      </c>
      <c r="K853">
        <v>163</v>
      </c>
      <c r="L853">
        <v>428</v>
      </c>
      <c r="M853">
        <v>559</v>
      </c>
      <c r="N853">
        <v>167</v>
      </c>
      <c r="O853">
        <v>428</v>
      </c>
      <c r="P853">
        <v>6</v>
      </c>
      <c r="Q853">
        <v>159</v>
      </c>
      <c r="R853">
        <v>397</v>
      </c>
      <c r="S853">
        <v>537</v>
      </c>
      <c r="T853" t="s">
        <v>31</v>
      </c>
      <c r="U853" t="s">
        <v>31</v>
      </c>
      <c r="V853" t="s">
        <v>31</v>
      </c>
      <c r="W853" t="s">
        <v>31</v>
      </c>
      <c r="X853" t="s">
        <v>31</v>
      </c>
      <c r="Y853" t="s">
        <v>31</v>
      </c>
    </row>
    <row r="854" spans="1:25" hidden="1">
      <c r="A854" t="s">
        <v>25</v>
      </c>
      <c r="B854" t="s">
        <v>26</v>
      </c>
      <c r="C854" t="s">
        <v>47</v>
      </c>
      <c r="D854" s="1">
        <v>42826</v>
      </c>
      <c r="E854" s="2">
        <v>0.72916666666666663</v>
      </c>
      <c r="F854" t="s">
        <v>32</v>
      </c>
      <c r="G854" t="s">
        <v>38</v>
      </c>
      <c r="H854">
        <v>2</v>
      </c>
      <c r="I854">
        <v>1</v>
      </c>
      <c r="J854" t="s">
        <v>34</v>
      </c>
      <c r="K854">
        <v>212</v>
      </c>
      <c r="L854">
        <v>354</v>
      </c>
      <c r="M854">
        <v>37</v>
      </c>
      <c r="N854">
        <v>212</v>
      </c>
      <c r="O854">
        <v>354</v>
      </c>
      <c r="P854">
        <v>406</v>
      </c>
      <c r="Q854">
        <v>202</v>
      </c>
      <c r="R854">
        <v>33</v>
      </c>
      <c r="S854">
        <v>372</v>
      </c>
      <c r="T854" t="s">
        <v>31</v>
      </c>
      <c r="U854" t="s">
        <v>31</v>
      </c>
      <c r="V854" t="s">
        <v>31</v>
      </c>
      <c r="W854" t="s">
        <v>31</v>
      </c>
      <c r="X854" t="s">
        <v>31</v>
      </c>
      <c r="Y854" t="s">
        <v>31</v>
      </c>
    </row>
    <row r="855" spans="1:25" hidden="1">
      <c r="A855" t="s">
        <v>25</v>
      </c>
      <c r="B855" t="s">
        <v>26</v>
      </c>
      <c r="C855" t="s">
        <v>47</v>
      </c>
      <c r="D855" s="1">
        <v>42826</v>
      </c>
      <c r="E855" s="2">
        <v>0.72916666666666663</v>
      </c>
      <c r="F855" t="s">
        <v>28</v>
      </c>
      <c r="G855" t="s">
        <v>39</v>
      </c>
      <c r="H855">
        <v>4</v>
      </c>
      <c r="I855">
        <v>0</v>
      </c>
      <c r="J855" t="s">
        <v>34</v>
      </c>
      <c r="K855">
        <v>189</v>
      </c>
      <c r="L855">
        <v>351</v>
      </c>
      <c r="M855">
        <v>466</v>
      </c>
      <c r="N855">
        <v>191</v>
      </c>
      <c r="O855">
        <v>37</v>
      </c>
      <c r="P855">
        <v>54</v>
      </c>
      <c r="Q855">
        <v>181</v>
      </c>
      <c r="R855">
        <v>343</v>
      </c>
      <c r="S855">
        <v>451</v>
      </c>
      <c r="T855" t="s">
        <v>31</v>
      </c>
      <c r="U855" t="s">
        <v>31</v>
      </c>
      <c r="V855" t="s">
        <v>31</v>
      </c>
      <c r="W855" t="s">
        <v>31</v>
      </c>
      <c r="X855" t="s">
        <v>31</v>
      </c>
      <c r="Y855" t="s">
        <v>31</v>
      </c>
    </row>
    <row r="856" spans="1:25" hidden="1">
      <c r="A856" t="s">
        <v>25</v>
      </c>
      <c r="B856" t="s">
        <v>26</v>
      </c>
      <c r="C856" t="s">
        <v>47</v>
      </c>
      <c r="D856" s="1">
        <v>42827</v>
      </c>
      <c r="E856" s="2">
        <v>0.64583333333333337</v>
      </c>
      <c r="F856" t="s">
        <v>45</v>
      </c>
      <c r="G856" t="s">
        <v>29</v>
      </c>
      <c r="H856">
        <v>0</v>
      </c>
      <c r="I856">
        <v>5</v>
      </c>
      <c r="J856" t="s">
        <v>30</v>
      </c>
      <c r="K856">
        <v>608</v>
      </c>
      <c r="L856">
        <v>401</v>
      </c>
      <c r="M856">
        <v>164</v>
      </c>
      <c r="N856">
        <v>634</v>
      </c>
      <c r="O856">
        <v>401</v>
      </c>
      <c r="P856">
        <v>168</v>
      </c>
      <c r="Q856">
        <v>571</v>
      </c>
      <c r="R856">
        <v>378</v>
      </c>
      <c r="S856">
        <v>16</v>
      </c>
      <c r="T856" t="s">
        <v>31</v>
      </c>
      <c r="U856" t="s">
        <v>31</v>
      </c>
      <c r="V856" t="s">
        <v>31</v>
      </c>
      <c r="W856" t="s">
        <v>31</v>
      </c>
      <c r="X856" t="s">
        <v>31</v>
      </c>
      <c r="Y856" t="s">
        <v>31</v>
      </c>
    </row>
    <row r="857" spans="1:25" hidden="1">
      <c r="A857" t="s">
        <v>25</v>
      </c>
      <c r="B857" t="s">
        <v>26</v>
      </c>
      <c r="C857" t="s">
        <v>47</v>
      </c>
      <c r="D857" s="1">
        <v>42833</v>
      </c>
      <c r="E857" s="2">
        <v>0.625</v>
      </c>
      <c r="F857" t="s">
        <v>38</v>
      </c>
      <c r="G857" t="s">
        <v>35</v>
      </c>
      <c r="H857">
        <v>3</v>
      </c>
      <c r="I857">
        <v>0</v>
      </c>
      <c r="J857" t="s">
        <v>34</v>
      </c>
      <c r="K857">
        <v>451</v>
      </c>
      <c r="L857">
        <v>369</v>
      </c>
      <c r="M857">
        <v>188</v>
      </c>
      <c r="N857">
        <v>455</v>
      </c>
      <c r="O857">
        <v>372</v>
      </c>
      <c r="P857">
        <v>195</v>
      </c>
      <c r="Q857">
        <v>414</v>
      </c>
      <c r="R857">
        <v>345</v>
      </c>
      <c r="S857">
        <v>187</v>
      </c>
      <c r="T857" t="s">
        <v>31</v>
      </c>
      <c r="U857" t="s">
        <v>31</v>
      </c>
      <c r="V857" t="s">
        <v>31</v>
      </c>
      <c r="W857" t="s">
        <v>31</v>
      </c>
      <c r="X857" t="s">
        <v>31</v>
      </c>
      <c r="Y857" t="s">
        <v>31</v>
      </c>
    </row>
    <row r="858" spans="1:25" hidden="1">
      <c r="A858" t="s">
        <v>25</v>
      </c>
      <c r="B858" t="s">
        <v>26</v>
      </c>
      <c r="C858" t="s">
        <v>47</v>
      </c>
      <c r="D858" s="1">
        <v>42833</v>
      </c>
      <c r="E858" s="2">
        <v>0.72916666666666663</v>
      </c>
      <c r="F858" t="s">
        <v>39</v>
      </c>
      <c r="G858" t="s">
        <v>45</v>
      </c>
      <c r="H858">
        <v>0</v>
      </c>
      <c r="I858">
        <v>0</v>
      </c>
      <c r="J858" t="s">
        <v>41</v>
      </c>
      <c r="K858">
        <v>293</v>
      </c>
      <c r="L858">
        <v>313</v>
      </c>
      <c r="M858">
        <v>275</v>
      </c>
      <c r="N858">
        <v>293</v>
      </c>
      <c r="O858">
        <v>33</v>
      </c>
      <c r="P858">
        <v>29</v>
      </c>
      <c r="Q858">
        <v>272</v>
      </c>
      <c r="R858">
        <v>305</v>
      </c>
      <c r="S858">
        <v>269</v>
      </c>
      <c r="T858" t="s">
        <v>31</v>
      </c>
      <c r="U858" t="s">
        <v>31</v>
      </c>
      <c r="V858" t="s">
        <v>31</v>
      </c>
      <c r="W858" t="s">
        <v>31</v>
      </c>
      <c r="X858" t="s">
        <v>31</v>
      </c>
      <c r="Y858" t="s">
        <v>31</v>
      </c>
    </row>
    <row r="859" spans="1:25" hidden="1">
      <c r="A859" t="s">
        <v>25</v>
      </c>
      <c r="B859" t="s">
        <v>26</v>
      </c>
      <c r="C859" t="s">
        <v>47</v>
      </c>
      <c r="D859" s="1">
        <v>42833</v>
      </c>
      <c r="E859" s="2">
        <v>0.72916666666666663</v>
      </c>
      <c r="F859" t="s">
        <v>37</v>
      </c>
      <c r="G859" t="s">
        <v>32</v>
      </c>
      <c r="H859">
        <v>0</v>
      </c>
      <c r="I859">
        <v>2</v>
      </c>
      <c r="J859" t="s">
        <v>30</v>
      </c>
      <c r="K859">
        <v>227</v>
      </c>
      <c r="L859">
        <v>344</v>
      </c>
      <c r="M859">
        <v>342</v>
      </c>
      <c r="N859">
        <v>234</v>
      </c>
      <c r="O859">
        <v>344</v>
      </c>
      <c r="P859">
        <v>347</v>
      </c>
      <c r="Q859">
        <v>222</v>
      </c>
      <c r="R859">
        <v>324</v>
      </c>
      <c r="S859">
        <v>325</v>
      </c>
      <c r="T859" t="s">
        <v>31</v>
      </c>
      <c r="U859" t="s">
        <v>31</v>
      </c>
      <c r="V859" t="s">
        <v>31</v>
      </c>
      <c r="W859" t="s">
        <v>31</v>
      </c>
      <c r="X859" t="s">
        <v>31</v>
      </c>
      <c r="Y859" t="s">
        <v>31</v>
      </c>
    </row>
    <row r="860" spans="1:25" hidden="1">
      <c r="A860" t="s">
        <v>25</v>
      </c>
      <c r="B860" t="s">
        <v>26</v>
      </c>
      <c r="C860" t="s">
        <v>47</v>
      </c>
      <c r="D860" s="1">
        <v>42833</v>
      </c>
      <c r="E860" s="2">
        <v>0.72916666666666663</v>
      </c>
      <c r="F860" t="s">
        <v>40</v>
      </c>
      <c r="G860" t="s">
        <v>48</v>
      </c>
      <c r="H860">
        <v>1</v>
      </c>
      <c r="I860">
        <v>2</v>
      </c>
      <c r="J860" t="s">
        <v>30</v>
      </c>
      <c r="K860">
        <v>142</v>
      </c>
      <c r="L860">
        <v>501</v>
      </c>
      <c r="M860">
        <v>84</v>
      </c>
      <c r="N860">
        <v>152</v>
      </c>
      <c r="O860">
        <v>501</v>
      </c>
      <c r="P860">
        <v>84</v>
      </c>
      <c r="Q860">
        <v>144</v>
      </c>
      <c r="R860">
        <v>439</v>
      </c>
      <c r="S860">
        <v>696</v>
      </c>
      <c r="T860" t="s">
        <v>31</v>
      </c>
      <c r="U860" t="s">
        <v>31</v>
      </c>
      <c r="V860" t="s">
        <v>31</v>
      </c>
      <c r="W860" t="s">
        <v>31</v>
      </c>
      <c r="X860" t="s">
        <v>31</v>
      </c>
      <c r="Y860" t="s">
        <v>31</v>
      </c>
    </row>
    <row r="861" spans="1:25" hidden="1">
      <c r="A861" t="s">
        <v>25</v>
      </c>
      <c r="B861" t="s">
        <v>26</v>
      </c>
      <c r="C861" t="s">
        <v>47</v>
      </c>
      <c r="D861" s="1">
        <v>42834</v>
      </c>
      <c r="E861" s="2">
        <v>0.64583333333333337</v>
      </c>
      <c r="F861" t="s">
        <v>29</v>
      </c>
      <c r="G861" t="s">
        <v>28</v>
      </c>
      <c r="H861">
        <v>1</v>
      </c>
      <c r="I861">
        <v>0</v>
      </c>
      <c r="J861" t="s">
        <v>34</v>
      </c>
      <c r="K861">
        <v>132</v>
      </c>
      <c r="L861">
        <v>556</v>
      </c>
      <c r="M861">
        <v>116</v>
      </c>
      <c r="N861">
        <v>139</v>
      </c>
      <c r="O861">
        <v>556</v>
      </c>
      <c r="P861">
        <v>116</v>
      </c>
      <c r="Q861">
        <v>134</v>
      </c>
      <c r="R861">
        <v>476</v>
      </c>
      <c r="S861">
        <v>896</v>
      </c>
      <c r="T861" t="s">
        <v>31</v>
      </c>
      <c r="U861" t="s">
        <v>31</v>
      </c>
      <c r="V861" t="s">
        <v>31</v>
      </c>
      <c r="W861" t="s">
        <v>31</v>
      </c>
      <c r="X861" t="s">
        <v>31</v>
      </c>
      <c r="Y861" t="s">
        <v>31</v>
      </c>
    </row>
    <row r="862" spans="1:25" hidden="1">
      <c r="A862" t="s">
        <v>25</v>
      </c>
      <c r="B862" t="s">
        <v>26</v>
      </c>
      <c r="C862" t="s">
        <v>47</v>
      </c>
      <c r="D862" s="1">
        <v>42840</v>
      </c>
      <c r="E862" s="2">
        <v>0.625</v>
      </c>
      <c r="F862" t="s">
        <v>39</v>
      </c>
      <c r="G862" t="s">
        <v>29</v>
      </c>
      <c r="H862">
        <v>0</v>
      </c>
      <c r="I862">
        <v>2</v>
      </c>
      <c r="J862" t="s">
        <v>30</v>
      </c>
      <c r="K862">
        <v>82</v>
      </c>
      <c r="L862">
        <v>462</v>
      </c>
      <c r="M862">
        <v>146</v>
      </c>
      <c r="N862">
        <v>85</v>
      </c>
      <c r="O862">
        <v>48</v>
      </c>
      <c r="P862">
        <v>148</v>
      </c>
      <c r="Q862">
        <v>764</v>
      </c>
      <c r="R862">
        <v>431</v>
      </c>
      <c r="S862">
        <v>142</v>
      </c>
      <c r="T862" t="s">
        <v>31</v>
      </c>
      <c r="U862" t="s">
        <v>31</v>
      </c>
      <c r="V862" t="s">
        <v>31</v>
      </c>
      <c r="W862" t="s">
        <v>31</v>
      </c>
      <c r="X862" t="s">
        <v>31</v>
      </c>
      <c r="Y862" t="s">
        <v>31</v>
      </c>
    </row>
    <row r="863" spans="1:25" hidden="1">
      <c r="A863" t="s">
        <v>25</v>
      </c>
      <c r="B863" t="s">
        <v>26</v>
      </c>
      <c r="C863" t="s">
        <v>47</v>
      </c>
      <c r="D863" s="1">
        <v>42840</v>
      </c>
      <c r="E863" s="2">
        <v>0.72916666666666663</v>
      </c>
      <c r="F863" t="s">
        <v>37</v>
      </c>
      <c r="G863" t="s">
        <v>48</v>
      </c>
      <c r="H863">
        <v>2</v>
      </c>
      <c r="I863">
        <v>0</v>
      </c>
      <c r="J863" t="s">
        <v>34</v>
      </c>
      <c r="K863">
        <v>262</v>
      </c>
      <c r="L863">
        <v>347</v>
      </c>
      <c r="M863">
        <v>282</v>
      </c>
      <c r="N863">
        <v>262</v>
      </c>
      <c r="O863">
        <v>347</v>
      </c>
      <c r="P863">
        <v>34</v>
      </c>
      <c r="Q863">
        <v>246</v>
      </c>
      <c r="R863">
        <v>331</v>
      </c>
      <c r="S863">
        <v>281</v>
      </c>
      <c r="T863" t="s">
        <v>31</v>
      </c>
      <c r="U863" t="s">
        <v>31</v>
      </c>
      <c r="V863" t="s">
        <v>31</v>
      </c>
      <c r="W863" t="s">
        <v>31</v>
      </c>
      <c r="X863" t="s">
        <v>31</v>
      </c>
      <c r="Y863" t="s">
        <v>31</v>
      </c>
    </row>
    <row r="864" spans="1:25" hidden="1">
      <c r="A864" t="s">
        <v>25</v>
      </c>
      <c r="B864" t="s">
        <v>26</v>
      </c>
      <c r="C864" t="s">
        <v>47</v>
      </c>
      <c r="D864" s="1">
        <v>42840</v>
      </c>
      <c r="E864" s="2">
        <v>0.72916666666666663</v>
      </c>
      <c r="F864" t="s">
        <v>35</v>
      </c>
      <c r="G864" t="s">
        <v>45</v>
      </c>
      <c r="H864">
        <v>3</v>
      </c>
      <c r="I864">
        <v>0</v>
      </c>
      <c r="J864" t="s">
        <v>34</v>
      </c>
      <c r="K864">
        <v>169</v>
      </c>
      <c r="L864">
        <v>383</v>
      </c>
      <c r="M864">
        <v>583</v>
      </c>
      <c r="N864">
        <v>173</v>
      </c>
      <c r="O864">
        <v>395</v>
      </c>
      <c r="P864">
        <v>59</v>
      </c>
      <c r="Q864">
        <v>167</v>
      </c>
      <c r="R864">
        <v>366</v>
      </c>
      <c r="S864">
        <v>519</v>
      </c>
      <c r="T864" t="s">
        <v>31</v>
      </c>
      <c r="U864" t="s">
        <v>31</v>
      </c>
      <c r="V864" t="s">
        <v>31</v>
      </c>
      <c r="W864" t="s">
        <v>31</v>
      </c>
      <c r="X864" t="s">
        <v>31</v>
      </c>
      <c r="Y864" t="s">
        <v>31</v>
      </c>
    </row>
    <row r="865" spans="1:25" hidden="1">
      <c r="A865" t="s">
        <v>25</v>
      </c>
      <c r="B865" t="s">
        <v>26</v>
      </c>
      <c r="C865" t="s">
        <v>47</v>
      </c>
      <c r="D865" s="1">
        <v>42840</v>
      </c>
      <c r="E865" s="2">
        <v>0.72916666666666663</v>
      </c>
      <c r="F865" t="s">
        <v>28</v>
      </c>
      <c r="G865" t="s">
        <v>38</v>
      </c>
      <c r="H865">
        <v>1</v>
      </c>
      <c r="I865">
        <v>0</v>
      </c>
      <c r="J865" t="s">
        <v>34</v>
      </c>
      <c r="K865">
        <v>161</v>
      </c>
      <c r="L865">
        <v>417</v>
      </c>
      <c r="M865">
        <v>61</v>
      </c>
      <c r="N865">
        <v>17</v>
      </c>
      <c r="O865">
        <v>425</v>
      </c>
      <c r="P865">
        <v>65</v>
      </c>
      <c r="Q865">
        <v>159</v>
      </c>
      <c r="R865">
        <v>386</v>
      </c>
      <c r="S865">
        <v>564</v>
      </c>
      <c r="T865" t="s">
        <v>31</v>
      </c>
      <c r="U865" t="s">
        <v>31</v>
      </c>
      <c r="V865" t="s">
        <v>31</v>
      </c>
      <c r="W865" t="s">
        <v>31</v>
      </c>
      <c r="X865" t="s">
        <v>31</v>
      </c>
      <c r="Y865" t="s">
        <v>31</v>
      </c>
    </row>
    <row r="866" spans="1:25" hidden="1">
      <c r="A866" t="s">
        <v>25</v>
      </c>
      <c r="B866" t="s">
        <v>26</v>
      </c>
      <c r="C866" t="s">
        <v>47</v>
      </c>
      <c r="D866" s="1">
        <v>42841</v>
      </c>
      <c r="E866" s="2">
        <v>0.58333333333333337</v>
      </c>
      <c r="F866" t="s">
        <v>32</v>
      </c>
      <c r="G866" t="s">
        <v>40</v>
      </c>
      <c r="H866">
        <v>0</v>
      </c>
      <c r="I866">
        <v>3</v>
      </c>
      <c r="J866" t="s">
        <v>30</v>
      </c>
      <c r="K866">
        <v>342</v>
      </c>
      <c r="L866">
        <v>342</v>
      </c>
      <c r="M866">
        <v>227</v>
      </c>
      <c r="N866">
        <v>342</v>
      </c>
      <c r="O866">
        <v>349</v>
      </c>
      <c r="P866">
        <v>24</v>
      </c>
      <c r="Q866">
        <v>309</v>
      </c>
      <c r="R866">
        <v>33</v>
      </c>
      <c r="S866">
        <v>227</v>
      </c>
      <c r="T866" t="s">
        <v>31</v>
      </c>
      <c r="U866" t="s">
        <v>31</v>
      </c>
      <c r="V866" t="s">
        <v>31</v>
      </c>
      <c r="W866" t="s">
        <v>31</v>
      </c>
      <c r="X866" t="s">
        <v>31</v>
      </c>
      <c r="Y866" t="s">
        <v>31</v>
      </c>
    </row>
    <row r="867" spans="1:25" hidden="1">
      <c r="A867" t="s">
        <v>25</v>
      </c>
      <c r="B867" t="s">
        <v>26</v>
      </c>
      <c r="C867" t="s">
        <v>47</v>
      </c>
      <c r="D867" s="1">
        <v>42847</v>
      </c>
      <c r="E867" s="2">
        <v>0.625</v>
      </c>
      <c r="F867" t="s">
        <v>28</v>
      </c>
      <c r="G867" t="s">
        <v>32</v>
      </c>
      <c r="H867">
        <v>0</v>
      </c>
      <c r="I867">
        <v>2</v>
      </c>
      <c r="J867" t="s">
        <v>30</v>
      </c>
      <c r="K867">
        <v>188</v>
      </c>
      <c r="L867">
        <v>361</v>
      </c>
      <c r="M867">
        <v>464</v>
      </c>
      <c r="N867">
        <v>189</v>
      </c>
      <c r="O867">
        <v>39</v>
      </c>
      <c r="P867">
        <v>56</v>
      </c>
      <c r="Q867">
        <v>182</v>
      </c>
      <c r="R867">
        <v>351</v>
      </c>
      <c r="S867">
        <v>435</v>
      </c>
      <c r="T867" t="s">
        <v>31</v>
      </c>
      <c r="U867" t="s">
        <v>31</v>
      </c>
      <c r="V867" t="s">
        <v>31</v>
      </c>
      <c r="W867" t="s">
        <v>31</v>
      </c>
      <c r="X867" t="s">
        <v>31</v>
      </c>
      <c r="Y867" t="s">
        <v>31</v>
      </c>
    </row>
    <row r="868" spans="1:25" hidden="1">
      <c r="A868" t="s">
        <v>25</v>
      </c>
      <c r="B868" t="s">
        <v>26</v>
      </c>
      <c r="C868" t="s">
        <v>47</v>
      </c>
      <c r="D868" s="1">
        <v>42847</v>
      </c>
      <c r="E868" s="2">
        <v>0.72916666666666663</v>
      </c>
      <c r="F868" t="s">
        <v>45</v>
      </c>
      <c r="G868" t="s">
        <v>37</v>
      </c>
      <c r="H868">
        <v>0</v>
      </c>
      <c r="I868">
        <v>0</v>
      </c>
      <c r="J868" t="s">
        <v>41</v>
      </c>
      <c r="K868">
        <v>163</v>
      </c>
      <c r="L868">
        <v>386</v>
      </c>
      <c r="M868">
        <v>655</v>
      </c>
      <c r="N868">
        <v>175</v>
      </c>
      <c r="O868">
        <v>39</v>
      </c>
      <c r="P868">
        <v>67</v>
      </c>
      <c r="Q868">
        <v>161</v>
      </c>
      <c r="R868">
        <v>368</v>
      </c>
      <c r="S868">
        <v>579</v>
      </c>
      <c r="T868" t="s">
        <v>31</v>
      </c>
      <c r="U868" t="s">
        <v>31</v>
      </c>
      <c r="V868" t="s">
        <v>31</v>
      </c>
      <c r="W868" t="s">
        <v>31</v>
      </c>
      <c r="X868" t="s">
        <v>31</v>
      </c>
      <c r="Y868" t="s">
        <v>31</v>
      </c>
    </row>
    <row r="869" spans="1:25" hidden="1">
      <c r="A869" t="s">
        <v>25</v>
      </c>
      <c r="B869" t="s">
        <v>26</v>
      </c>
      <c r="C869" t="s">
        <v>47</v>
      </c>
      <c r="D869" s="1">
        <v>42847</v>
      </c>
      <c r="E869" s="2">
        <v>0.72916666666666663</v>
      </c>
      <c r="F869" t="s">
        <v>38</v>
      </c>
      <c r="G869" t="s">
        <v>39</v>
      </c>
      <c r="H869">
        <v>1</v>
      </c>
      <c r="I869">
        <v>1</v>
      </c>
      <c r="J869" t="s">
        <v>41</v>
      </c>
      <c r="K869">
        <v>219</v>
      </c>
      <c r="L869">
        <v>336</v>
      </c>
      <c r="M869">
        <v>376</v>
      </c>
      <c r="N869">
        <v>22</v>
      </c>
      <c r="O869">
        <v>34</v>
      </c>
      <c r="P869">
        <v>385</v>
      </c>
      <c r="Q869">
        <v>211</v>
      </c>
      <c r="R869">
        <v>323</v>
      </c>
      <c r="S869">
        <v>355</v>
      </c>
      <c r="T869" t="s">
        <v>31</v>
      </c>
      <c r="U869" t="s">
        <v>31</v>
      </c>
      <c r="V869" t="s">
        <v>31</v>
      </c>
      <c r="W869" t="s">
        <v>31</v>
      </c>
      <c r="X869" t="s">
        <v>31</v>
      </c>
      <c r="Y869" t="s">
        <v>31</v>
      </c>
    </row>
    <row r="870" spans="1:25" hidden="1">
      <c r="A870" t="s">
        <v>25</v>
      </c>
      <c r="B870" t="s">
        <v>26</v>
      </c>
      <c r="C870" t="s">
        <v>47</v>
      </c>
      <c r="D870" s="1">
        <v>42847</v>
      </c>
      <c r="E870" s="2">
        <v>0.72916666666666663</v>
      </c>
      <c r="F870" t="s">
        <v>48</v>
      </c>
      <c r="G870" t="s">
        <v>29</v>
      </c>
      <c r="H870">
        <v>1</v>
      </c>
      <c r="I870">
        <v>2</v>
      </c>
      <c r="J870" t="s">
        <v>30</v>
      </c>
      <c r="K870">
        <v>1079</v>
      </c>
      <c r="L870">
        <v>539</v>
      </c>
      <c r="M870">
        <v>134</v>
      </c>
      <c r="N870">
        <v>11</v>
      </c>
      <c r="O870">
        <v>55</v>
      </c>
      <c r="P870">
        <v>136</v>
      </c>
      <c r="Q870">
        <v>971</v>
      </c>
      <c r="R870">
        <v>496</v>
      </c>
      <c r="S870">
        <v>132</v>
      </c>
      <c r="T870" t="s">
        <v>31</v>
      </c>
      <c r="U870" t="s">
        <v>31</v>
      </c>
      <c r="V870" t="s">
        <v>31</v>
      </c>
      <c r="W870" t="s">
        <v>31</v>
      </c>
      <c r="X870" t="s">
        <v>31</v>
      </c>
      <c r="Y870" t="s">
        <v>31</v>
      </c>
    </row>
    <row r="871" spans="1:25" hidden="1">
      <c r="A871" t="s">
        <v>25</v>
      </c>
      <c r="B871" t="s">
        <v>26</v>
      </c>
      <c r="C871" t="s">
        <v>47</v>
      </c>
      <c r="D871" s="1">
        <v>42848</v>
      </c>
      <c r="E871" s="2">
        <v>0.64583333333333337</v>
      </c>
      <c r="F871" t="s">
        <v>35</v>
      </c>
      <c r="G871" t="s">
        <v>40</v>
      </c>
      <c r="H871">
        <v>0</v>
      </c>
      <c r="I871">
        <v>2</v>
      </c>
      <c r="J871" t="s">
        <v>30</v>
      </c>
      <c r="K871">
        <v>195</v>
      </c>
      <c r="L871">
        <v>356</v>
      </c>
      <c r="M871">
        <v>429</v>
      </c>
      <c r="N871">
        <v>21</v>
      </c>
      <c r="O871">
        <v>36</v>
      </c>
      <c r="P871">
        <v>44</v>
      </c>
      <c r="Q871">
        <v>194</v>
      </c>
      <c r="R871">
        <v>345</v>
      </c>
      <c r="S871">
        <v>385</v>
      </c>
      <c r="T871" t="s">
        <v>31</v>
      </c>
      <c r="U871" t="s">
        <v>31</v>
      </c>
      <c r="V871" t="s">
        <v>31</v>
      </c>
      <c r="W871" t="s">
        <v>31</v>
      </c>
      <c r="X871" t="s">
        <v>31</v>
      </c>
      <c r="Y871" t="s">
        <v>31</v>
      </c>
    </row>
    <row r="872" spans="1:25" hidden="1">
      <c r="A872" t="s">
        <v>25</v>
      </c>
      <c r="B872" t="s">
        <v>26</v>
      </c>
      <c r="C872" t="s">
        <v>47</v>
      </c>
      <c r="D872" s="1">
        <v>42854</v>
      </c>
      <c r="E872" s="2">
        <v>0.625</v>
      </c>
      <c r="F872" t="s">
        <v>40</v>
      </c>
      <c r="G872" t="s">
        <v>28</v>
      </c>
      <c r="H872">
        <v>4</v>
      </c>
      <c r="I872">
        <v>1</v>
      </c>
      <c r="J872" t="s">
        <v>34</v>
      </c>
      <c r="K872">
        <v>212</v>
      </c>
      <c r="L872">
        <v>336</v>
      </c>
      <c r="M872">
        <v>392</v>
      </c>
      <c r="N872">
        <v>216</v>
      </c>
      <c r="O872">
        <v>34</v>
      </c>
      <c r="P872">
        <v>392</v>
      </c>
      <c r="Q872">
        <v>207</v>
      </c>
      <c r="R872">
        <v>326</v>
      </c>
      <c r="S872">
        <v>36</v>
      </c>
      <c r="T872" t="s">
        <v>31</v>
      </c>
      <c r="U872" t="s">
        <v>31</v>
      </c>
      <c r="V872" t="s">
        <v>31</v>
      </c>
      <c r="W872" t="s">
        <v>31</v>
      </c>
      <c r="X872" t="s">
        <v>31</v>
      </c>
      <c r="Y872" t="s">
        <v>31</v>
      </c>
    </row>
    <row r="873" spans="1:25" hidden="1">
      <c r="A873" t="s">
        <v>25</v>
      </c>
      <c r="B873" t="s">
        <v>26</v>
      </c>
      <c r="C873" t="s">
        <v>47</v>
      </c>
      <c r="D873" s="1">
        <v>42854</v>
      </c>
      <c r="E873" s="2">
        <v>0.72916666666666663</v>
      </c>
      <c r="F873" t="s">
        <v>39</v>
      </c>
      <c r="G873" t="s">
        <v>32</v>
      </c>
      <c r="H873">
        <v>2</v>
      </c>
      <c r="I873">
        <v>2</v>
      </c>
      <c r="J873" t="s">
        <v>41</v>
      </c>
      <c r="K873">
        <v>273</v>
      </c>
      <c r="L873">
        <v>328</v>
      </c>
      <c r="M873">
        <v>282</v>
      </c>
      <c r="N873">
        <v>273</v>
      </c>
      <c r="O873">
        <v>34</v>
      </c>
      <c r="P873">
        <v>3</v>
      </c>
      <c r="Q873">
        <v>259</v>
      </c>
      <c r="R873">
        <v>314</v>
      </c>
      <c r="S873">
        <v>276</v>
      </c>
      <c r="T873" t="s">
        <v>31</v>
      </c>
      <c r="U873" t="s">
        <v>31</v>
      </c>
      <c r="V873" t="s">
        <v>31</v>
      </c>
      <c r="W873" t="s">
        <v>31</v>
      </c>
      <c r="X873" t="s">
        <v>31</v>
      </c>
      <c r="Y873" t="s">
        <v>31</v>
      </c>
    </row>
    <row r="874" spans="1:25" hidden="1">
      <c r="A874" t="s">
        <v>25</v>
      </c>
      <c r="B874" t="s">
        <v>26</v>
      </c>
      <c r="C874" t="s">
        <v>47</v>
      </c>
      <c r="D874" s="1">
        <v>42854</v>
      </c>
      <c r="E874" s="2">
        <v>0.72916666666666663</v>
      </c>
      <c r="F874" t="s">
        <v>29</v>
      </c>
      <c r="G874" t="s">
        <v>38</v>
      </c>
      <c r="H874">
        <v>1</v>
      </c>
      <c r="I874">
        <v>1</v>
      </c>
      <c r="J874" t="s">
        <v>41</v>
      </c>
      <c r="K874">
        <v>123</v>
      </c>
      <c r="L874">
        <v>678</v>
      </c>
      <c r="M874">
        <v>1538</v>
      </c>
      <c r="N874">
        <v>124</v>
      </c>
      <c r="O874">
        <v>71</v>
      </c>
      <c r="P874">
        <v>17</v>
      </c>
      <c r="Q874">
        <v>121</v>
      </c>
      <c r="R874">
        <v>622</v>
      </c>
      <c r="S874">
        <v>133</v>
      </c>
      <c r="T874" t="s">
        <v>31</v>
      </c>
      <c r="U874" t="s">
        <v>31</v>
      </c>
      <c r="V874" t="s">
        <v>31</v>
      </c>
      <c r="W874" t="s">
        <v>31</v>
      </c>
      <c r="X874" t="s">
        <v>31</v>
      </c>
      <c r="Y874" t="s">
        <v>31</v>
      </c>
    </row>
    <row r="875" spans="1:25" hidden="1">
      <c r="A875" t="s">
        <v>25</v>
      </c>
      <c r="B875" t="s">
        <v>26</v>
      </c>
      <c r="C875" t="s">
        <v>47</v>
      </c>
      <c r="D875" s="1">
        <v>42854</v>
      </c>
      <c r="E875" s="2">
        <v>0.72916666666666663</v>
      </c>
      <c r="F875" t="s">
        <v>48</v>
      </c>
      <c r="G875" t="s">
        <v>45</v>
      </c>
      <c r="H875">
        <v>3</v>
      </c>
      <c r="I875">
        <v>3</v>
      </c>
      <c r="J875" t="s">
        <v>41</v>
      </c>
      <c r="K875">
        <v>296</v>
      </c>
      <c r="L875">
        <v>33</v>
      </c>
      <c r="M875">
        <v>26</v>
      </c>
      <c r="N875">
        <v>296</v>
      </c>
      <c r="O875">
        <v>33</v>
      </c>
      <c r="P875">
        <v>274</v>
      </c>
      <c r="Q875">
        <v>28</v>
      </c>
      <c r="R875">
        <v>316</v>
      </c>
      <c r="S875">
        <v>254</v>
      </c>
      <c r="T875" t="s">
        <v>31</v>
      </c>
      <c r="U875" t="s">
        <v>31</v>
      </c>
      <c r="V875" t="s">
        <v>31</v>
      </c>
      <c r="W875" t="s">
        <v>31</v>
      </c>
      <c r="X875" t="s">
        <v>31</v>
      </c>
      <c r="Y875" t="s">
        <v>31</v>
      </c>
    </row>
    <row r="876" spans="1:25" hidden="1">
      <c r="A876" t="s">
        <v>25</v>
      </c>
      <c r="B876" t="s">
        <v>26</v>
      </c>
      <c r="C876" t="s">
        <v>47</v>
      </c>
      <c r="D876" s="1">
        <v>42855</v>
      </c>
      <c r="E876" s="2">
        <v>0.64583333333333337</v>
      </c>
      <c r="F876" t="s">
        <v>37</v>
      </c>
      <c r="G876" t="s">
        <v>35</v>
      </c>
      <c r="H876">
        <v>3</v>
      </c>
      <c r="I876">
        <v>2</v>
      </c>
      <c r="J876" t="s">
        <v>34</v>
      </c>
      <c r="K876">
        <v>465</v>
      </c>
      <c r="L876">
        <v>377</v>
      </c>
      <c r="M876">
        <v>183</v>
      </c>
      <c r="N876">
        <v>467</v>
      </c>
      <c r="O876">
        <v>378</v>
      </c>
      <c r="P876">
        <v>186</v>
      </c>
      <c r="Q876">
        <v>435</v>
      </c>
      <c r="R876">
        <v>357</v>
      </c>
      <c r="S876">
        <v>18</v>
      </c>
      <c r="T876" t="s">
        <v>31</v>
      </c>
      <c r="U876" t="s">
        <v>31</v>
      </c>
      <c r="V876" t="s">
        <v>31</v>
      </c>
      <c r="W876" t="s">
        <v>31</v>
      </c>
      <c r="X876" t="s">
        <v>31</v>
      </c>
      <c r="Y876" t="s">
        <v>31</v>
      </c>
    </row>
    <row r="877" spans="1:25" hidden="1">
      <c r="A877" t="s">
        <v>25</v>
      </c>
      <c r="B877" t="s">
        <v>26</v>
      </c>
      <c r="C877" t="s">
        <v>47</v>
      </c>
      <c r="D877" s="1">
        <v>42861</v>
      </c>
      <c r="E877" s="2">
        <v>0.625</v>
      </c>
      <c r="F877" t="s">
        <v>32</v>
      </c>
      <c r="G877" t="s">
        <v>29</v>
      </c>
      <c r="H877">
        <v>2</v>
      </c>
      <c r="I877">
        <v>1</v>
      </c>
      <c r="J877" t="s">
        <v>34</v>
      </c>
      <c r="K877">
        <v>621</v>
      </c>
      <c r="L877">
        <v>448</v>
      </c>
      <c r="M877">
        <v>156</v>
      </c>
      <c r="N877">
        <v>7</v>
      </c>
      <c r="O877">
        <v>448</v>
      </c>
      <c r="P877">
        <v>159</v>
      </c>
      <c r="Q877">
        <v>593</v>
      </c>
      <c r="R877">
        <v>409</v>
      </c>
      <c r="S877">
        <v>153</v>
      </c>
      <c r="T877" t="s">
        <v>31</v>
      </c>
      <c r="U877" t="s">
        <v>31</v>
      </c>
      <c r="V877" t="s">
        <v>31</v>
      </c>
      <c r="W877" t="s">
        <v>31</v>
      </c>
      <c r="X877" t="s">
        <v>31</v>
      </c>
      <c r="Y877" t="s">
        <v>31</v>
      </c>
    </row>
    <row r="878" spans="1:25" hidden="1">
      <c r="A878" t="s">
        <v>25</v>
      </c>
      <c r="B878" t="s">
        <v>26</v>
      </c>
      <c r="C878" t="s">
        <v>47</v>
      </c>
      <c r="D878" s="1">
        <v>42861</v>
      </c>
      <c r="E878" s="2">
        <v>0.72916666666666663</v>
      </c>
      <c r="F878" t="s">
        <v>35</v>
      </c>
      <c r="G878" t="s">
        <v>39</v>
      </c>
      <c r="H878">
        <v>4</v>
      </c>
      <c r="I878">
        <v>0</v>
      </c>
      <c r="J878" t="s">
        <v>34</v>
      </c>
      <c r="K878">
        <v>164</v>
      </c>
      <c r="L878">
        <v>404</v>
      </c>
      <c r="M878">
        <v>59</v>
      </c>
      <c r="N878">
        <v>165</v>
      </c>
      <c r="O878">
        <v>43</v>
      </c>
      <c r="P878">
        <v>689</v>
      </c>
      <c r="Q878">
        <v>158</v>
      </c>
      <c r="R878">
        <v>39</v>
      </c>
      <c r="S878">
        <v>584</v>
      </c>
      <c r="T878" t="s">
        <v>31</v>
      </c>
      <c r="U878" t="s">
        <v>31</v>
      </c>
      <c r="V878" t="s">
        <v>31</v>
      </c>
      <c r="W878" t="s">
        <v>31</v>
      </c>
      <c r="X878" t="s">
        <v>31</v>
      </c>
      <c r="Y878" t="s">
        <v>31</v>
      </c>
    </row>
    <row r="879" spans="1:25" hidden="1">
      <c r="A879" t="s">
        <v>25</v>
      </c>
      <c r="B879" t="s">
        <v>26</v>
      </c>
      <c r="C879" t="s">
        <v>47</v>
      </c>
      <c r="D879" s="1">
        <v>42861</v>
      </c>
      <c r="E879" s="2">
        <v>0.72916666666666663</v>
      </c>
      <c r="F879" t="s">
        <v>38</v>
      </c>
      <c r="G879" t="s">
        <v>37</v>
      </c>
      <c r="H879">
        <v>1</v>
      </c>
      <c r="I879">
        <v>0</v>
      </c>
      <c r="J879" t="s">
        <v>34</v>
      </c>
      <c r="K879">
        <v>197</v>
      </c>
      <c r="L879">
        <v>363</v>
      </c>
      <c r="M879">
        <v>412</v>
      </c>
      <c r="N879">
        <v>2</v>
      </c>
      <c r="O879">
        <v>363</v>
      </c>
      <c r="P879">
        <v>433</v>
      </c>
      <c r="Q879">
        <v>193</v>
      </c>
      <c r="R879">
        <v>34</v>
      </c>
      <c r="S879">
        <v>393</v>
      </c>
      <c r="T879" t="s">
        <v>31</v>
      </c>
      <c r="U879" t="s">
        <v>31</v>
      </c>
      <c r="V879" t="s">
        <v>31</v>
      </c>
      <c r="W879" t="s">
        <v>31</v>
      </c>
      <c r="X879" t="s">
        <v>31</v>
      </c>
      <c r="Y879" t="s">
        <v>31</v>
      </c>
    </row>
    <row r="880" spans="1:25" hidden="1">
      <c r="A880" t="s">
        <v>25</v>
      </c>
      <c r="B880" t="s">
        <v>26</v>
      </c>
      <c r="C880" t="s">
        <v>47</v>
      </c>
      <c r="D880" s="1">
        <v>42861</v>
      </c>
      <c r="E880" s="2">
        <v>0.72916666666666663</v>
      </c>
      <c r="F880" t="s">
        <v>28</v>
      </c>
      <c r="G880" t="s">
        <v>48</v>
      </c>
      <c r="H880">
        <v>3</v>
      </c>
      <c r="I880">
        <v>2</v>
      </c>
      <c r="J880" t="s">
        <v>34</v>
      </c>
      <c r="K880">
        <v>171</v>
      </c>
      <c r="L880">
        <v>398</v>
      </c>
      <c r="M880">
        <v>529</v>
      </c>
      <c r="N880">
        <v>171</v>
      </c>
      <c r="O880">
        <v>41</v>
      </c>
      <c r="P880">
        <v>56</v>
      </c>
      <c r="Q880">
        <v>166</v>
      </c>
      <c r="R880">
        <v>381</v>
      </c>
      <c r="S880">
        <v>506</v>
      </c>
      <c r="T880" t="s">
        <v>31</v>
      </c>
      <c r="U880" t="s">
        <v>31</v>
      </c>
      <c r="V880" t="s">
        <v>31</v>
      </c>
      <c r="W880" t="s">
        <v>31</v>
      </c>
      <c r="X880" t="s">
        <v>31</v>
      </c>
      <c r="Y880" t="s">
        <v>31</v>
      </c>
    </row>
    <row r="881" spans="1:25" hidden="1">
      <c r="A881" t="s">
        <v>25</v>
      </c>
      <c r="B881" t="s">
        <v>26</v>
      </c>
      <c r="C881" t="s">
        <v>47</v>
      </c>
      <c r="D881" s="1">
        <v>42862</v>
      </c>
      <c r="E881" s="2">
        <v>0.64583333333333337</v>
      </c>
      <c r="F881" t="s">
        <v>45</v>
      </c>
      <c r="G881" t="s">
        <v>40</v>
      </c>
      <c r="H881">
        <v>1</v>
      </c>
      <c r="I881">
        <v>1</v>
      </c>
      <c r="J881" t="s">
        <v>41</v>
      </c>
      <c r="K881">
        <v>329</v>
      </c>
      <c r="L881">
        <v>33</v>
      </c>
      <c r="M881">
        <v>239</v>
      </c>
      <c r="N881">
        <v>33</v>
      </c>
      <c r="O881">
        <v>33</v>
      </c>
      <c r="P881">
        <v>255</v>
      </c>
      <c r="Q881">
        <v>299</v>
      </c>
      <c r="R881">
        <v>319</v>
      </c>
      <c r="S881">
        <v>24</v>
      </c>
      <c r="T881" t="s">
        <v>31</v>
      </c>
      <c r="U881" t="s">
        <v>31</v>
      </c>
      <c r="V881" t="s">
        <v>31</v>
      </c>
      <c r="W881" t="s">
        <v>31</v>
      </c>
      <c r="X881" t="s">
        <v>31</v>
      </c>
      <c r="Y881" t="s">
        <v>31</v>
      </c>
    </row>
    <row r="882" spans="1:25" hidden="1">
      <c r="A882" t="s">
        <v>25</v>
      </c>
      <c r="B882" t="s">
        <v>26</v>
      </c>
      <c r="C882" t="s">
        <v>47</v>
      </c>
      <c r="D882" s="1">
        <v>42868</v>
      </c>
      <c r="E882" s="2">
        <v>0.625</v>
      </c>
      <c r="F882" t="s">
        <v>29</v>
      </c>
      <c r="G882" t="s">
        <v>35</v>
      </c>
      <c r="H882">
        <v>1</v>
      </c>
      <c r="I882">
        <v>0</v>
      </c>
      <c r="J882" t="s">
        <v>34</v>
      </c>
      <c r="K882">
        <v>148</v>
      </c>
      <c r="L882">
        <v>451</v>
      </c>
      <c r="M882">
        <v>791</v>
      </c>
      <c r="N882">
        <v>165</v>
      </c>
      <c r="O882">
        <v>451</v>
      </c>
      <c r="P882">
        <v>791</v>
      </c>
      <c r="Q882">
        <v>147</v>
      </c>
      <c r="R882">
        <v>419</v>
      </c>
      <c r="S882">
        <v>684</v>
      </c>
      <c r="T882" t="s">
        <v>31</v>
      </c>
      <c r="U882" t="s">
        <v>31</v>
      </c>
      <c r="V882" t="s">
        <v>31</v>
      </c>
      <c r="W882" t="s">
        <v>31</v>
      </c>
      <c r="X882" t="s">
        <v>31</v>
      </c>
      <c r="Y882" t="s">
        <v>31</v>
      </c>
    </row>
    <row r="883" spans="1:25" hidden="1">
      <c r="A883" t="s">
        <v>25</v>
      </c>
      <c r="B883" t="s">
        <v>26</v>
      </c>
      <c r="C883" t="s">
        <v>47</v>
      </c>
      <c r="D883" s="1">
        <v>42868</v>
      </c>
      <c r="E883" s="2">
        <v>0.72916666666666663</v>
      </c>
      <c r="F883" t="s">
        <v>37</v>
      </c>
      <c r="G883" t="s">
        <v>39</v>
      </c>
      <c r="H883">
        <v>3</v>
      </c>
      <c r="I883">
        <v>2</v>
      </c>
      <c r="J883" t="s">
        <v>34</v>
      </c>
      <c r="K883">
        <v>214</v>
      </c>
      <c r="L883">
        <v>339</v>
      </c>
      <c r="M883">
        <v>38</v>
      </c>
      <c r="N883">
        <v>25</v>
      </c>
      <c r="O883">
        <v>339</v>
      </c>
      <c r="P883">
        <v>38</v>
      </c>
      <c r="Q883">
        <v>218</v>
      </c>
      <c r="R883">
        <v>322</v>
      </c>
      <c r="S883">
        <v>336</v>
      </c>
      <c r="T883" t="s">
        <v>31</v>
      </c>
      <c r="U883" t="s">
        <v>31</v>
      </c>
      <c r="V883" t="s">
        <v>31</v>
      </c>
      <c r="W883" t="s">
        <v>31</v>
      </c>
      <c r="X883" t="s">
        <v>31</v>
      </c>
      <c r="Y883" t="s">
        <v>31</v>
      </c>
    </row>
    <row r="884" spans="1:25" hidden="1">
      <c r="A884" t="s">
        <v>25</v>
      </c>
      <c r="B884" t="s">
        <v>26</v>
      </c>
      <c r="C884" t="s">
        <v>47</v>
      </c>
      <c r="D884" s="1">
        <v>42868</v>
      </c>
      <c r="E884" s="2">
        <v>0.72916666666666663</v>
      </c>
      <c r="F884" t="s">
        <v>40</v>
      </c>
      <c r="G884" t="s">
        <v>38</v>
      </c>
      <c r="H884">
        <v>3</v>
      </c>
      <c r="I884">
        <v>0</v>
      </c>
      <c r="J884" t="s">
        <v>34</v>
      </c>
      <c r="K884">
        <v>17</v>
      </c>
      <c r="L884">
        <v>406</v>
      </c>
      <c r="M884">
        <v>519</v>
      </c>
      <c r="N884">
        <v>175</v>
      </c>
      <c r="O884">
        <v>406</v>
      </c>
      <c r="P884">
        <v>525</v>
      </c>
      <c r="Q884">
        <v>168</v>
      </c>
      <c r="R884">
        <v>381</v>
      </c>
      <c r="S884">
        <v>484</v>
      </c>
      <c r="T884" t="s">
        <v>31</v>
      </c>
      <c r="U884" t="s">
        <v>31</v>
      </c>
      <c r="V884" t="s">
        <v>31</v>
      </c>
      <c r="W884" t="s">
        <v>31</v>
      </c>
      <c r="X884" t="s">
        <v>31</v>
      </c>
      <c r="Y884" t="s">
        <v>31</v>
      </c>
    </row>
    <row r="885" spans="1:25" hidden="1">
      <c r="A885" t="s">
        <v>25</v>
      </c>
      <c r="B885" t="s">
        <v>26</v>
      </c>
      <c r="C885" t="s">
        <v>47</v>
      </c>
      <c r="D885" s="1">
        <v>42868</v>
      </c>
      <c r="E885" s="2">
        <v>0.72916666666666663</v>
      </c>
      <c r="F885" t="s">
        <v>48</v>
      </c>
      <c r="G885" t="s">
        <v>32</v>
      </c>
      <c r="H885">
        <v>1</v>
      </c>
      <c r="I885">
        <v>0</v>
      </c>
      <c r="J885" t="s">
        <v>34</v>
      </c>
      <c r="K885">
        <v>309</v>
      </c>
      <c r="L885">
        <v>329</v>
      </c>
      <c r="M885">
        <v>251</v>
      </c>
      <c r="N885">
        <v>31</v>
      </c>
      <c r="O885">
        <v>33</v>
      </c>
      <c r="P885">
        <v>28</v>
      </c>
      <c r="Q885">
        <v>282</v>
      </c>
      <c r="R885">
        <v>315</v>
      </c>
      <c r="S885">
        <v>254</v>
      </c>
      <c r="T885" t="s">
        <v>31</v>
      </c>
      <c r="U885" t="s">
        <v>31</v>
      </c>
      <c r="V885" t="s">
        <v>31</v>
      </c>
      <c r="W885" t="s">
        <v>31</v>
      </c>
      <c r="X885" t="s">
        <v>31</v>
      </c>
      <c r="Y885" t="s">
        <v>31</v>
      </c>
    </row>
    <row r="886" spans="1:25" hidden="1">
      <c r="A886" t="s">
        <v>25</v>
      </c>
      <c r="B886" t="s">
        <v>26</v>
      </c>
      <c r="C886" t="s">
        <v>47</v>
      </c>
      <c r="D886" s="1">
        <v>42869</v>
      </c>
      <c r="E886" s="2">
        <v>0.64583333333333337</v>
      </c>
      <c r="F886" t="s">
        <v>45</v>
      </c>
      <c r="G886" t="s">
        <v>28</v>
      </c>
      <c r="H886">
        <v>1</v>
      </c>
      <c r="I886">
        <v>2</v>
      </c>
      <c r="J886" t="s">
        <v>30</v>
      </c>
      <c r="K886">
        <v>247</v>
      </c>
      <c r="L886">
        <v>327</v>
      </c>
      <c r="M886">
        <v>317</v>
      </c>
      <c r="N886">
        <v>26</v>
      </c>
      <c r="O886">
        <v>335</v>
      </c>
      <c r="P886">
        <v>326</v>
      </c>
      <c r="Q886">
        <v>24</v>
      </c>
      <c r="R886">
        <v>313</v>
      </c>
      <c r="S886">
        <v>302</v>
      </c>
      <c r="T886" t="s">
        <v>31</v>
      </c>
      <c r="U886" t="s">
        <v>31</v>
      </c>
      <c r="V886" t="s">
        <v>31</v>
      </c>
      <c r="W886" t="s">
        <v>31</v>
      </c>
      <c r="X886" t="s">
        <v>31</v>
      </c>
      <c r="Y886" t="s">
        <v>31</v>
      </c>
    </row>
    <row r="887" spans="1:25" hidden="1">
      <c r="A887" t="s">
        <v>25</v>
      </c>
      <c r="B887" t="s">
        <v>26</v>
      </c>
      <c r="C887" t="s">
        <v>47</v>
      </c>
      <c r="D887" s="1">
        <v>42875</v>
      </c>
      <c r="E887" s="2">
        <v>0.625</v>
      </c>
      <c r="F887" t="s">
        <v>38</v>
      </c>
      <c r="G887" t="s">
        <v>48</v>
      </c>
      <c r="H887">
        <v>1</v>
      </c>
      <c r="I887">
        <v>1</v>
      </c>
      <c r="J887" t="s">
        <v>41</v>
      </c>
      <c r="K887">
        <v>205</v>
      </c>
      <c r="L887">
        <v>353</v>
      </c>
      <c r="M887">
        <v>392</v>
      </c>
      <c r="N887">
        <v>21</v>
      </c>
      <c r="O887">
        <v>364</v>
      </c>
      <c r="P887">
        <v>405</v>
      </c>
      <c r="Q887">
        <v>199</v>
      </c>
      <c r="R887">
        <v>339</v>
      </c>
      <c r="S887">
        <v>366</v>
      </c>
      <c r="T887" t="s">
        <v>31</v>
      </c>
      <c r="U887" t="s">
        <v>31</v>
      </c>
      <c r="V887" t="s">
        <v>31</v>
      </c>
      <c r="W887" t="s">
        <v>31</v>
      </c>
      <c r="X887" t="s">
        <v>31</v>
      </c>
      <c r="Y887" t="s">
        <v>31</v>
      </c>
    </row>
    <row r="888" spans="1:25" hidden="1">
      <c r="A888" t="s">
        <v>25</v>
      </c>
      <c r="B888" t="s">
        <v>26</v>
      </c>
      <c r="C888" t="s">
        <v>47</v>
      </c>
      <c r="D888" s="1">
        <v>42875</v>
      </c>
      <c r="E888" s="2">
        <v>0.72916666666666663</v>
      </c>
      <c r="F888" t="s">
        <v>39</v>
      </c>
      <c r="G888" t="s">
        <v>40</v>
      </c>
      <c r="H888">
        <v>2</v>
      </c>
      <c r="I888">
        <v>1</v>
      </c>
      <c r="J888" t="s">
        <v>34</v>
      </c>
      <c r="K888">
        <v>39</v>
      </c>
      <c r="L888">
        <v>389</v>
      </c>
      <c r="M888">
        <v>195</v>
      </c>
      <c r="N888">
        <v>42</v>
      </c>
      <c r="O888">
        <v>394</v>
      </c>
      <c r="P888">
        <v>2</v>
      </c>
      <c r="Q888">
        <v>381</v>
      </c>
      <c r="R888">
        <v>365</v>
      </c>
      <c r="S888">
        <v>189</v>
      </c>
      <c r="T888" t="s">
        <v>31</v>
      </c>
      <c r="U888" t="s">
        <v>31</v>
      </c>
      <c r="V888" t="s">
        <v>31</v>
      </c>
      <c r="W888" t="s">
        <v>31</v>
      </c>
      <c r="X888" t="s">
        <v>31</v>
      </c>
      <c r="Y888" t="s">
        <v>31</v>
      </c>
    </row>
    <row r="889" spans="1:25" hidden="1">
      <c r="A889" t="s">
        <v>25</v>
      </c>
      <c r="B889" t="s">
        <v>26</v>
      </c>
      <c r="C889" t="s">
        <v>47</v>
      </c>
      <c r="D889" s="1">
        <v>42875</v>
      </c>
      <c r="E889" s="2">
        <v>0.72916666666666663</v>
      </c>
      <c r="F889" t="s">
        <v>32</v>
      </c>
      <c r="G889" t="s">
        <v>45</v>
      </c>
      <c r="H889">
        <v>1</v>
      </c>
      <c r="I889">
        <v>0</v>
      </c>
      <c r="J889" t="s">
        <v>34</v>
      </c>
      <c r="K889">
        <v>233</v>
      </c>
      <c r="L889">
        <v>341</v>
      </c>
      <c r="M889">
        <v>331</v>
      </c>
      <c r="N889">
        <v>24</v>
      </c>
      <c r="O889">
        <v>344</v>
      </c>
      <c r="P889">
        <v>331</v>
      </c>
      <c r="Q889">
        <v>226</v>
      </c>
      <c r="R889">
        <v>325</v>
      </c>
      <c r="S889">
        <v>316</v>
      </c>
      <c r="T889" t="s">
        <v>31</v>
      </c>
      <c r="U889" t="s">
        <v>31</v>
      </c>
      <c r="V889" t="s">
        <v>31</v>
      </c>
      <c r="W889" t="s">
        <v>31</v>
      </c>
      <c r="X889" t="s">
        <v>31</v>
      </c>
      <c r="Y889" t="s">
        <v>31</v>
      </c>
    </row>
    <row r="890" spans="1:25" hidden="1">
      <c r="A890" t="s">
        <v>25</v>
      </c>
      <c r="B890" t="s">
        <v>26</v>
      </c>
      <c r="C890" t="s">
        <v>47</v>
      </c>
      <c r="D890" s="1">
        <v>42875</v>
      </c>
      <c r="E890" s="2">
        <v>0.72916666666666663</v>
      </c>
      <c r="F890" t="s">
        <v>29</v>
      </c>
      <c r="G890" t="s">
        <v>37</v>
      </c>
      <c r="H890">
        <v>2</v>
      </c>
      <c r="I890">
        <v>0</v>
      </c>
      <c r="J890" t="s">
        <v>34</v>
      </c>
      <c r="K890">
        <v>132</v>
      </c>
      <c r="L890">
        <v>591</v>
      </c>
      <c r="M890">
        <v>1001</v>
      </c>
      <c r="N890">
        <v>134</v>
      </c>
      <c r="O890">
        <v>65</v>
      </c>
      <c r="P890">
        <v>11</v>
      </c>
      <c r="Q890">
        <v>13</v>
      </c>
      <c r="R890">
        <v>538</v>
      </c>
      <c r="S890">
        <v>922</v>
      </c>
      <c r="T890" t="s">
        <v>31</v>
      </c>
      <c r="U890" t="s">
        <v>31</v>
      </c>
      <c r="V890" t="s">
        <v>31</v>
      </c>
      <c r="W890" t="s">
        <v>31</v>
      </c>
      <c r="X890" t="s">
        <v>31</v>
      </c>
      <c r="Y890" t="s">
        <v>31</v>
      </c>
    </row>
    <row r="891" spans="1:25" hidden="1">
      <c r="A891" t="s">
        <v>25</v>
      </c>
      <c r="B891" t="s">
        <v>26</v>
      </c>
      <c r="C891" t="s">
        <v>47</v>
      </c>
      <c r="D891" s="1">
        <v>42876</v>
      </c>
      <c r="E891" s="2">
        <v>0.64583333333333337</v>
      </c>
      <c r="F891" t="s">
        <v>35</v>
      </c>
      <c r="G891" t="s">
        <v>28</v>
      </c>
      <c r="H891">
        <v>1</v>
      </c>
      <c r="I891">
        <v>0</v>
      </c>
      <c r="J891" t="s">
        <v>34</v>
      </c>
      <c r="K891">
        <v>188</v>
      </c>
      <c r="L891">
        <v>37</v>
      </c>
      <c r="M891">
        <v>444</v>
      </c>
      <c r="N891">
        <v>21</v>
      </c>
      <c r="O891">
        <v>371</v>
      </c>
      <c r="P891">
        <v>444</v>
      </c>
      <c r="Q891">
        <v>19</v>
      </c>
      <c r="R891">
        <v>35</v>
      </c>
      <c r="S891">
        <v>394</v>
      </c>
      <c r="T891" t="s">
        <v>31</v>
      </c>
      <c r="U891" t="s">
        <v>31</v>
      </c>
      <c r="V891" t="s">
        <v>31</v>
      </c>
      <c r="W891" t="s">
        <v>31</v>
      </c>
      <c r="X891" t="s">
        <v>31</v>
      </c>
      <c r="Y891" t="s">
        <v>31</v>
      </c>
    </row>
    <row r="892" spans="1:25" hidden="1">
      <c r="A892" t="s">
        <v>25</v>
      </c>
      <c r="B892" t="s">
        <v>26</v>
      </c>
      <c r="C892" t="s">
        <v>47</v>
      </c>
      <c r="D892" s="1">
        <v>42880</v>
      </c>
      <c r="E892" s="2">
        <v>0.64583333333333337</v>
      </c>
      <c r="F892" t="s">
        <v>45</v>
      </c>
      <c r="G892" t="s">
        <v>38</v>
      </c>
      <c r="H892">
        <v>0</v>
      </c>
      <c r="I892">
        <v>2</v>
      </c>
      <c r="J892" t="s">
        <v>30</v>
      </c>
      <c r="K892">
        <v>215</v>
      </c>
      <c r="L892">
        <v>375</v>
      </c>
      <c r="M892">
        <v>34</v>
      </c>
      <c r="N892">
        <v>216</v>
      </c>
      <c r="O892">
        <v>38</v>
      </c>
      <c r="P892">
        <v>353</v>
      </c>
      <c r="Q892">
        <v>209</v>
      </c>
      <c r="R892">
        <v>351</v>
      </c>
      <c r="S892">
        <v>328</v>
      </c>
      <c r="T892" t="s">
        <v>31</v>
      </c>
      <c r="U892" t="s">
        <v>31</v>
      </c>
      <c r="V892" t="s">
        <v>31</v>
      </c>
      <c r="W892" t="s">
        <v>31</v>
      </c>
      <c r="X892" t="s">
        <v>31</v>
      </c>
      <c r="Y892" t="s">
        <v>31</v>
      </c>
    </row>
    <row r="893" spans="1:25" hidden="1">
      <c r="A893" t="s">
        <v>25</v>
      </c>
      <c r="B893" t="s">
        <v>26</v>
      </c>
      <c r="C893" t="s">
        <v>47</v>
      </c>
      <c r="D893" s="1">
        <v>42880</v>
      </c>
      <c r="E893" s="2">
        <v>0.64583333333333337</v>
      </c>
      <c r="F893" t="s">
        <v>40</v>
      </c>
      <c r="G893" t="s">
        <v>29</v>
      </c>
      <c r="H893">
        <v>2</v>
      </c>
      <c r="I893">
        <v>3</v>
      </c>
      <c r="J893" t="s">
        <v>30</v>
      </c>
      <c r="K893">
        <v>4</v>
      </c>
      <c r="L893">
        <v>401</v>
      </c>
      <c r="M893">
        <v>19</v>
      </c>
      <c r="N893">
        <v>41</v>
      </c>
      <c r="O893">
        <v>401</v>
      </c>
      <c r="P893">
        <v>212</v>
      </c>
      <c r="Q893">
        <v>386</v>
      </c>
      <c r="R893">
        <v>365</v>
      </c>
      <c r="S893">
        <v>188</v>
      </c>
      <c r="T893" t="s">
        <v>31</v>
      </c>
      <c r="U893" t="s">
        <v>31</v>
      </c>
      <c r="V893" t="s">
        <v>31</v>
      </c>
      <c r="W893" t="s">
        <v>31</v>
      </c>
      <c r="X893" t="s">
        <v>31</v>
      </c>
      <c r="Y893" t="s">
        <v>31</v>
      </c>
    </row>
    <row r="894" spans="1:25" hidden="1">
      <c r="A894" t="s">
        <v>25</v>
      </c>
      <c r="B894" t="s">
        <v>26</v>
      </c>
      <c r="C894" t="s">
        <v>47</v>
      </c>
      <c r="D894" s="1">
        <v>42880</v>
      </c>
      <c r="E894" s="2">
        <v>0.64583333333333337</v>
      </c>
      <c r="F894" t="s">
        <v>32</v>
      </c>
      <c r="G894" t="s">
        <v>35</v>
      </c>
      <c r="H894">
        <v>1</v>
      </c>
      <c r="I894">
        <v>3</v>
      </c>
      <c r="J894" t="s">
        <v>30</v>
      </c>
      <c r="K894">
        <v>282</v>
      </c>
      <c r="L894">
        <v>353</v>
      </c>
      <c r="M894">
        <v>259</v>
      </c>
      <c r="N894">
        <v>343</v>
      </c>
      <c r="O894">
        <v>355</v>
      </c>
      <c r="P894">
        <v>275</v>
      </c>
      <c r="Q894">
        <v>268</v>
      </c>
      <c r="R894">
        <v>337</v>
      </c>
      <c r="S894">
        <v>251</v>
      </c>
      <c r="T894" t="s">
        <v>31</v>
      </c>
      <c r="U894" t="s">
        <v>31</v>
      </c>
      <c r="V894" t="s">
        <v>31</v>
      </c>
      <c r="W894" t="s">
        <v>31</v>
      </c>
      <c r="X894" t="s">
        <v>31</v>
      </c>
      <c r="Y894" t="s">
        <v>31</v>
      </c>
    </row>
    <row r="895" spans="1:25" hidden="1">
      <c r="A895" t="s">
        <v>25</v>
      </c>
      <c r="B895" t="s">
        <v>26</v>
      </c>
      <c r="C895" t="s">
        <v>47</v>
      </c>
      <c r="D895" s="1">
        <v>42880</v>
      </c>
      <c r="E895" s="2">
        <v>0.64583333333333337</v>
      </c>
      <c r="F895" t="s">
        <v>48</v>
      </c>
      <c r="G895" t="s">
        <v>39</v>
      </c>
      <c r="H895">
        <v>1</v>
      </c>
      <c r="I895">
        <v>1</v>
      </c>
      <c r="J895" t="s">
        <v>41</v>
      </c>
      <c r="K895">
        <v>232</v>
      </c>
      <c r="L895">
        <v>32</v>
      </c>
      <c r="M895">
        <v>354</v>
      </c>
      <c r="N895">
        <v>237</v>
      </c>
      <c r="O895">
        <v>34</v>
      </c>
      <c r="P895">
        <v>354</v>
      </c>
      <c r="Q895">
        <v>223</v>
      </c>
      <c r="R895">
        <v>318</v>
      </c>
      <c r="S895">
        <v>328</v>
      </c>
      <c r="T895" t="s">
        <v>31</v>
      </c>
      <c r="U895" t="s">
        <v>31</v>
      </c>
      <c r="V895" t="s">
        <v>31</v>
      </c>
      <c r="W895" t="s">
        <v>31</v>
      </c>
      <c r="X895" t="s">
        <v>31</v>
      </c>
      <c r="Y895" t="s">
        <v>31</v>
      </c>
    </row>
    <row r="896" spans="1:25" hidden="1">
      <c r="A896" t="s">
        <v>25</v>
      </c>
      <c r="B896" t="s">
        <v>26</v>
      </c>
      <c r="C896" t="s">
        <v>47</v>
      </c>
      <c r="D896" s="1">
        <v>42880</v>
      </c>
      <c r="E896" s="2">
        <v>0.64583333333333337</v>
      </c>
      <c r="F896" t="s">
        <v>28</v>
      </c>
      <c r="G896" t="s">
        <v>37</v>
      </c>
      <c r="H896">
        <v>2</v>
      </c>
      <c r="I896">
        <v>1</v>
      </c>
      <c r="J896" t="s">
        <v>34</v>
      </c>
      <c r="K896">
        <v>165</v>
      </c>
      <c r="L896">
        <v>441</v>
      </c>
      <c r="M896">
        <v>522</v>
      </c>
      <c r="N896">
        <v>165</v>
      </c>
      <c r="O896">
        <v>441</v>
      </c>
      <c r="P896">
        <v>61</v>
      </c>
      <c r="Q896">
        <v>16</v>
      </c>
      <c r="R896">
        <v>409</v>
      </c>
      <c r="S896">
        <v>514</v>
      </c>
      <c r="T896" t="s">
        <v>31</v>
      </c>
      <c r="U896" t="s">
        <v>31</v>
      </c>
      <c r="V896" t="s">
        <v>31</v>
      </c>
      <c r="W896" t="s">
        <v>31</v>
      </c>
      <c r="X896" t="s">
        <v>31</v>
      </c>
      <c r="Y896" t="s">
        <v>31</v>
      </c>
    </row>
    <row r="897" spans="1:25" hidden="1">
      <c r="A897" t="s">
        <v>25</v>
      </c>
      <c r="B897" t="s">
        <v>26</v>
      </c>
      <c r="C897" t="s">
        <v>47</v>
      </c>
      <c r="D897" s="1">
        <v>42883</v>
      </c>
      <c r="E897" s="2">
        <v>0.64583333333333337</v>
      </c>
      <c r="F897" t="s">
        <v>39</v>
      </c>
      <c r="G897" t="s">
        <v>28</v>
      </c>
      <c r="H897">
        <v>1</v>
      </c>
      <c r="I897">
        <v>0</v>
      </c>
      <c r="J897" t="s">
        <v>34</v>
      </c>
      <c r="K897">
        <v>448</v>
      </c>
      <c r="L897">
        <v>418</v>
      </c>
      <c r="M897">
        <v>178</v>
      </c>
      <c r="N897">
        <v>448</v>
      </c>
      <c r="O897">
        <v>435</v>
      </c>
      <c r="P897">
        <v>181</v>
      </c>
      <c r="Q897">
        <v>422</v>
      </c>
      <c r="R897">
        <v>388</v>
      </c>
      <c r="S897">
        <v>174</v>
      </c>
      <c r="T897" t="s">
        <v>31</v>
      </c>
      <c r="U897" t="s">
        <v>31</v>
      </c>
      <c r="V897" t="s">
        <v>31</v>
      </c>
      <c r="W897" t="s">
        <v>31</v>
      </c>
      <c r="X897" t="s">
        <v>31</v>
      </c>
      <c r="Y897" t="s">
        <v>31</v>
      </c>
    </row>
    <row r="898" spans="1:25" hidden="1">
      <c r="A898" t="s">
        <v>25</v>
      </c>
      <c r="B898" t="s">
        <v>26</v>
      </c>
      <c r="C898" t="s">
        <v>47</v>
      </c>
      <c r="D898" s="1">
        <v>42883</v>
      </c>
      <c r="E898" s="2">
        <v>0.64583333333333337</v>
      </c>
      <c r="F898" t="s">
        <v>37</v>
      </c>
      <c r="G898" t="s">
        <v>40</v>
      </c>
      <c r="H898">
        <v>1</v>
      </c>
      <c r="I898">
        <v>6</v>
      </c>
      <c r="J898" t="s">
        <v>30</v>
      </c>
      <c r="K898">
        <v>341</v>
      </c>
      <c r="L898">
        <v>396</v>
      </c>
      <c r="M898">
        <v>208</v>
      </c>
      <c r="N898">
        <v>4</v>
      </c>
      <c r="O898">
        <v>398</v>
      </c>
      <c r="P898">
        <v>208</v>
      </c>
      <c r="Q898">
        <v>333</v>
      </c>
      <c r="R898">
        <v>367</v>
      </c>
      <c r="S898">
        <v>201</v>
      </c>
      <c r="T898" t="s">
        <v>31</v>
      </c>
      <c r="U898" t="s">
        <v>31</v>
      </c>
      <c r="V898" t="s">
        <v>31</v>
      </c>
      <c r="W898" t="s">
        <v>31</v>
      </c>
      <c r="X898" t="s">
        <v>31</v>
      </c>
      <c r="Y898" t="s">
        <v>31</v>
      </c>
    </row>
    <row r="899" spans="1:25" hidden="1">
      <c r="A899" t="s">
        <v>25</v>
      </c>
      <c r="B899" t="s">
        <v>26</v>
      </c>
      <c r="C899" t="s">
        <v>47</v>
      </c>
      <c r="D899" s="1">
        <v>42883</v>
      </c>
      <c r="E899" s="2">
        <v>0.64583333333333337</v>
      </c>
      <c r="F899" t="s">
        <v>35</v>
      </c>
      <c r="G899" t="s">
        <v>48</v>
      </c>
      <c r="H899">
        <v>2</v>
      </c>
      <c r="I899">
        <v>1</v>
      </c>
      <c r="J899" t="s">
        <v>34</v>
      </c>
      <c r="K899">
        <v>229</v>
      </c>
      <c r="L899">
        <v>334</v>
      </c>
      <c r="M899">
        <v>344</v>
      </c>
      <c r="N899">
        <v>24</v>
      </c>
      <c r="O899">
        <v>346</v>
      </c>
      <c r="P899">
        <v>346</v>
      </c>
      <c r="Q899">
        <v>224</v>
      </c>
      <c r="R899">
        <v>326</v>
      </c>
      <c r="S899">
        <v>317</v>
      </c>
      <c r="T899" t="s">
        <v>31</v>
      </c>
      <c r="U899" t="s">
        <v>31</v>
      </c>
      <c r="V899" t="s">
        <v>31</v>
      </c>
      <c r="W899" t="s">
        <v>31</v>
      </c>
      <c r="X899" t="s">
        <v>31</v>
      </c>
      <c r="Y899" t="s">
        <v>31</v>
      </c>
    </row>
    <row r="900" spans="1:25" hidden="1">
      <c r="A900" t="s">
        <v>25</v>
      </c>
      <c r="B900" t="s">
        <v>26</v>
      </c>
      <c r="C900" t="s">
        <v>47</v>
      </c>
      <c r="D900" s="1">
        <v>42883</v>
      </c>
      <c r="E900" s="2">
        <v>0.64583333333333337</v>
      </c>
      <c r="F900" t="s">
        <v>38</v>
      </c>
      <c r="G900" t="s">
        <v>32</v>
      </c>
      <c r="H900">
        <v>2</v>
      </c>
      <c r="I900">
        <v>3</v>
      </c>
      <c r="J900" t="s">
        <v>30</v>
      </c>
      <c r="K900">
        <v>169</v>
      </c>
      <c r="L900">
        <v>424</v>
      </c>
      <c r="M900">
        <v>501</v>
      </c>
      <c r="N900">
        <v>173</v>
      </c>
      <c r="O900">
        <v>45</v>
      </c>
      <c r="P900">
        <v>7</v>
      </c>
      <c r="Q900">
        <v>167</v>
      </c>
      <c r="R900">
        <v>398</v>
      </c>
      <c r="S900">
        <v>467</v>
      </c>
      <c r="T900" t="s">
        <v>31</v>
      </c>
      <c r="U900" t="s">
        <v>31</v>
      </c>
      <c r="V900" t="s">
        <v>31</v>
      </c>
      <c r="W900" t="s">
        <v>31</v>
      </c>
      <c r="X900" t="s">
        <v>31</v>
      </c>
      <c r="Y900" t="s">
        <v>31</v>
      </c>
    </row>
    <row r="901" spans="1:25" hidden="1">
      <c r="A901" t="s">
        <v>25</v>
      </c>
      <c r="B901" t="s">
        <v>26</v>
      </c>
      <c r="C901" t="s">
        <v>47</v>
      </c>
      <c r="D901" s="1">
        <v>42883</v>
      </c>
      <c r="E901" s="2">
        <v>0.64583333333333337</v>
      </c>
      <c r="F901" t="s">
        <v>29</v>
      </c>
      <c r="G901" t="s">
        <v>45</v>
      </c>
      <c r="H901">
        <v>1</v>
      </c>
      <c r="I901">
        <v>0</v>
      </c>
      <c r="J901" t="s">
        <v>34</v>
      </c>
      <c r="K901">
        <v>131</v>
      </c>
      <c r="L901">
        <v>623</v>
      </c>
      <c r="M901">
        <v>989</v>
      </c>
      <c r="N901">
        <v>131</v>
      </c>
      <c r="O901">
        <v>63</v>
      </c>
      <c r="P901">
        <v>105</v>
      </c>
      <c r="Q901">
        <v>129</v>
      </c>
      <c r="R901">
        <v>56</v>
      </c>
      <c r="S901">
        <v>905</v>
      </c>
      <c r="T901" t="s">
        <v>31</v>
      </c>
      <c r="U901" t="s">
        <v>31</v>
      </c>
      <c r="V901" t="s">
        <v>31</v>
      </c>
      <c r="W901" t="s">
        <v>31</v>
      </c>
      <c r="X901" t="s">
        <v>31</v>
      </c>
      <c r="Y901" t="s">
        <v>31</v>
      </c>
    </row>
    <row r="902" spans="1:25" hidden="1">
      <c r="A902" t="s">
        <v>25</v>
      </c>
      <c r="B902" t="s">
        <v>26</v>
      </c>
      <c r="C902" t="s">
        <v>49</v>
      </c>
      <c r="D902" s="1">
        <v>42938</v>
      </c>
      <c r="E902" s="2">
        <v>0.625</v>
      </c>
      <c r="F902" t="s">
        <v>35</v>
      </c>
      <c r="G902" t="s">
        <v>32</v>
      </c>
      <c r="H902">
        <v>2</v>
      </c>
      <c r="I902">
        <v>2</v>
      </c>
      <c r="J902" t="s">
        <v>41</v>
      </c>
      <c r="K902">
        <v>168</v>
      </c>
      <c r="L902">
        <v>409</v>
      </c>
      <c r="M902">
        <v>534</v>
      </c>
      <c r="N902">
        <v>169</v>
      </c>
      <c r="O902">
        <v>445</v>
      </c>
      <c r="P902">
        <v>7</v>
      </c>
      <c r="Q902">
        <v>161</v>
      </c>
      <c r="R902">
        <v>391</v>
      </c>
      <c r="S902">
        <v>534</v>
      </c>
      <c r="T902" t="s">
        <v>31</v>
      </c>
      <c r="U902" t="s">
        <v>31</v>
      </c>
      <c r="V902" t="s">
        <v>31</v>
      </c>
      <c r="W902" t="s">
        <v>31</v>
      </c>
      <c r="X902" t="s">
        <v>31</v>
      </c>
      <c r="Y902" t="s">
        <v>31</v>
      </c>
    </row>
    <row r="903" spans="1:25" hidden="1">
      <c r="A903" t="s">
        <v>25</v>
      </c>
      <c r="B903" t="s">
        <v>26</v>
      </c>
      <c r="C903" t="s">
        <v>49</v>
      </c>
      <c r="D903" s="1">
        <v>42938</v>
      </c>
      <c r="E903" s="2">
        <v>0.72916666666666663</v>
      </c>
      <c r="F903" t="s">
        <v>39</v>
      </c>
      <c r="G903" t="s">
        <v>29</v>
      </c>
      <c r="H903">
        <v>0</v>
      </c>
      <c r="I903">
        <v>2</v>
      </c>
      <c r="J903" t="s">
        <v>30</v>
      </c>
      <c r="K903">
        <v>813</v>
      </c>
      <c r="L903">
        <v>427</v>
      </c>
      <c r="M903">
        <v>15</v>
      </c>
      <c r="N903">
        <v>813</v>
      </c>
      <c r="O903">
        <v>451</v>
      </c>
      <c r="P903">
        <v>165</v>
      </c>
      <c r="Q903">
        <v>708</v>
      </c>
      <c r="R903">
        <v>415</v>
      </c>
      <c r="S903">
        <v>146</v>
      </c>
      <c r="T903" t="s">
        <v>31</v>
      </c>
      <c r="U903" t="s">
        <v>31</v>
      </c>
      <c r="V903" t="s">
        <v>31</v>
      </c>
      <c r="W903" t="s">
        <v>31</v>
      </c>
      <c r="X903" t="s">
        <v>31</v>
      </c>
      <c r="Y903" t="s">
        <v>31</v>
      </c>
    </row>
    <row r="904" spans="1:25" hidden="1">
      <c r="A904" t="s">
        <v>25</v>
      </c>
      <c r="B904" t="s">
        <v>26</v>
      </c>
      <c r="C904" t="s">
        <v>49</v>
      </c>
      <c r="D904" s="1">
        <v>42938</v>
      </c>
      <c r="E904" s="2">
        <v>0.72916666666666663</v>
      </c>
      <c r="F904" t="s">
        <v>50</v>
      </c>
      <c r="G904" t="s">
        <v>37</v>
      </c>
      <c r="H904">
        <v>3</v>
      </c>
      <c r="I904">
        <v>0</v>
      </c>
      <c r="J904" t="s">
        <v>34</v>
      </c>
      <c r="K904">
        <v>2</v>
      </c>
      <c r="L904">
        <v>36</v>
      </c>
      <c r="M904">
        <v>404</v>
      </c>
      <c r="N904">
        <v>202</v>
      </c>
      <c r="O904">
        <v>362</v>
      </c>
      <c r="P904">
        <v>405</v>
      </c>
      <c r="Q904">
        <v>195</v>
      </c>
      <c r="R904">
        <v>344</v>
      </c>
      <c r="S904">
        <v>379</v>
      </c>
      <c r="T904" t="s">
        <v>31</v>
      </c>
      <c r="U904" t="s">
        <v>31</v>
      </c>
      <c r="V904" t="s">
        <v>31</v>
      </c>
      <c r="W904" t="s">
        <v>31</v>
      </c>
      <c r="X904" t="s">
        <v>31</v>
      </c>
      <c r="Y904" t="s">
        <v>31</v>
      </c>
    </row>
    <row r="905" spans="1:25" hidden="1">
      <c r="A905" t="s">
        <v>25</v>
      </c>
      <c r="B905" t="s">
        <v>26</v>
      </c>
      <c r="C905" t="s">
        <v>49</v>
      </c>
      <c r="D905" s="1">
        <v>42939</v>
      </c>
      <c r="E905" s="2">
        <v>0.64583333333333337</v>
      </c>
      <c r="F905" t="s">
        <v>45</v>
      </c>
      <c r="G905" t="s">
        <v>40</v>
      </c>
      <c r="H905">
        <v>3</v>
      </c>
      <c r="I905">
        <v>0</v>
      </c>
      <c r="J905" t="s">
        <v>34</v>
      </c>
      <c r="K905">
        <v>297</v>
      </c>
      <c r="L905">
        <v>326</v>
      </c>
      <c r="M905">
        <v>258</v>
      </c>
      <c r="N905">
        <v>315</v>
      </c>
      <c r="O905">
        <v>34</v>
      </c>
      <c r="P905">
        <v>26</v>
      </c>
      <c r="Q905">
        <v>291</v>
      </c>
      <c r="R905">
        <v>324</v>
      </c>
      <c r="S905">
        <v>241</v>
      </c>
      <c r="T905" t="s">
        <v>31</v>
      </c>
      <c r="U905" t="s">
        <v>31</v>
      </c>
      <c r="V905" t="s">
        <v>31</v>
      </c>
      <c r="W905" t="s">
        <v>31</v>
      </c>
      <c r="X905" t="s">
        <v>31</v>
      </c>
      <c r="Y905" t="s">
        <v>31</v>
      </c>
    </row>
    <row r="906" spans="1:25" hidden="1">
      <c r="A906" t="s">
        <v>25</v>
      </c>
      <c r="B906" t="s">
        <v>26</v>
      </c>
      <c r="C906" t="s">
        <v>49</v>
      </c>
      <c r="D906" s="1">
        <v>42939</v>
      </c>
      <c r="E906" s="2">
        <v>0.75</v>
      </c>
      <c r="F906" t="s">
        <v>28</v>
      </c>
      <c r="G906" t="s">
        <v>48</v>
      </c>
      <c r="H906">
        <v>3</v>
      </c>
      <c r="I906">
        <v>2</v>
      </c>
      <c r="J906" t="s">
        <v>34</v>
      </c>
      <c r="K906">
        <v>176</v>
      </c>
      <c r="L906">
        <v>37</v>
      </c>
      <c r="M906">
        <v>539</v>
      </c>
      <c r="N906">
        <v>187</v>
      </c>
      <c r="O906">
        <v>384</v>
      </c>
      <c r="P906">
        <v>57</v>
      </c>
      <c r="Q906">
        <v>176</v>
      </c>
      <c r="R906">
        <v>354</v>
      </c>
      <c r="S906">
        <v>471</v>
      </c>
      <c r="T906" t="s">
        <v>31</v>
      </c>
      <c r="U906" t="s">
        <v>31</v>
      </c>
      <c r="V906" t="s">
        <v>31</v>
      </c>
      <c r="W906" t="s">
        <v>31</v>
      </c>
      <c r="X906" t="s">
        <v>31</v>
      </c>
      <c r="Y906" t="s">
        <v>31</v>
      </c>
    </row>
    <row r="907" spans="1:25" hidden="1">
      <c r="A907" t="s">
        <v>25</v>
      </c>
      <c r="B907" t="s">
        <v>26</v>
      </c>
      <c r="C907" t="s">
        <v>49</v>
      </c>
      <c r="D907" s="1">
        <v>42945</v>
      </c>
      <c r="E907" s="2">
        <v>0.625</v>
      </c>
      <c r="F907" t="s">
        <v>29</v>
      </c>
      <c r="G907" t="s">
        <v>50</v>
      </c>
      <c r="H907">
        <v>1</v>
      </c>
      <c r="I907">
        <v>1</v>
      </c>
      <c r="J907" t="s">
        <v>41</v>
      </c>
      <c r="K907">
        <v>147</v>
      </c>
      <c r="L907">
        <v>46</v>
      </c>
      <c r="M907">
        <v>803</v>
      </c>
      <c r="N907">
        <v>155</v>
      </c>
      <c r="O907">
        <v>46</v>
      </c>
      <c r="P907">
        <v>835</v>
      </c>
      <c r="Q907">
        <v>144</v>
      </c>
      <c r="R907">
        <v>429</v>
      </c>
      <c r="S907">
        <v>73</v>
      </c>
      <c r="T907" t="s">
        <v>31</v>
      </c>
      <c r="U907" t="s">
        <v>31</v>
      </c>
      <c r="V907" t="s">
        <v>31</v>
      </c>
      <c r="W907" t="s">
        <v>31</v>
      </c>
      <c r="X907" t="s">
        <v>31</v>
      </c>
      <c r="Y907" t="s">
        <v>31</v>
      </c>
    </row>
    <row r="908" spans="1:25" hidden="1">
      <c r="A908" t="s">
        <v>25</v>
      </c>
      <c r="B908" t="s">
        <v>26</v>
      </c>
      <c r="C908" t="s">
        <v>49</v>
      </c>
      <c r="D908" s="1">
        <v>42945</v>
      </c>
      <c r="E908" s="2">
        <v>0.72916666666666663</v>
      </c>
      <c r="F908" t="s">
        <v>32</v>
      </c>
      <c r="G908" t="s">
        <v>39</v>
      </c>
      <c r="H908">
        <v>1</v>
      </c>
      <c r="I908">
        <v>0</v>
      </c>
      <c r="J908" t="s">
        <v>34</v>
      </c>
      <c r="K908">
        <v>199</v>
      </c>
      <c r="L908">
        <v>349</v>
      </c>
      <c r="M908">
        <v>421</v>
      </c>
      <c r="N908">
        <v>21</v>
      </c>
      <c r="O908">
        <v>35</v>
      </c>
      <c r="P908">
        <v>425</v>
      </c>
      <c r="Q908">
        <v>196</v>
      </c>
      <c r="R908">
        <v>333</v>
      </c>
      <c r="S908">
        <v>392</v>
      </c>
      <c r="T908" t="s">
        <v>31</v>
      </c>
      <c r="U908" t="s">
        <v>31</v>
      </c>
      <c r="V908" t="s">
        <v>31</v>
      </c>
      <c r="W908" t="s">
        <v>31</v>
      </c>
      <c r="X908" t="s">
        <v>31</v>
      </c>
      <c r="Y908" t="s">
        <v>31</v>
      </c>
    </row>
    <row r="909" spans="1:25" hidden="1">
      <c r="A909" t="s">
        <v>25</v>
      </c>
      <c r="B909" t="s">
        <v>26</v>
      </c>
      <c r="C909" t="s">
        <v>49</v>
      </c>
      <c r="D909" s="1">
        <v>42945</v>
      </c>
      <c r="E909" s="2">
        <v>0.72916666666666663</v>
      </c>
      <c r="F909" t="s">
        <v>48</v>
      </c>
      <c r="G909" t="s">
        <v>35</v>
      </c>
      <c r="H909">
        <v>1</v>
      </c>
      <c r="I909">
        <v>4</v>
      </c>
      <c r="J909" t="s">
        <v>30</v>
      </c>
      <c r="K909">
        <v>402</v>
      </c>
      <c r="L909">
        <v>39</v>
      </c>
      <c r="M909">
        <v>192</v>
      </c>
      <c r="N909">
        <v>402</v>
      </c>
      <c r="O909">
        <v>39</v>
      </c>
      <c r="P909">
        <v>2</v>
      </c>
      <c r="Q909">
        <v>377</v>
      </c>
      <c r="R909">
        <v>36</v>
      </c>
      <c r="S909">
        <v>191</v>
      </c>
      <c r="T909" t="s">
        <v>31</v>
      </c>
      <c r="U909" t="s">
        <v>31</v>
      </c>
      <c r="V909" t="s">
        <v>31</v>
      </c>
      <c r="W909" t="s">
        <v>31</v>
      </c>
      <c r="X909" t="s">
        <v>31</v>
      </c>
      <c r="Y909" t="s">
        <v>31</v>
      </c>
    </row>
    <row r="910" spans="1:25" hidden="1">
      <c r="A910" t="s">
        <v>25</v>
      </c>
      <c r="B910" t="s">
        <v>26</v>
      </c>
      <c r="C910" t="s">
        <v>49</v>
      </c>
      <c r="D910" s="1">
        <v>42946</v>
      </c>
      <c r="E910" s="2">
        <v>0.625</v>
      </c>
      <c r="F910" t="s">
        <v>40</v>
      </c>
      <c r="G910" t="s">
        <v>28</v>
      </c>
      <c r="H910">
        <v>2</v>
      </c>
      <c r="I910">
        <v>3</v>
      </c>
      <c r="J910" t="s">
        <v>30</v>
      </c>
      <c r="K910">
        <v>2</v>
      </c>
      <c r="L910">
        <v>372</v>
      </c>
      <c r="M910">
        <v>389</v>
      </c>
      <c r="N910">
        <v>22</v>
      </c>
      <c r="O910">
        <v>376</v>
      </c>
      <c r="P910">
        <v>4</v>
      </c>
      <c r="Q910">
        <v>198</v>
      </c>
      <c r="R910">
        <v>352</v>
      </c>
      <c r="S910">
        <v>36</v>
      </c>
      <c r="T910" t="s">
        <v>31</v>
      </c>
      <c r="U910" t="s">
        <v>31</v>
      </c>
      <c r="V910" t="s">
        <v>31</v>
      </c>
      <c r="W910" t="s">
        <v>31</v>
      </c>
      <c r="X910" t="s">
        <v>31</v>
      </c>
      <c r="Y910" t="s">
        <v>31</v>
      </c>
    </row>
    <row r="911" spans="1:25" hidden="1">
      <c r="A911" t="s">
        <v>25</v>
      </c>
      <c r="B911" t="s">
        <v>26</v>
      </c>
      <c r="C911" t="s">
        <v>49</v>
      </c>
      <c r="D911" s="1">
        <v>42946</v>
      </c>
      <c r="E911" s="2">
        <v>0.72916666666666663</v>
      </c>
      <c r="F911" t="s">
        <v>37</v>
      </c>
      <c r="G911" t="s">
        <v>45</v>
      </c>
      <c r="H911">
        <v>4</v>
      </c>
      <c r="I911">
        <v>1</v>
      </c>
      <c r="J911" t="s">
        <v>34</v>
      </c>
      <c r="K911">
        <v>232</v>
      </c>
      <c r="L911">
        <v>331</v>
      </c>
      <c r="M911">
        <v>344</v>
      </c>
      <c r="N911">
        <v>245</v>
      </c>
      <c r="O911">
        <v>34</v>
      </c>
      <c r="P911">
        <v>35</v>
      </c>
      <c r="Q911">
        <v>225</v>
      </c>
      <c r="R911">
        <v>322</v>
      </c>
      <c r="S911">
        <v>323</v>
      </c>
      <c r="T911" t="s">
        <v>31</v>
      </c>
      <c r="U911" t="s">
        <v>31</v>
      </c>
      <c r="V911" t="s">
        <v>31</v>
      </c>
      <c r="W911" t="s">
        <v>31</v>
      </c>
      <c r="X911" t="s">
        <v>31</v>
      </c>
      <c r="Y911" t="s">
        <v>31</v>
      </c>
    </row>
    <row r="912" spans="1:25" hidden="1">
      <c r="A912" t="s">
        <v>25</v>
      </c>
      <c r="B912" t="s">
        <v>26</v>
      </c>
      <c r="C912" t="s">
        <v>49</v>
      </c>
      <c r="D912" s="1">
        <v>42952</v>
      </c>
      <c r="E912" s="2">
        <v>0.625</v>
      </c>
      <c r="F912" t="s">
        <v>50</v>
      </c>
      <c r="G912" t="s">
        <v>48</v>
      </c>
      <c r="H912">
        <v>2</v>
      </c>
      <c r="I912">
        <v>0</v>
      </c>
      <c r="J912" t="s">
        <v>34</v>
      </c>
      <c r="K912">
        <v>174</v>
      </c>
      <c r="L912">
        <v>402</v>
      </c>
      <c r="M912">
        <v>498</v>
      </c>
      <c r="N912">
        <v>174</v>
      </c>
      <c r="O912">
        <v>41</v>
      </c>
      <c r="P912">
        <v>625</v>
      </c>
      <c r="Q912">
        <v>167</v>
      </c>
      <c r="R912">
        <v>383</v>
      </c>
      <c r="S912">
        <v>491</v>
      </c>
      <c r="T912" t="s">
        <v>31</v>
      </c>
      <c r="U912" t="s">
        <v>31</v>
      </c>
      <c r="V912" t="s">
        <v>31</v>
      </c>
      <c r="W912" t="s">
        <v>31</v>
      </c>
      <c r="X912" t="s">
        <v>31</v>
      </c>
      <c r="Y912" t="s">
        <v>31</v>
      </c>
    </row>
    <row r="913" spans="1:25" hidden="1">
      <c r="A913" t="s">
        <v>25</v>
      </c>
      <c r="B913" t="s">
        <v>26</v>
      </c>
      <c r="C913" t="s">
        <v>49</v>
      </c>
      <c r="D913" s="1">
        <v>42952</v>
      </c>
      <c r="E913" s="2">
        <v>0.72916666666666663</v>
      </c>
      <c r="F913" t="s">
        <v>29</v>
      </c>
      <c r="G913" t="s">
        <v>37</v>
      </c>
      <c r="H913">
        <v>5</v>
      </c>
      <c r="I913">
        <v>1</v>
      </c>
      <c r="J913" t="s">
        <v>34</v>
      </c>
      <c r="K913">
        <v>138</v>
      </c>
      <c r="L913">
        <v>539</v>
      </c>
      <c r="M913">
        <v>862</v>
      </c>
      <c r="N913">
        <v>14</v>
      </c>
      <c r="O913">
        <v>55</v>
      </c>
      <c r="P913">
        <v>95</v>
      </c>
      <c r="Q913">
        <v>136</v>
      </c>
      <c r="R913">
        <v>483</v>
      </c>
      <c r="S913">
        <v>825</v>
      </c>
      <c r="T913" t="s">
        <v>31</v>
      </c>
      <c r="U913" t="s">
        <v>31</v>
      </c>
      <c r="V913" t="s">
        <v>31</v>
      </c>
      <c r="W913" t="s">
        <v>31</v>
      </c>
      <c r="X913" t="s">
        <v>31</v>
      </c>
      <c r="Y913" t="s">
        <v>31</v>
      </c>
    </row>
    <row r="914" spans="1:25" hidden="1">
      <c r="A914" t="s">
        <v>25</v>
      </c>
      <c r="B914" t="s">
        <v>26</v>
      </c>
      <c r="C914" t="s">
        <v>49</v>
      </c>
      <c r="D914" s="1">
        <v>42953</v>
      </c>
      <c r="E914" s="2">
        <v>0.64583333333333337</v>
      </c>
      <c r="F914" t="s">
        <v>39</v>
      </c>
      <c r="G914" t="s">
        <v>45</v>
      </c>
      <c r="H914">
        <v>1</v>
      </c>
      <c r="I914">
        <v>0</v>
      </c>
      <c r="J914" t="s">
        <v>34</v>
      </c>
      <c r="K914">
        <v>277</v>
      </c>
      <c r="L914">
        <v>325</v>
      </c>
      <c r="M914">
        <v>281</v>
      </c>
      <c r="N914">
        <v>283</v>
      </c>
      <c r="O914">
        <v>33</v>
      </c>
      <c r="P914">
        <v>29</v>
      </c>
      <c r="Q914">
        <v>264</v>
      </c>
      <c r="R914">
        <v>31</v>
      </c>
      <c r="S914">
        <v>273</v>
      </c>
      <c r="T914" t="s">
        <v>31</v>
      </c>
      <c r="U914" t="s">
        <v>31</v>
      </c>
      <c r="V914" t="s">
        <v>31</v>
      </c>
      <c r="W914" t="s">
        <v>31</v>
      </c>
      <c r="X914" t="s">
        <v>31</v>
      </c>
      <c r="Y914" t="s">
        <v>31</v>
      </c>
    </row>
    <row r="915" spans="1:25" hidden="1">
      <c r="A915" t="s">
        <v>25</v>
      </c>
      <c r="B915" t="s">
        <v>26</v>
      </c>
      <c r="C915" t="s">
        <v>49</v>
      </c>
      <c r="D915" s="1">
        <v>42953</v>
      </c>
      <c r="E915" s="2">
        <v>0.64583333333333337</v>
      </c>
      <c r="F915" t="s">
        <v>35</v>
      </c>
      <c r="G915" t="s">
        <v>40</v>
      </c>
      <c r="H915">
        <v>2</v>
      </c>
      <c r="I915">
        <v>2</v>
      </c>
      <c r="J915" t="s">
        <v>41</v>
      </c>
      <c r="K915">
        <v>192</v>
      </c>
      <c r="L915">
        <v>386</v>
      </c>
      <c r="M915">
        <v>408</v>
      </c>
      <c r="N915">
        <v>196</v>
      </c>
      <c r="O915">
        <v>392</v>
      </c>
      <c r="P915">
        <v>414</v>
      </c>
      <c r="Q915">
        <v>188</v>
      </c>
      <c r="R915">
        <v>368</v>
      </c>
      <c r="S915">
        <v>383</v>
      </c>
      <c r="T915" t="s">
        <v>31</v>
      </c>
      <c r="U915" t="s">
        <v>31</v>
      </c>
      <c r="V915" t="s">
        <v>31</v>
      </c>
      <c r="W915" t="s">
        <v>31</v>
      </c>
      <c r="X915" t="s">
        <v>31</v>
      </c>
      <c r="Y915" t="s">
        <v>31</v>
      </c>
    </row>
    <row r="916" spans="1:25" hidden="1">
      <c r="A916" t="s">
        <v>25</v>
      </c>
      <c r="B916" t="s">
        <v>26</v>
      </c>
      <c r="C916" t="s">
        <v>49</v>
      </c>
      <c r="D916" s="1">
        <v>42953</v>
      </c>
      <c r="E916" s="2">
        <v>0.75</v>
      </c>
      <c r="F916" t="s">
        <v>32</v>
      </c>
      <c r="G916" t="s">
        <v>28</v>
      </c>
      <c r="H916">
        <v>2</v>
      </c>
      <c r="I916">
        <v>3</v>
      </c>
      <c r="J916" t="s">
        <v>30</v>
      </c>
      <c r="K916">
        <v>245</v>
      </c>
      <c r="L916">
        <v>338</v>
      </c>
      <c r="M916">
        <v>311</v>
      </c>
      <c r="N916">
        <v>265</v>
      </c>
      <c r="O916">
        <v>348</v>
      </c>
      <c r="P916">
        <v>325</v>
      </c>
      <c r="Q916">
        <v>24</v>
      </c>
      <c r="R916">
        <v>326</v>
      </c>
      <c r="S916">
        <v>291</v>
      </c>
      <c r="T916" t="s">
        <v>31</v>
      </c>
      <c r="U916" t="s">
        <v>31</v>
      </c>
      <c r="V916" t="s">
        <v>31</v>
      </c>
      <c r="W916" t="s">
        <v>31</v>
      </c>
      <c r="X916" t="s">
        <v>31</v>
      </c>
      <c r="Y916" t="s">
        <v>31</v>
      </c>
    </row>
    <row r="917" spans="1:25" hidden="1">
      <c r="A917" t="s">
        <v>25</v>
      </c>
      <c r="B917" t="s">
        <v>26</v>
      </c>
      <c r="C917" t="s">
        <v>49</v>
      </c>
      <c r="D917" s="1">
        <v>42959</v>
      </c>
      <c r="E917" s="2">
        <v>0.625</v>
      </c>
      <c r="F917" t="s">
        <v>45</v>
      </c>
      <c r="G917" t="s">
        <v>29</v>
      </c>
      <c r="H917">
        <v>0</v>
      </c>
      <c r="I917">
        <v>1</v>
      </c>
      <c r="J917" t="s">
        <v>30</v>
      </c>
      <c r="K917">
        <v>701</v>
      </c>
      <c r="L917">
        <v>429</v>
      </c>
      <c r="M917">
        <v>154</v>
      </c>
      <c r="N917">
        <v>76</v>
      </c>
      <c r="O917">
        <v>439</v>
      </c>
      <c r="P917">
        <v>163</v>
      </c>
      <c r="Q917">
        <v>663</v>
      </c>
      <c r="R917">
        <v>406</v>
      </c>
      <c r="S917">
        <v>15</v>
      </c>
      <c r="T917" t="s">
        <v>31</v>
      </c>
      <c r="U917" t="s">
        <v>31</v>
      </c>
      <c r="V917" t="s">
        <v>31</v>
      </c>
      <c r="W917" t="s">
        <v>31</v>
      </c>
      <c r="X917" t="s">
        <v>31</v>
      </c>
      <c r="Y917" t="s">
        <v>31</v>
      </c>
    </row>
    <row r="918" spans="1:25" hidden="1">
      <c r="A918" t="s">
        <v>25</v>
      </c>
      <c r="B918" t="s">
        <v>26</v>
      </c>
      <c r="C918" t="s">
        <v>49</v>
      </c>
      <c r="D918" s="1">
        <v>42959</v>
      </c>
      <c r="E918" s="2">
        <v>0.72916666666666663</v>
      </c>
      <c r="F918" t="s">
        <v>40</v>
      </c>
      <c r="G918" t="s">
        <v>50</v>
      </c>
      <c r="H918">
        <v>2</v>
      </c>
      <c r="I918">
        <v>0</v>
      </c>
      <c r="J918" t="s">
        <v>34</v>
      </c>
      <c r="K918">
        <v>224</v>
      </c>
      <c r="L918">
        <v>368</v>
      </c>
      <c r="M918">
        <v>326</v>
      </c>
      <c r="N918">
        <v>224</v>
      </c>
      <c r="O918">
        <v>37</v>
      </c>
      <c r="P918">
        <v>36</v>
      </c>
      <c r="Q918">
        <v>209</v>
      </c>
      <c r="R918">
        <v>349</v>
      </c>
      <c r="S918">
        <v>332</v>
      </c>
      <c r="T918" t="s">
        <v>31</v>
      </c>
      <c r="U918" t="s">
        <v>31</v>
      </c>
      <c r="V918" t="s">
        <v>31</v>
      </c>
      <c r="W918" t="s">
        <v>31</v>
      </c>
      <c r="X918" t="s">
        <v>31</v>
      </c>
      <c r="Y918" t="s">
        <v>31</v>
      </c>
    </row>
    <row r="919" spans="1:25" hidden="1">
      <c r="A919" t="s">
        <v>25</v>
      </c>
      <c r="B919" t="s">
        <v>26</v>
      </c>
      <c r="C919" t="s">
        <v>49</v>
      </c>
      <c r="D919" s="1">
        <v>42959</v>
      </c>
      <c r="E919" s="2">
        <v>0.72916666666666663</v>
      </c>
      <c r="F919" t="s">
        <v>48</v>
      </c>
      <c r="G919" t="s">
        <v>32</v>
      </c>
      <c r="H919">
        <v>0</v>
      </c>
      <c r="I919">
        <v>0</v>
      </c>
      <c r="J919" t="s">
        <v>41</v>
      </c>
      <c r="K919">
        <v>269</v>
      </c>
      <c r="L919">
        <v>35</v>
      </c>
      <c r="M919">
        <v>272</v>
      </c>
      <c r="N919">
        <v>284</v>
      </c>
      <c r="O919">
        <v>352</v>
      </c>
      <c r="P919">
        <v>272</v>
      </c>
      <c r="Q919">
        <v>269</v>
      </c>
      <c r="R919">
        <v>33</v>
      </c>
      <c r="S919">
        <v>255</v>
      </c>
      <c r="T919" t="s">
        <v>31</v>
      </c>
      <c r="U919" t="s">
        <v>31</v>
      </c>
      <c r="V919" t="s">
        <v>31</v>
      </c>
      <c r="W919" t="s">
        <v>31</v>
      </c>
      <c r="X919" t="s">
        <v>31</v>
      </c>
      <c r="Y919" t="s">
        <v>31</v>
      </c>
    </row>
    <row r="920" spans="1:25" hidden="1">
      <c r="A920" t="s">
        <v>25</v>
      </c>
      <c r="B920" t="s">
        <v>26</v>
      </c>
      <c r="C920" t="s">
        <v>49</v>
      </c>
      <c r="D920" s="1">
        <v>42959</v>
      </c>
      <c r="E920" s="2">
        <v>0.72916666666666663</v>
      </c>
      <c r="F920" t="s">
        <v>28</v>
      </c>
      <c r="G920" t="s">
        <v>39</v>
      </c>
      <c r="H920">
        <v>2</v>
      </c>
      <c r="I920">
        <v>1</v>
      </c>
      <c r="J920" t="s">
        <v>34</v>
      </c>
      <c r="K920">
        <v>167</v>
      </c>
      <c r="L920">
        <v>39</v>
      </c>
      <c r="M920">
        <v>593</v>
      </c>
      <c r="N920">
        <v>175</v>
      </c>
      <c r="O920">
        <v>395</v>
      </c>
      <c r="P920">
        <v>61</v>
      </c>
      <c r="Q920">
        <v>165</v>
      </c>
      <c r="R920">
        <v>373</v>
      </c>
      <c r="S920">
        <v>531</v>
      </c>
      <c r="T920" t="s">
        <v>31</v>
      </c>
      <c r="U920" t="s">
        <v>31</v>
      </c>
      <c r="V920" t="s">
        <v>31</v>
      </c>
      <c r="W920" t="s">
        <v>31</v>
      </c>
      <c r="X920" t="s">
        <v>31</v>
      </c>
      <c r="Y920" t="s">
        <v>31</v>
      </c>
    </row>
    <row r="921" spans="1:25" hidden="1">
      <c r="A921" t="s">
        <v>25</v>
      </c>
      <c r="B921" t="s">
        <v>26</v>
      </c>
      <c r="C921" t="s">
        <v>49</v>
      </c>
      <c r="D921" s="1">
        <v>42960</v>
      </c>
      <c r="E921" s="2">
        <v>0.64583333333333337</v>
      </c>
      <c r="F921" t="s">
        <v>37</v>
      </c>
      <c r="G921" t="s">
        <v>35</v>
      </c>
      <c r="H921">
        <v>3</v>
      </c>
      <c r="I921">
        <v>1</v>
      </c>
      <c r="J921" t="s">
        <v>34</v>
      </c>
      <c r="K921">
        <v>414</v>
      </c>
      <c r="L921">
        <v>4</v>
      </c>
      <c r="M921">
        <v>188</v>
      </c>
      <c r="N921">
        <v>42</v>
      </c>
      <c r="O921">
        <v>4</v>
      </c>
      <c r="P921">
        <v>2</v>
      </c>
      <c r="Q921">
        <v>402</v>
      </c>
      <c r="R921">
        <v>372</v>
      </c>
      <c r="S921">
        <v>182</v>
      </c>
      <c r="T921" t="s">
        <v>31</v>
      </c>
      <c r="U921" t="s">
        <v>31</v>
      </c>
      <c r="V921" t="s">
        <v>31</v>
      </c>
      <c r="W921" t="s">
        <v>31</v>
      </c>
      <c r="X921" t="s">
        <v>31</v>
      </c>
      <c r="Y921" t="s">
        <v>31</v>
      </c>
    </row>
    <row r="922" spans="1:25" hidden="1">
      <c r="A922" t="s">
        <v>25</v>
      </c>
      <c r="B922" t="s">
        <v>26</v>
      </c>
      <c r="C922" t="s">
        <v>49</v>
      </c>
      <c r="D922" s="1">
        <v>42966</v>
      </c>
      <c r="E922" s="2">
        <v>0.625</v>
      </c>
      <c r="F922" t="s">
        <v>35</v>
      </c>
      <c r="G922" t="s">
        <v>28</v>
      </c>
      <c r="H922">
        <v>1</v>
      </c>
      <c r="I922">
        <v>2</v>
      </c>
      <c r="J922" t="s">
        <v>30</v>
      </c>
      <c r="K922">
        <v>199</v>
      </c>
      <c r="L922">
        <v>38</v>
      </c>
      <c r="M922">
        <v>386</v>
      </c>
      <c r="N922">
        <v>22</v>
      </c>
      <c r="O922">
        <v>395</v>
      </c>
      <c r="P922">
        <v>39</v>
      </c>
      <c r="Q922">
        <v>195</v>
      </c>
      <c r="R922">
        <v>364</v>
      </c>
      <c r="S922">
        <v>361</v>
      </c>
      <c r="T922" t="s">
        <v>31</v>
      </c>
      <c r="U922" t="s">
        <v>31</v>
      </c>
      <c r="V922" t="s">
        <v>31</v>
      </c>
      <c r="W922" t="s">
        <v>31</v>
      </c>
      <c r="X922" t="s">
        <v>31</v>
      </c>
      <c r="Y922" t="s">
        <v>31</v>
      </c>
    </row>
    <row r="923" spans="1:25" hidden="1">
      <c r="A923" t="s">
        <v>25</v>
      </c>
      <c r="B923" t="s">
        <v>26</v>
      </c>
      <c r="C923" t="s">
        <v>49</v>
      </c>
      <c r="D923" s="1">
        <v>42966</v>
      </c>
      <c r="E923" s="2">
        <v>0.72916666666666663</v>
      </c>
      <c r="F923" t="s">
        <v>39</v>
      </c>
      <c r="G923" t="s">
        <v>37</v>
      </c>
      <c r="H923">
        <v>2</v>
      </c>
      <c r="I923">
        <v>0</v>
      </c>
      <c r="J923" t="s">
        <v>34</v>
      </c>
      <c r="K923">
        <v>264</v>
      </c>
      <c r="L923">
        <v>338</v>
      </c>
      <c r="M923">
        <v>286</v>
      </c>
      <c r="N923">
        <v>268</v>
      </c>
      <c r="O923">
        <v>338</v>
      </c>
      <c r="P923">
        <v>31</v>
      </c>
      <c r="Q923">
        <v>253</v>
      </c>
      <c r="R923">
        <v>318</v>
      </c>
      <c r="S923">
        <v>281</v>
      </c>
      <c r="T923" t="s">
        <v>31</v>
      </c>
      <c r="U923" t="s">
        <v>31</v>
      </c>
      <c r="V923" t="s">
        <v>31</v>
      </c>
      <c r="W923" t="s">
        <v>31</v>
      </c>
      <c r="X923" t="s">
        <v>31</v>
      </c>
      <c r="Y923" t="s">
        <v>31</v>
      </c>
    </row>
    <row r="924" spans="1:25" hidden="1">
      <c r="A924" t="s">
        <v>25</v>
      </c>
      <c r="B924" t="s">
        <v>26</v>
      </c>
      <c r="C924" t="s">
        <v>49</v>
      </c>
      <c r="D924" s="1">
        <v>42967</v>
      </c>
      <c r="E924" s="2">
        <v>0.64583333333333337</v>
      </c>
      <c r="F924" t="s">
        <v>50</v>
      </c>
      <c r="G924" t="s">
        <v>45</v>
      </c>
      <c r="H924">
        <v>0</v>
      </c>
      <c r="I924">
        <v>0</v>
      </c>
      <c r="J924" t="s">
        <v>41</v>
      </c>
      <c r="K924">
        <v>202</v>
      </c>
      <c r="L924">
        <v>352</v>
      </c>
      <c r="M924">
        <v>405</v>
      </c>
      <c r="N924">
        <v>206</v>
      </c>
      <c r="O924">
        <v>36</v>
      </c>
      <c r="P924">
        <v>45</v>
      </c>
      <c r="Q924">
        <v>194</v>
      </c>
      <c r="R924">
        <v>34</v>
      </c>
      <c r="S924">
        <v>388</v>
      </c>
      <c r="T924" t="s">
        <v>31</v>
      </c>
      <c r="U924" t="s">
        <v>31</v>
      </c>
      <c r="V924" t="s">
        <v>31</v>
      </c>
      <c r="W924" t="s">
        <v>31</v>
      </c>
      <c r="X924" t="s">
        <v>31</v>
      </c>
      <c r="Y924" t="s">
        <v>31</v>
      </c>
    </row>
    <row r="925" spans="1:25" hidden="1">
      <c r="A925" t="s">
        <v>25</v>
      </c>
      <c r="B925" t="s">
        <v>26</v>
      </c>
      <c r="C925" t="s">
        <v>49</v>
      </c>
      <c r="D925" s="1">
        <v>42967</v>
      </c>
      <c r="E925" s="2">
        <v>0.64583333333333337</v>
      </c>
      <c r="F925" t="s">
        <v>29</v>
      </c>
      <c r="G925" t="s">
        <v>48</v>
      </c>
      <c r="H925">
        <v>5</v>
      </c>
      <c r="I925">
        <v>1</v>
      </c>
      <c r="J925" t="s">
        <v>34</v>
      </c>
      <c r="K925">
        <v>131</v>
      </c>
      <c r="L925">
        <v>606</v>
      </c>
      <c r="M925">
        <v>1064</v>
      </c>
      <c r="N925">
        <v>133</v>
      </c>
      <c r="O925">
        <v>606</v>
      </c>
      <c r="P925">
        <v>13</v>
      </c>
      <c r="Q925">
        <v>129</v>
      </c>
      <c r="R925">
        <v>539</v>
      </c>
      <c r="S925">
        <v>965</v>
      </c>
      <c r="T925" t="s">
        <v>31</v>
      </c>
      <c r="U925" t="s">
        <v>31</v>
      </c>
      <c r="V925" t="s">
        <v>31</v>
      </c>
      <c r="W925" t="s">
        <v>31</v>
      </c>
      <c r="X925" t="s">
        <v>31</v>
      </c>
      <c r="Y925" t="s">
        <v>31</v>
      </c>
    </row>
    <row r="926" spans="1:25" hidden="1">
      <c r="A926" t="s">
        <v>25</v>
      </c>
      <c r="B926" t="s">
        <v>26</v>
      </c>
      <c r="C926" t="s">
        <v>49</v>
      </c>
      <c r="D926" s="1">
        <v>42967</v>
      </c>
      <c r="E926" s="2">
        <v>0.75</v>
      </c>
      <c r="F926" t="s">
        <v>32</v>
      </c>
      <c r="G926" t="s">
        <v>40</v>
      </c>
      <c r="H926">
        <v>1</v>
      </c>
      <c r="I926">
        <v>3</v>
      </c>
      <c r="J926" t="s">
        <v>30</v>
      </c>
      <c r="K926">
        <v>256</v>
      </c>
      <c r="L926">
        <v>358</v>
      </c>
      <c r="M926">
        <v>282</v>
      </c>
      <c r="N926">
        <v>265</v>
      </c>
      <c r="O926">
        <v>366</v>
      </c>
      <c r="P926">
        <v>284</v>
      </c>
      <c r="Q926">
        <v>245</v>
      </c>
      <c r="R926">
        <v>344</v>
      </c>
      <c r="S926">
        <v>272</v>
      </c>
      <c r="T926" t="s">
        <v>31</v>
      </c>
      <c r="U926" t="s">
        <v>31</v>
      </c>
      <c r="V926" t="s">
        <v>31</v>
      </c>
      <c r="W926" t="s">
        <v>31</v>
      </c>
      <c r="X926" t="s">
        <v>31</v>
      </c>
      <c r="Y926" t="s">
        <v>31</v>
      </c>
    </row>
    <row r="927" spans="1:25" hidden="1">
      <c r="A927" t="s">
        <v>25</v>
      </c>
      <c r="B927" t="s">
        <v>26</v>
      </c>
      <c r="C927" t="s">
        <v>49</v>
      </c>
      <c r="D927" s="1">
        <v>42973</v>
      </c>
      <c r="E927" s="2">
        <v>0.625</v>
      </c>
      <c r="F927" t="s">
        <v>39</v>
      </c>
      <c r="G927" t="s">
        <v>48</v>
      </c>
      <c r="H927">
        <v>2</v>
      </c>
      <c r="I927">
        <v>1</v>
      </c>
      <c r="J927" t="s">
        <v>34</v>
      </c>
      <c r="K927">
        <v>226</v>
      </c>
      <c r="L927">
        <v>336</v>
      </c>
      <c r="M927">
        <v>352</v>
      </c>
      <c r="N927">
        <v>226</v>
      </c>
      <c r="O927">
        <v>345</v>
      </c>
      <c r="P927">
        <v>38</v>
      </c>
      <c r="Q927">
        <v>215</v>
      </c>
      <c r="R927">
        <v>329</v>
      </c>
      <c r="S927">
        <v>338</v>
      </c>
      <c r="T927" t="s">
        <v>31</v>
      </c>
      <c r="U927" t="s">
        <v>31</v>
      </c>
      <c r="V927" t="s">
        <v>31</v>
      </c>
      <c r="W927" t="s">
        <v>31</v>
      </c>
      <c r="X927" t="s">
        <v>31</v>
      </c>
      <c r="Y927" t="s">
        <v>31</v>
      </c>
    </row>
    <row r="928" spans="1:25" hidden="1">
      <c r="A928" t="s">
        <v>25</v>
      </c>
      <c r="B928" t="s">
        <v>26</v>
      </c>
      <c r="C928" t="s">
        <v>49</v>
      </c>
      <c r="D928" s="1">
        <v>42973</v>
      </c>
      <c r="E928" s="2">
        <v>0.72916666666666663</v>
      </c>
      <c r="F928" t="s">
        <v>35</v>
      </c>
      <c r="G928" t="s">
        <v>50</v>
      </c>
      <c r="H928">
        <v>1</v>
      </c>
      <c r="I928">
        <v>0</v>
      </c>
      <c r="J928" t="s">
        <v>34</v>
      </c>
      <c r="K928">
        <v>184</v>
      </c>
      <c r="L928">
        <v>373</v>
      </c>
      <c r="M928">
        <v>469</v>
      </c>
      <c r="N928">
        <v>19</v>
      </c>
      <c r="O928">
        <v>392</v>
      </c>
      <c r="P928">
        <v>475</v>
      </c>
      <c r="Q928">
        <v>182</v>
      </c>
      <c r="R928">
        <v>359</v>
      </c>
      <c r="S928">
        <v>424</v>
      </c>
      <c r="T928" t="s">
        <v>31</v>
      </c>
      <c r="U928" t="s">
        <v>31</v>
      </c>
      <c r="V928" t="s">
        <v>31</v>
      </c>
      <c r="W928" t="s">
        <v>31</v>
      </c>
      <c r="X928" t="s">
        <v>31</v>
      </c>
      <c r="Y928" t="s">
        <v>31</v>
      </c>
    </row>
    <row r="929" spans="1:25" hidden="1">
      <c r="A929" t="s">
        <v>25</v>
      </c>
      <c r="B929" t="s">
        <v>26</v>
      </c>
      <c r="C929" t="s">
        <v>49</v>
      </c>
      <c r="D929" s="1">
        <v>42974</v>
      </c>
      <c r="E929" s="2">
        <v>0.64583333333333337</v>
      </c>
      <c r="F929" t="s">
        <v>45</v>
      </c>
      <c r="G929" t="s">
        <v>32</v>
      </c>
      <c r="H929">
        <v>1</v>
      </c>
      <c r="I929">
        <v>0</v>
      </c>
      <c r="J929" t="s">
        <v>34</v>
      </c>
      <c r="K929">
        <v>215</v>
      </c>
      <c r="L929">
        <v>339</v>
      </c>
      <c r="M929">
        <v>377</v>
      </c>
      <c r="N929">
        <v>227</v>
      </c>
      <c r="O929">
        <v>339</v>
      </c>
      <c r="P929">
        <v>377</v>
      </c>
      <c r="Q929">
        <v>217</v>
      </c>
      <c r="R929">
        <v>322</v>
      </c>
      <c r="S929">
        <v>339</v>
      </c>
      <c r="T929" t="s">
        <v>31</v>
      </c>
      <c r="U929" t="s">
        <v>31</v>
      </c>
      <c r="V929" t="s">
        <v>31</v>
      </c>
      <c r="W929" t="s">
        <v>31</v>
      </c>
      <c r="X929" t="s">
        <v>31</v>
      </c>
      <c r="Y929" t="s">
        <v>31</v>
      </c>
    </row>
    <row r="930" spans="1:25" hidden="1">
      <c r="A930" t="s">
        <v>25</v>
      </c>
      <c r="B930" t="s">
        <v>26</v>
      </c>
      <c r="C930" t="s">
        <v>49</v>
      </c>
      <c r="D930" s="1">
        <v>42974</v>
      </c>
      <c r="E930" s="2">
        <v>0.64583333333333337</v>
      </c>
      <c r="F930" t="s">
        <v>28</v>
      </c>
      <c r="G930" t="s">
        <v>29</v>
      </c>
      <c r="H930">
        <v>1</v>
      </c>
      <c r="I930">
        <v>0</v>
      </c>
      <c r="J930" t="s">
        <v>34</v>
      </c>
      <c r="K930">
        <v>39</v>
      </c>
      <c r="L930">
        <v>383</v>
      </c>
      <c r="M930">
        <v>197</v>
      </c>
      <c r="N930">
        <v>45</v>
      </c>
      <c r="O930">
        <v>383</v>
      </c>
      <c r="P930">
        <v>2</v>
      </c>
      <c r="Q930">
        <v>387</v>
      </c>
      <c r="R930">
        <v>353</v>
      </c>
      <c r="S930">
        <v>191</v>
      </c>
      <c r="T930" t="s">
        <v>31</v>
      </c>
      <c r="U930" t="s">
        <v>31</v>
      </c>
      <c r="V930" t="s">
        <v>31</v>
      </c>
      <c r="W930" t="s">
        <v>31</v>
      </c>
      <c r="X930" t="s">
        <v>31</v>
      </c>
      <c r="Y930" t="s">
        <v>31</v>
      </c>
    </row>
    <row r="931" spans="1:25" hidden="1">
      <c r="A931" t="s">
        <v>25</v>
      </c>
      <c r="B931" t="s">
        <v>26</v>
      </c>
      <c r="C931" t="s">
        <v>49</v>
      </c>
      <c r="D931" s="1">
        <v>42974</v>
      </c>
      <c r="E931" s="2">
        <v>0.75</v>
      </c>
      <c r="F931" t="s">
        <v>37</v>
      </c>
      <c r="G931" t="s">
        <v>40</v>
      </c>
      <c r="H931">
        <v>1</v>
      </c>
      <c r="I931">
        <v>3</v>
      </c>
      <c r="J931" t="s">
        <v>30</v>
      </c>
      <c r="K931">
        <v>307</v>
      </c>
      <c r="L931">
        <v>377</v>
      </c>
      <c r="M931">
        <v>231</v>
      </c>
      <c r="N931">
        <v>36</v>
      </c>
      <c r="O931">
        <v>377</v>
      </c>
      <c r="P931">
        <v>232</v>
      </c>
      <c r="Q931">
        <v>305</v>
      </c>
      <c r="R931">
        <v>348</v>
      </c>
      <c r="S931">
        <v>222</v>
      </c>
      <c r="T931" t="s">
        <v>31</v>
      </c>
      <c r="U931" t="s">
        <v>31</v>
      </c>
      <c r="V931" t="s">
        <v>31</v>
      </c>
      <c r="W931" t="s">
        <v>31</v>
      </c>
      <c r="X931" t="s">
        <v>31</v>
      </c>
      <c r="Y931" t="s">
        <v>31</v>
      </c>
    </row>
    <row r="932" spans="1:25" hidden="1">
      <c r="A932" t="s">
        <v>25</v>
      </c>
      <c r="B932" t="s">
        <v>26</v>
      </c>
      <c r="C932" t="s">
        <v>49</v>
      </c>
      <c r="D932" s="1">
        <v>42987</v>
      </c>
      <c r="E932" s="2">
        <v>0.625</v>
      </c>
      <c r="F932" t="s">
        <v>50</v>
      </c>
      <c r="G932" t="s">
        <v>28</v>
      </c>
      <c r="H932">
        <v>2</v>
      </c>
      <c r="I932">
        <v>1</v>
      </c>
      <c r="J932" t="s">
        <v>34</v>
      </c>
      <c r="K932">
        <v>277</v>
      </c>
      <c r="L932">
        <v>325</v>
      </c>
      <c r="M932">
        <v>281</v>
      </c>
      <c r="N932">
        <v>29</v>
      </c>
      <c r="O932">
        <v>336</v>
      </c>
      <c r="P932">
        <v>281</v>
      </c>
      <c r="Q932">
        <v>268</v>
      </c>
      <c r="R932">
        <v>32</v>
      </c>
      <c r="S932">
        <v>262</v>
      </c>
      <c r="T932" t="s">
        <v>31</v>
      </c>
      <c r="U932" t="s">
        <v>31</v>
      </c>
      <c r="V932" t="s">
        <v>31</v>
      </c>
      <c r="W932" t="s">
        <v>31</v>
      </c>
      <c r="X932" t="s">
        <v>31</v>
      </c>
      <c r="Y932" t="s">
        <v>31</v>
      </c>
    </row>
    <row r="933" spans="1:25" hidden="1">
      <c r="A933" t="s">
        <v>25</v>
      </c>
      <c r="B933" t="s">
        <v>26</v>
      </c>
      <c r="C933" t="s">
        <v>49</v>
      </c>
      <c r="D933" s="1">
        <v>42987</v>
      </c>
      <c r="E933" s="2">
        <v>0.72916666666666663</v>
      </c>
      <c r="F933" t="s">
        <v>40</v>
      </c>
      <c r="G933" t="s">
        <v>39</v>
      </c>
      <c r="H933">
        <v>2</v>
      </c>
      <c r="I933">
        <v>2</v>
      </c>
      <c r="J933" t="s">
        <v>41</v>
      </c>
      <c r="K933">
        <v>183</v>
      </c>
      <c r="L933">
        <v>394</v>
      </c>
      <c r="M933">
        <v>45</v>
      </c>
      <c r="N933">
        <v>187</v>
      </c>
      <c r="O933">
        <v>4</v>
      </c>
      <c r="P933">
        <v>55</v>
      </c>
      <c r="Q933">
        <v>181</v>
      </c>
      <c r="R933">
        <v>369</v>
      </c>
      <c r="S933">
        <v>417</v>
      </c>
      <c r="T933" t="s">
        <v>31</v>
      </c>
      <c r="U933" t="s">
        <v>31</v>
      </c>
      <c r="V933" t="s">
        <v>31</v>
      </c>
      <c r="W933" t="s">
        <v>31</v>
      </c>
      <c r="X933" t="s">
        <v>31</v>
      </c>
      <c r="Y933" t="s">
        <v>31</v>
      </c>
    </row>
    <row r="934" spans="1:25" hidden="1">
      <c r="A934" t="s">
        <v>25</v>
      </c>
      <c r="B934" t="s">
        <v>26</v>
      </c>
      <c r="C934" t="s">
        <v>49</v>
      </c>
      <c r="D934" s="1">
        <v>42987</v>
      </c>
      <c r="E934" s="2">
        <v>0.72916666666666663</v>
      </c>
      <c r="F934" t="s">
        <v>32</v>
      </c>
      <c r="G934" t="s">
        <v>37</v>
      </c>
      <c r="H934">
        <v>0</v>
      </c>
      <c r="I934">
        <v>5</v>
      </c>
      <c r="J934" t="s">
        <v>30</v>
      </c>
      <c r="K934">
        <v>211</v>
      </c>
      <c r="L934">
        <v>364</v>
      </c>
      <c r="M934">
        <v>363</v>
      </c>
      <c r="N934">
        <v>22</v>
      </c>
      <c r="O934">
        <v>365</v>
      </c>
      <c r="P934">
        <v>371</v>
      </c>
      <c r="Q934">
        <v>205</v>
      </c>
      <c r="R934">
        <v>344</v>
      </c>
      <c r="S934">
        <v>347</v>
      </c>
      <c r="T934" t="s">
        <v>31</v>
      </c>
      <c r="U934" t="s">
        <v>31</v>
      </c>
      <c r="V934" t="s">
        <v>31</v>
      </c>
      <c r="W934" t="s">
        <v>31</v>
      </c>
      <c r="X934" t="s">
        <v>31</v>
      </c>
      <c r="Y934" t="s">
        <v>31</v>
      </c>
    </row>
    <row r="935" spans="1:25" hidden="1">
      <c r="A935" t="s">
        <v>25</v>
      </c>
      <c r="B935" t="s">
        <v>26</v>
      </c>
      <c r="C935" t="s">
        <v>49</v>
      </c>
      <c r="D935" s="1">
        <v>42987</v>
      </c>
      <c r="E935" s="2">
        <v>0.72916666666666663</v>
      </c>
      <c r="F935" t="s">
        <v>48</v>
      </c>
      <c r="G935" t="s">
        <v>45</v>
      </c>
      <c r="H935">
        <v>1</v>
      </c>
      <c r="I935">
        <v>2</v>
      </c>
      <c r="J935" t="s">
        <v>30</v>
      </c>
      <c r="K935">
        <v>26</v>
      </c>
      <c r="L935">
        <v>336</v>
      </c>
      <c r="M935">
        <v>292</v>
      </c>
      <c r="N935">
        <v>274</v>
      </c>
      <c r="O935">
        <v>336</v>
      </c>
      <c r="P935">
        <v>292</v>
      </c>
      <c r="Q935">
        <v>259</v>
      </c>
      <c r="R935">
        <v>32</v>
      </c>
      <c r="S935">
        <v>272</v>
      </c>
      <c r="T935" t="s">
        <v>31</v>
      </c>
      <c r="U935" t="s">
        <v>31</v>
      </c>
      <c r="V935" t="s">
        <v>31</v>
      </c>
      <c r="W935" t="s">
        <v>31</v>
      </c>
      <c r="X935" t="s">
        <v>31</v>
      </c>
      <c r="Y935" t="s">
        <v>31</v>
      </c>
    </row>
    <row r="936" spans="1:25" hidden="1">
      <c r="A936" t="s">
        <v>25</v>
      </c>
      <c r="B936" t="s">
        <v>26</v>
      </c>
      <c r="C936" t="s">
        <v>49</v>
      </c>
      <c r="D936" s="1">
        <v>42988</v>
      </c>
      <c r="E936" s="2">
        <v>0.64583333333333337</v>
      </c>
      <c r="F936" t="s">
        <v>29</v>
      </c>
      <c r="G936" t="s">
        <v>35</v>
      </c>
      <c r="H936">
        <v>2</v>
      </c>
      <c r="I936">
        <v>2</v>
      </c>
      <c r="J936" t="s">
        <v>41</v>
      </c>
      <c r="K936">
        <v>163</v>
      </c>
      <c r="L936">
        <v>412</v>
      </c>
      <c r="M936">
        <v>595</v>
      </c>
      <c r="N936">
        <v>165</v>
      </c>
      <c r="O936">
        <v>412</v>
      </c>
      <c r="P936">
        <v>595</v>
      </c>
      <c r="Q936">
        <v>162</v>
      </c>
      <c r="R936">
        <v>388</v>
      </c>
      <c r="S936">
        <v>526</v>
      </c>
      <c r="T936" t="s">
        <v>31</v>
      </c>
      <c r="U936" t="s">
        <v>31</v>
      </c>
      <c r="V936" t="s">
        <v>31</v>
      </c>
      <c r="W936" t="s">
        <v>31</v>
      </c>
      <c r="X936" t="s">
        <v>31</v>
      </c>
      <c r="Y936" t="s">
        <v>31</v>
      </c>
    </row>
    <row r="937" spans="1:25" hidden="1">
      <c r="A937" t="s">
        <v>25</v>
      </c>
      <c r="B937" t="s">
        <v>26</v>
      </c>
      <c r="C937" t="s">
        <v>49</v>
      </c>
      <c r="D937" s="1">
        <v>42994</v>
      </c>
      <c r="E937" s="2">
        <v>0.625</v>
      </c>
      <c r="F937" t="s">
        <v>45</v>
      </c>
      <c r="G937" t="s">
        <v>35</v>
      </c>
      <c r="H937">
        <v>2</v>
      </c>
      <c r="I937">
        <v>2</v>
      </c>
      <c r="J937" t="s">
        <v>41</v>
      </c>
      <c r="K937">
        <v>351</v>
      </c>
      <c r="L937">
        <v>333</v>
      </c>
      <c r="M937">
        <v>228</v>
      </c>
      <c r="N937">
        <v>354</v>
      </c>
      <c r="O937">
        <v>34</v>
      </c>
      <c r="P937">
        <v>236</v>
      </c>
      <c r="Q937">
        <v>324</v>
      </c>
      <c r="R937">
        <v>328</v>
      </c>
      <c r="S937">
        <v>222</v>
      </c>
      <c r="T937" t="s">
        <v>31</v>
      </c>
      <c r="U937" t="s">
        <v>31</v>
      </c>
      <c r="V937" t="s">
        <v>31</v>
      </c>
      <c r="W937" t="s">
        <v>31</v>
      </c>
      <c r="X937" t="s">
        <v>31</v>
      </c>
      <c r="Y937" t="s">
        <v>31</v>
      </c>
    </row>
    <row r="938" spans="1:25" hidden="1">
      <c r="A938" t="s">
        <v>25</v>
      </c>
      <c r="B938" t="s">
        <v>26</v>
      </c>
      <c r="C938" t="s">
        <v>49</v>
      </c>
      <c r="D938" s="1">
        <v>42994</v>
      </c>
      <c r="E938" s="2">
        <v>0.72916666666666663</v>
      </c>
      <c r="F938" t="s">
        <v>39</v>
      </c>
      <c r="G938" t="s">
        <v>50</v>
      </c>
      <c r="H938">
        <v>0</v>
      </c>
      <c r="I938">
        <v>0</v>
      </c>
      <c r="J938" t="s">
        <v>41</v>
      </c>
      <c r="K938">
        <v>284</v>
      </c>
      <c r="L938">
        <v>321</v>
      </c>
      <c r="M938">
        <v>277</v>
      </c>
      <c r="N938">
        <v>285</v>
      </c>
      <c r="O938">
        <v>33</v>
      </c>
      <c r="P938">
        <v>286</v>
      </c>
      <c r="Q938">
        <v>266</v>
      </c>
      <c r="R938">
        <v>308</v>
      </c>
      <c r="S938">
        <v>274</v>
      </c>
      <c r="T938" t="s">
        <v>31</v>
      </c>
      <c r="U938" t="s">
        <v>31</v>
      </c>
      <c r="V938" t="s">
        <v>31</v>
      </c>
      <c r="W938" t="s">
        <v>31</v>
      </c>
      <c r="X938" t="s">
        <v>31</v>
      </c>
      <c r="Y938" t="s">
        <v>31</v>
      </c>
    </row>
    <row r="939" spans="1:25" hidden="1">
      <c r="A939" t="s">
        <v>25</v>
      </c>
      <c r="B939" t="s">
        <v>26</v>
      </c>
      <c r="C939" t="s">
        <v>49</v>
      </c>
      <c r="D939" s="1">
        <v>42994</v>
      </c>
      <c r="E939" s="2">
        <v>0.72916666666666663</v>
      </c>
      <c r="F939" t="s">
        <v>37</v>
      </c>
      <c r="G939" t="s">
        <v>28</v>
      </c>
      <c r="H939">
        <v>2</v>
      </c>
      <c r="I939">
        <v>1</v>
      </c>
      <c r="J939" t="s">
        <v>34</v>
      </c>
      <c r="K939">
        <v>334</v>
      </c>
      <c r="L939">
        <v>367</v>
      </c>
      <c r="M939">
        <v>221</v>
      </c>
      <c r="N939">
        <v>334</v>
      </c>
      <c r="O939">
        <v>37</v>
      </c>
      <c r="P939">
        <v>238</v>
      </c>
      <c r="Q939">
        <v>304</v>
      </c>
      <c r="R939">
        <v>345</v>
      </c>
      <c r="S939">
        <v>225</v>
      </c>
      <c r="T939" t="s">
        <v>31</v>
      </c>
      <c r="U939" t="s">
        <v>31</v>
      </c>
      <c r="V939" t="s">
        <v>31</v>
      </c>
      <c r="W939" t="s">
        <v>31</v>
      </c>
      <c r="X939" t="s">
        <v>31</v>
      </c>
      <c r="Y939" t="s">
        <v>31</v>
      </c>
    </row>
    <row r="940" spans="1:25" hidden="1">
      <c r="A940" t="s">
        <v>25</v>
      </c>
      <c r="B940" t="s">
        <v>26</v>
      </c>
      <c r="C940" t="s">
        <v>49</v>
      </c>
      <c r="D940" s="1">
        <v>42995</v>
      </c>
      <c r="E940" s="2">
        <v>0.64583333333333337</v>
      </c>
      <c r="F940" t="s">
        <v>32</v>
      </c>
      <c r="G940" t="s">
        <v>29</v>
      </c>
      <c r="H940">
        <v>1</v>
      </c>
      <c r="I940">
        <v>2</v>
      </c>
      <c r="J940" t="s">
        <v>30</v>
      </c>
      <c r="K940">
        <v>593</v>
      </c>
      <c r="L940">
        <v>419</v>
      </c>
      <c r="M940">
        <v>162</v>
      </c>
      <c r="N940">
        <v>601</v>
      </c>
      <c r="O940">
        <v>42</v>
      </c>
      <c r="P940">
        <v>164</v>
      </c>
      <c r="Q940">
        <v>548</v>
      </c>
      <c r="R940">
        <v>395</v>
      </c>
      <c r="S940">
        <v>159</v>
      </c>
      <c r="T940" t="s">
        <v>31</v>
      </c>
      <c r="U940" t="s">
        <v>31</v>
      </c>
      <c r="V940" t="s">
        <v>31</v>
      </c>
      <c r="W940" t="s">
        <v>31</v>
      </c>
      <c r="X940" t="s">
        <v>31</v>
      </c>
      <c r="Y940" t="s">
        <v>31</v>
      </c>
    </row>
    <row r="941" spans="1:25" hidden="1">
      <c r="A941" t="s">
        <v>25</v>
      </c>
      <c r="B941" t="s">
        <v>26</v>
      </c>
      <c r="C941" t="s">
        <v>49</v>
      </c>
      <c r="D941" s="1">
        <v>42995</v>
      </c>
      <c r="E941" s="2">
        <v>0.75</v>
      </c>
      <c r="F941" t="s">
        <v>40</v>
      </c>
      <c r="G941" t="s">
        <v>48</v>
      </c>
      <c r="H941">
        <v>5</v>
      </c>
      <c r="I941">
        <v>1</v>
      </c>
      <c r="J941" t="s">
        <v>34</v>
      </c>
      <c r="K941">
        <v>167</v>
      </c>
      <c r="L941">
        <v>432</v>
      </c>
      <c r="M941">
        <v>514</v>
      </c>
      <c r="N941">
        <v>17</v>
      </c>
      <c r="O941">
        <v>45</v>
      </c>
      <c r="P941">
        <v>54</v>
      </c>
      <c r="Q941">
        <v>164</v>
      </c>
      <c r="R941">
        <v>409</v>
      </c>
      <c r="S941">
        <v>476</v>
      </c>
      <c r="T941" t="s">
        <v>31</v>
      </c>
      <c r="U941" t="s">
        <v>31</v>
      </c>
      <c r="V941" t="s">
        <v>31</v>
      </c>
      <c r="W941" t="s">
        <v>31</v>
      </c>
      <c r="X941" t="s">
        <v>31</v>
      </c>
      <c r="Y941" t="s">
        <v>31</v>
      </c>
    </row>
    <row r="942" spans="1:25" hidden="1">
      <c r="A942" t="s">
        <v>25</v>
      </c>
      <c r="B942" t="s">
        <v>26</v>
      </c>
      <c r="C942" t="s">
        <v>49</v>
      </c>
      <c r="D942" s="1">
        <v>43001</v>
      </c>
      <c r="E942" s="2">
        <v>0.625</v>
      </c>
      <c r="F942" t="s">
        <v>35</v>
      </c>
      <c r="G942" t="s">
        <v>39</v>
      </c>
      <c r="H942">
        <v>4</v>
      </c>
      <c r="I942">
        <v>2</v>
      </c>
      <c r="J942" t="s">
        <v>34</v>
      </c>
      <c r="K942">
        <v>149</v>
      </c>
      <c r="L942">
        <v>472</v>
      </c>
      <c r="M942">
        <v>711</v>
      </c>
      <c r="N942">
        <v>16</v>
      </c>
      <c r="O942">
        <v>472</v>
      </c>
      <c r="P942">
        <v>711</v>
      </c>
      <c r="Q942">
        <v>148</v>
      </c>
      <c r="R942">
        <v>43</v>
      </c>
      <c r="S942">
        <v>64</v>
      </c>
      <c r="T942" t="s">
        <v>31</v>
      </c>
      <c r="U942" t="s">
        <v>31</v>
      </c>
      <c r="V942" t="s">
        <v>31</v>
      </c>
      <c r="W942" t="s">
        <v>31</v>
      </c>
      <c r="X942" t="s">
        <v>31</v>
      </c>
      <c r="Y942" t="s">
        <v>31</v>
      </c>
    </row>
    <row r="943" spans="1:25" hidden="1">
      <c r="A943" t="s">
        <v>25</v>
      </c>
      <c r="B943" t="s">
        <v>26</v>
      </c>
      <c r="C943" t="s">
        <v>49</v>
      </c>
      <c r="D943" s="1">
        <v>43001</v>
      </c>
      <c r="E943" s="2">
        <v>0.72916666666666663</v>
      </c>
      <c r="F943" t="s">
        <v>50</v>
      </c>
      <c r="G943" t="s">
        <v>32</v>
      </c>
      <c r="H943">
        <v>2</v>
      </c>
      <c r="I943">
        <v>2</v>
      </c>
      <c r="J943" t="s">
        <v>41</v>
      </c>
      <c r="K943">
        <v>19</v>
      </c>
      <c r="L943">
        <v>352</v>
      </c>
      <c r="M943">
        <v>465</v>
      </c>
      <c r="N943">
        <v>196</v>
      </c>
      <c r="O943">
        <v>36</v>
      </c>
      <c r="P943">
        <v>477</v>
      </c>
      <c r="Q943">
        <v>186</v>
      </c>
      <c r="R943">
        <v>335</v>
      </c>
      <c r="S943">
        <v>438</v>
      </c>
      <c r="T943" t="s">
        <v>31</v>
      </c>
      <c r="U943" t="s">
        <v>31</v>
      </c>
      <c r="V943" t="s">
        <v>31</v>
      </c>
      <c r="W943" t="s">
        <v>31</v>
      </c>
      <c r="X943" t="s">
        <v>31</v>
      </c>
      <c r="Y943" t="s">
        <v>31</v>
      </c>
    </row>
    <row r="944" spans="1:25" hidden="1">
      <c r="A944" t="s">
        <v>25</v>
      </c>
      <c r="B944" t="s">
        <v>26</v>
      </c>
      <c r="C944" t="s">
        <v>49</v>
      </c>
      <c r="D944" s="1">
        <v>43001</v>
      </c>
      <c r="E944" s="2">
        <v>0.72916666666666663</v>
      </c>
      <c r="F944" t="s">
        <v>48</v>
      </c>
      <c r="G944" t="s">
        <v>37</v>
      </c>
      <c r="H944">
        <v>1</v>
      </c>
      <c r="I944">
        <v>1</v>
      </c>
      <c r="J944" t="s">
        <v>41</v>
      </c>
      <c r="K944">
        <v>303</v>
      </c>
      <c r="L944">
        <v>344</v>
      </c>
      <c r="M944">
        <v>247</v>
      </c>
      <c r="N944">
        <v>303</v>
      </c>
      <c r="O944">
        <v>351</v>
      </c>
      <c r="P944">
        <v>257</v>
      </c>
      <c r="Q944">
        <v>287</v>
      </c>
      <c r="R944">
        <v>336</v>
      </c>
      <c r="S944">
        <v>239</v>
      </c>
      <c r="T944" t="s">
        <v>31</v>
      </c>
      <c r="U944" t="s">
        <v>31</v>
      </c>
      <c r="V944" t="s">
        <v>31</v>
      </c>
      <c r="W944" t="s">
        <v>31</v>
      </c>
      <c r="X944" t="s">
        <v>31</v>
      </c>
      <c r="Y944" t="s">
        <v>31</v>
      </c>
    </row>
    <row r="945" spans="1:25" hidden="1">
      <c r="A945" t="s">
        <v>25</v>
      </c>
      <c r="B945" t="s">
        <v>26</v>
      </c>
      <c r="C945" t="s">
        <v>49</v>
      </c>
      <c r="D945" s="1">
        <v>43001</v>
      </c>
      <c r="E945" s="2">
        <v>0.72916666666666663</v>
      </c>
      <c r="F945" t="s">
        <v>28</v>
      </c>
      <c r="G945" t="s">
        <v>45</v>
      </c>
      <c r="H945">
        <v>0</v>
      </c>
      <c r="I945">
        <v>0</v>
      </c>
      <c r="J945" t="s">
        <v>41</v>
      </c>
      <c r="K945">
        <v>162</v>
      </c>
      <c r="L945">
        <v>421</v>
      </c>
      <c r="M945">
        <v>593</v>
      </c>
      <c r="N945">
        <v>175</v>
      </c>
      <c r="O945">
        <v>421</v>
      </c>
      <c r="P945">
        <v>65</v>
      </c>
      <c r="Q945">
        <v>158</v>
      </c>
      <c r="R945">
        <v>396</v>
      </c>
      <c r="S945">
        <v>559</v>
      </c>
      <c r="T945" t="s">
        <v>31</v>
      </c>
      <c r="U945" t="s">
        <v>31</v>
      </c>
      <c r="V945" t="s">
        <v>31</v>
      </c>
      <c r="W945" t="s">
        <v>31</v>
      </c>
      <c r="X945" t="s">
        <v>31</v>
      </c>
      <c r="Y945" t="s">
        <v>31</v>
      </c>
    </row>
    <row r="946" spans="1:25" hidden="1">
      <c r="A946" t="s">
        <v>25</v>
      </c>
      <c r="B946" t="s">
        <v>26</v>
      </c>
      <c r="C946" t="s">
        <v>49</v>
      </c>
      <c r="D946" s="1">
        <v>43002</v>
      </c>
      <c r="E946" s="2">
        <v>0.64583333333333337</v>
      </c>
      <c r="F946" t="s">
        <v>29</v>
      </c>
      <c r="G946" t="s">
        <v>40</v>
      </c>
      <c r="H946">
        <v>0</v>
      </c>
      <c r="I946">
        <v>0</v>
      </c>
      <c r="J946" t="s">
        <v>41</v>
      </c>
      <c r="K946">
        <v>128</v>
      </c>
      <c r="L946">
        <v>648</v>
      </c>
      <c r="M946">
        <v>1141</v>
      </c>
      <c r="N946">
        <v>15</v>
      </c>
      <c r="O946">
        <v>648</v>
      </c>
      <c r="P946">
        <v>1141</v>
      </c>
      <c r="Q946">
        <v>129</v>
      </c>
      <c r="R946">
        <v>566</v>
      </c>
      <c r="S946">
        <v>925</v>
      </c>
      <c r="T946" t="s">
        <v>31</v>
      </c>
      <c r="U946" t="s">
        <v>31</v>
      </c>
      <c r="V946" t="s">
        <v>31</v>
      </c>
      <c r="W946" t="s">
        <v>31</v>
      </c>
      <c r="X946" t="s">
        <v>31</v>
      </c>
      <c r="Y946" t="s">
        <v>31</v>
      </c>
    </row>
    <row r="947" spans="1:25" hidden="1">
      <c r="A947" t="s">
        <v>25</v>
      </c>
      <c r="B947" t="s">
        <v>26</v>
      </c>
      <c r="C947" t="s">
        <v>49</v>
      </c>
      <c r="D947" s="1">
        <v>43008</v>
      </c>
      <c r="E947" s="2">
        <v>0.625</v>
      </c>
      <c r="F947" t="s">
        <v>48</v>
      </c>
      <c r="G947" t="s">
        <v>28</v>
      </c>
      <c r="H947">
        <v>0</v>
      </c>
      <c r="I947">
        <v>3</v>
      </c>
      <c r="J947" t="s">
        <v>30</v>
      </c>
      <c r="K947">
        <v>397</v>
      </c>
      <c r="L947">
        <v>362</v>
      </c>
      <c r="M947">
        <v>201</v>
      </c>
      <c r="N947">
        <v>401</v>
      </c>
      <c r="O947">
        <v>369</v>
      </c>
      <c r="P947">
        <v>201</v>
      </c>
      <c r="Q947">
        <v>368</v>
      </c>
      <c r="R947">
        <v>356</v>
      </c>
      <c r="S947">
        <v>195</v>
      </c>
      <c r="T947" t="s">
        <v>31</v>
      </c>
      <c r="U947" t="s">
        <v>31</v>
      </c>
      <c r="V947" t="s">
        <v>31</v>
      </c>
      <c r="W947" t="s">
        <v>31</v>
      </c>
      <c r="X947" t="s">
        <v>31</v>
      </c>
      <c r="Y947" t="s">
        <v>31</v>
      </c>
    </row>
    <row r="948" spans="1:25" hidden="1">
      <c r="A948" t="s">
        <v>25</v>
      </c>
      <c r="B948" t="s">
        <v>26</v>
      </c>
      <c r="C948" t="s">
        <v>49</v>
      </c>
      <c r="D948" s="1">
        <v>43008</v>
      </c>
      <c r="E948" s="2">
        <v>0.72916666666666663</v>
      </c>
      <c r="F948" t="s">
        <v>37</v>
      </c>
      <c r="G948" t="s">
        <v>50</v>
      </c>
      <c r="H948">
        <v>4</v>
      </c>
      <c r="I948">
        <v>2</v>
      </c>
      <c r="J948" t="s">
        <v>34</v>
      </c>
      <c r="K948">
        <v>351</v>
      </c>
      <c r="L948">
        <v>35</v>
      </c>
      <c r="M948">
        <v>22</v>
      </c>
      <c r="N948">
        <v>351</v>
      </c>
      <c r="O948">
        <v>355</v>
      </c>
      <c r="P948">
        <v>24</v>
      </c>
      <c r="Q948">
        <v>33</v>
      </c>
      <c r="R948">
        <v>33</v>
      </c>
      <c r="S948">
        <v>219</v>
      </c>
      <c r="T948" t="s">
        <v>31</v>
      </c>
      <c r="U948" t="s">
        <v>31</v>
      </c>
      <c r="V948" t="s">
        <v>31</v>
      </c>
      <c r="W948" t="s">
        <v>31</v>
      </c>
      <c r="X948" t="s">
        <v>31</v>
      </c>
      <c r="Y948" t="s">
        <v>31</v>
      </c>
    </row>
    <row r="949" spans="1:25" hidden="1">
      <c r="A949" t="s">
        <v>25</v>
      </c>
      <c r="B949" t="s">
        <v>26</v>
      </c>
      <c r="C949" t="s">
        <v>49</v>
      </c>
      <c r="D949" s="1">
        <v>43008</v>
      </c>
      <c r="E949" s="2">
        <v>0.72916666666666663</v>
      </c>
      <c r="F949" t="s">
        <v>32</v>
      </c>
      <c r="G949" t="s">
        <v>35</v>
      </c>
      <c r="H949">
        <v>0</v>
      </c>
      <c r="I949">
        <v>1</v>
      </c>
      <c r="J949" t="s">
        <v>30</v>
      </c>
      <c r="K949">
        <v>433</v>
      </c>
      <c r="L949">
        <v>378</v>
      </c>
      <c r="M949">
        <v>188</v>
      </c>
      <c r="N949">
        <v>48</v>
      </c>
      <c r="O949">
        <v>386</v>
      </c>
      <c r="P949">
        <v>195</v>
      </c>
      <c r="Q949">
        <v>414</v>
      </c>
      <c r="R949">
        <v>359</v>
      </c>
      <c r="S949">
        <v>184</v>
      </c>
      <c r="T949" t="s">
        <v>31</v>
      </c>
      <c r="U949" t="s">
        <v>31</v>
      </c>
      <c r="V949" t="s">
        <v>31</v>
      </c>
      <c r="W949" t="s">
        <v>31</v>
      </c>
      <c r="X949" t="s">
        <v>31</v>
      </c>
      <c r="Y949" t="s">
        <v>31</v>
      </c>
    </row>
    <row r="950" spans="1:25" hidden="1">
      <c r="A950" t="s">
        <v>25</v>
      </c>
      <c r="B950" t="s">
        <v>26</v>
      </c>
      <c r="C950" t="s">
        <v>49</v>
      </c>
      <c r="D950" s="1">
        <v>43009</v>
      </c>
      <c r="E950" s="2">
        <v>0.64583333333333337</v>
      </c>
      <c r="F950" t="s">
        <v>40</v>
      </c>
      <c r="G950" t="s">
        <v>45</v>
      </c>
      <c r="H950">
        <v>2</v>
      </c>
      <c r="I950">
        <v>0</v>
      </c>
      <c r="J950" t="s">
        <v>34</v>
      </c>
      <c r="K950">
        <v>235</v>
      </c>
      <c r="L950">
        <v>348</v>
      </c>
      <c r="M950">
        <v>32</v>
      </c>
      <c r="N950">
        <v>237</v>
      </c>
      <c r="O950">
        <v>36</v>
      </c>
      <c r="P950">
        <v>42</v>
      </c>
      <c r="Q950">
        <v>224</v>
      </c>
      <c r="R950">
        <v>345</v>
      </c>
      <c r="S950">
        <v>306</v>
      </c>
      <c r="T950" t="s">
        <v>31</v>
      </c>
      <c r="U950" t="s">
        <v>31</v>
      </c>
      <c r="V950" t="s">
        <v>31</v>
      </c>
      <c r="W950" t="s">
        <v>31</v>
      </c>
      <c r="X950" t="s">
        <v>31</v>
      </c>
      <c r="Y950" t="s">
        <v>31</v>
      </c>
    </row>
    <row r="951" spans="1:25" hidden="1">
      <c r="A951" t="s">
        <v>25</v>
      </c>
      <c r="B951" t="s">
        <v>26</v>
      </c>
      <c r="C951" t="s">
        <v>49</v>
      </c>
      <c r="D951" s="1">
        <v>43009</v>
      </c>
      <c r="E951" s="2">
        <v>0.75</v>
      </c>
      <c r="F951" t="s">
        <v>29</v>
      </c>
      <c r="G951" t="s">
        <v>39</v>
      </c>
      <c r="H951">
        <v>2</v>
      </c>
      <c r="I951">
        <v>1</v>
      </c>
      <c r="J951" t="s">
        <v>34</v>
      </c>
      <c r="K951">
        <v>126</v>
      </c>
      <c r="L951">
        <v>644</v>
      </c>
      <c r="M951">
        <v>1342</v>
      </c>
      <c r="N951">
        <v>127</v>
      </c>
      <c r="O951">
        <v>65</v>
      </c>
      <c r="P951">
        <v>14</v>
      </c>
      <c r="Q951">
        <v>124</v>
      </c>
      <c r="R951">
        <v>58</v>
      </c>
      <c r="S951">
        <v>1211</v>
      </c>
      <c r="T951" t="s">
        <v>31</v>
      </c>
      <c r="U951" t="s">
        <v>31</v>
      </c>
      <c r="V951" t="s">
        <v>31</v>
      </c>
      <c r="W951" t="s">
        <v>31</v>
      </c>
      <c r="X951" t="s">
        <v>31</v>
      </c>
      <c r="Y951" t="s">
        <v>31</v>
      </c>
    </row>
    <row r="952" spans="1:25" hidden="1">
      <c r="A952" t="s">
        <v>25</v>
      </c>
      <c r="B952" t="s">
        <v>26</v>
      </c>
      <c r="C952" t="s">
        <v>49</v>
      </c>
      <c r="D952" s="1">
        <v>43022</v>
      </c>
      <c r="E952" s="2">
        <v>0.625</v>
      </c>
      <c r="F952" t="s">
        <v>50</v>
      </c>
      <c r="G952" t="s">
        <v>29</v>
      </c>
      <c r="H952">
        <v>1</v>
      </c>
      <c r="I952">
        <v>3</v>
      </c>
      <c r="J952" t="s">
        <v>30</v>
      </c>
      <c r="K952">
        <v>537</v>
      </c>
      <c r="L952">
        <v>398</v>
      </c>
      <c r="M952">
        <v>17</v>
      </c>
      <c r="N952">
        <v>537</v>
      </c>
      <c r="O952">
        <v>398</v>
      </c>
      <c r="P952">
        <v>18</v>
      </c>
      <c r="Q952">
        <v>474</v>
      </c>
      <c r="R952">
        <v>366</v>
      </c>
      <c r="S952">
        <v>172</v>
      </c>
      <c r="T952" t="s">
        <v>31</v>
      </c>
      <c r="U952" t="s">
        <v>31</v>
      </c>
      <c r="V952" t="s">
        <v>31</v>
      </c>
      <c r="W952" t="s">
        <v>31</v>
      </c>
      <c r="X952" t="s">
        <v>31</v>
      </c>
      <c r="Y952" t="s">
        <v>31</v>
      </c>
    </row>
    <row r="953" spans="1:25" hidden="1">
      <c r="A953" t="s">
        <v>25</v>
      </c>
      <c r="B953" t="s">
        <v>26</v>
      </c>
      <c r="C953" t="s">
        <v>49</v>
      </c>
      <c r="D953" s="1">
        <v>43022</v>
      </c>
      <c r="E953" s="2">
        <v>0.72916666666666663</v>
      </c>
      <c r="F953" t="s">
        <v>39</v>
      </c>
      <c r="G953" t="s">
        <v>32</v>
      </c>
      <c r="H953">
        <v>2</v>
      </c>
      <c r="I953">
        <v>2</v>
      </c>
      <c r="J953" t="s">
        <v>41</v>
      </c>
      <c r="K953">
        <v>248</v>
      </c>
      <c r="L953">
        <v>336</v>
      </c>
      <c r="M953">
        <v>308</v>
      </c>
      <c r="N953">
        <v>252</v>
      </c>
      <c r="O953">
        <v>34</v>
      </c>
      <c r="P953">
        <v>33</v>
      </c>
      <c r="Q953">
        <v>238</v>
      </c>
      <c r="R953">
        <v>318</v>
      </c>
      <c r="S953">
        <v>301</v>
      </c>
      <c r="T953" t="s">
        <v>31</v>
      </c>
      <c r="U953" t="s">
        <v>31</v>
      </c>
      <c r="V953" t="s">
        <v>31</v>
      </c>
      <c r="W953" t="s">
        <v>31</v>
      </c>
      <c r="X953" t="s">
        <v>31</v>
      </c>
      <c r="Y953" t="s">
        <v>31</v>
      </c>
    </row>
    <row r="954" spans="1:25" hidden="1">
      <c r="A954" t="s">
        <v>25</v>
      </c>
      <c r="B954" t="s">
        <v>26</v>
      </c>
      <c r="C954" t="s">
        <v>49</v>
      </c>
      <c r="D954" s="1">
        <v>43022</v>
      </c>
      <c r="E954" s="2">
        <v>0.72916666666666663</v>
      </c>
      <c r="F954" t="s">
        <v>45</v>
      </c>
      <c r="G954" t="s">
        <v>37</v>
      </c>
      <c r="H954">
        <v>2</v>
      </c>
      <c r="I954">
        <v>2</v>
      </c>
      <c r="J954" t="s">
        <v>41</v>
      </c>
      <c r="K954">
        <v>196</v>
      </c>
      <c r="L954">
        <v>386</v>
      </c>
      <c r="M954">
        <v>392</v>
      </c>
      <c r="N954">
        <v>21</v>
      </c>
      <c r="O954">
        <v>39</v>
      </c>
      <c r="P954">
        <v>398</v>
      </c>
      <c r="Q954">
        <v>197</v>
      </c>
      <c r="R954">
        <v>357</v>
      </c>
      <c r="S954">
        <v>359</v>
      </c>
      <c r="T954" t="s">
        <v>31</v>
      </c>
      <c r="U954" t="s">
        <v>31</v>
      </c>
      <c r="V954" t="s">
        <v>31</v>
      </c>
      <c r="W954" t="s">
        <v>31</v>
      </c>
      <c r="X954" t="s">
        <v>31</v>
      </c>
      <c r="Y954" t="s">
        <v>31</v>
      </c>
    </row>
    <row r="955" spans="1:25" hidden="1">
      <c r="A955" t="s">
        <v>25</v>
      </c>
      <c r="B955" t="s">
        <v>26</v>
      </c>
      <c r="C955" t="s">
        <v>49</v>
      </c>
      <c r="D955" s="1">
        <v>43022</v>
      </c>
      <c r="E955" s="2">
        <v>0.72916666666666663</v>
      </c>
      <c r="F955" t="s">
        <v>35</v>
      </c>
      <c r="G955" t="s">
        <v>48</v>
      </c>
      <c r="H955">
        <v>1</v>
      </c>
      <c r="I955">
        <v>0</v>
      </c>
      <c r="J955" t="s">
        <v>34</v>
      </c>
      <c r="K955">
        <v>14</v>
      </c>
      <c r="L955">
        <v>567</v>
      </c>
      <c r="M955">
        <v>787</v>
      </c>
      <c r="N955">
        <v>141</v>
      </c>
      <c r="O955">
        <v>6</v>
      </c>
      <c r="P955">
        <v>925</v>
      </c>
      <c r="Q955">
        <v>135</v>
      </c>
      <c r="R955">
        <v>518</v>
      </c>
      <c r="S955">
        <v>777</v>
      </c>
      <c r="T955" t="s">
        <v>31</v>
      </c>
      <c r="U955" t="s">
        <v>31</v>
      </c>
      <c r="V955" t="s">
        <v>31</v>
      </c>
      <c r="W955" t="s">
        <v>31</v>
      </c>
      <c r="X955" t="s">
        <v>31</v>
      </c>
      <c r="Y955" t="s">
        <v>31</v>
      </c>
    </row>
    <row r="956" spans="1:25" hidden="1">
      <c r="A956" t="s">
        <v>25</v>
      </c>
      <c r="B956" t="s">
        <v>26</v>
      </c>
      <c r="C956" t="s">
        <v>49</v>
      </c>
      <c r="D956" s="1">
        <v>43023</v>
      </c>
      <c r="E956" s="2">
        <v>0.64583333333333337</v>
      </c>
      <c r="F956" t="s">
        <v>28</v>
      </c>
      <c r="G956" t="s">
        <v>40</v>
      </c>
      <c r="H956">
        <v>3</v>
      </c>
      <c r="I956">
        <v>0</v>
      </c>
      <c r="J956" t="s">
        <v>34</v>
      </c>
      <c r="K956">
        <v>181</v>
      </c>
      <c r="L956">
        <v>408</v>
      </c>
      <c r="M956">
        <v>443</v>
      </c>
      <c r="N956">
        <v>21</v>
      </c>
      <c r="O956">
        <v>42</v>
      </c>
      <c r="P956">
        <v>462</v>
      </c>
      <c r="Q956">
        <v>175</v>
      </c>
      <c r="R956">
        <v>39</v>
      </c>
      <c r="S956">
        <v>423</v>
      </c>
      <c r="T956" t="s">
        <v>31</v>
      </c>
      <c r="U956" t="s">
        <v>31</v>
      </c>
      <c r="V956" t="s">
        <v>31</v>
      </c>
      <c r="W956" t="s">
        <v>31</v>
      </c>
      <c r="X956" t="s">
        <v>31</v>
      </c>
      <c r="Y956" t="s">
        <v>31</v>
      </c>
    </row>
    <row r="957" spans="1:25" hidden="1">
      <c r="A957" t="s">
        <v>25</v>
      </c>
      <c r="B957" t="s">
        <v>26</v>
      </c>
      <c r="C957" t="s">
        <v>49</v>
      </c>
      <c r="D957" s="1">
        <v>43029</v>
      </c>
      <c r="E957" s="2">
        <v>0.625</v>
      </c>
      <c r="F957" t="s">
        <v>28</v>
      </c>
      <c r="G957" t="s">
        <v>32</v>
      </c>
      <c r="H957">
        <v>3</v>
      </c>
      <c r="I957">
        <v>2</v>
      </c>
      <c r="J957" t="s">
        <v>34</v>
      </c>
      <c r="K957">
        <v>171</v>
      </c>
      <c r="L957">
        <v>39</v>
      </c>
      <c r="M957">
        <v>543</v>
      </c>
      <c r="N957">
        <v>171</v>
      </c>
      <c r="O957">
        <v>43</v>
      </c>
      <c r="P957">
        <v>61</v>
      </c>
      <c r="Q957">
        <v>165</v>
      </c>
      <c r="R957">
        <v>385</v>
      </c>
      <c r="S957">
        <v>506</v>
      </c>
      <c r="T957" t="s">
        <v>31</v>
      </c>
      <c r="U957" t="s">
        <v>31</v>
      </c>
      <c r="V957" t="s">
        <v>31</v>
      </c>
      <c r="W957" t="s">
        <v>31</v>
      </c>
      <c r="X957" t="s">
        <v>31</v>
      </c>
      <c r="Y957" t="s">
        <v>31</v>
      </c>
    </row>
    <row r="958" spans="1:25" hidden="1">
      <c r="A958" t="s">
        <v>25</v>
      </c>
      <c r="B958" t="s">
        <v>26</v>
      </c>
      <c r="C958" t="s">
        <v>49</v>
      </c>
      <c r="D958" s="1">
        <v>43029</v>
      </c>
      <c r="E958" s="2">
        <v>0.72916666666666663</v>
      </c>
      <c r="F958" t="s">
        <v>45</v>
      </c>
      <c r="G958" t="s">
        <v>39</v>
      </c>
      <c r="H958">
        <v>3</v>
      </c>
      <c r="I958">
        <v>2</v>
      </c>
      <c r="J958" t="s">
        <v>34</v>
      </c>
      <c r="K958">
        <v>2</v>
      </c>
      <c r="L958">
        <v>361</v>
      </c>
      <c r="M958">
        <v>403</v>
      </c>
      <c r="N958">
        <v>205</v>
      </c>
      <c r="O958">
        <v>361</v>
      </c>
      <c r="P958">
        <v>435</v>
      </c>
      <c r="Q958">
        <v>192</v>
      </c>
      <c r="R958">
        <v>343</v>
      </c>
      <c r="S958">
        <v>395</v>
      </c>
      <c r="T958" t="s">
        <v>31</v>
      </c>
      <c r="U958" t="s">
        <v>31</v>
      </c>
      <c r="V958" t="s">
        <v>31</v>
      </c>
      <c r="W958" t="s">
        <v>31</v>
      </c>
      <c r="X958" t="s">
        <v>31</v>
      </c>
      <c r="Y958" t="s">
        <v>31</v>
      </c>
    </row>
    <row r="959" spans="1:25" hidden="1">
      <c r="A959" t="s">
        <v>25</v>
      </c>
      <c r="B959" t="s">
        <v>26</v>
      </c>
      <c r="C959" t="s">
        <v>49</v>
      </c>
      <c r="D959" s="1">
        <v>43029</v>
      </c>
      <c r="E959" s="2">
        <v>0.72916666666666663</v>
      </c>
      <c r="F959" t="s">
        <v>48</v>
      </c>
      <c r="G959" t="s">
        <v>50</v>
      </c>
      <c r="H959">
        <v>0</v>
      </c>
      <c r="I959">
        <v>1</v>
      </c>
      <c r="J959" t="s">
        <v>30</v>
      </c>
      <c r="K959">
        <v>346</v>
      </c>
      <c r="L959">
        <v>35</v>
      </c>
      <c r="M959">
        <v>221</v>
      </c>
      <c r="N959">
        <v>346</v>
      </c>
      <c r="O959">
        <v>35</v>
      </c>
      <c r="P959">
        <v>231</v>
      </c>
      <c r="Q959">
        <v>326</v>
      </c>
      <c r="R959">
        <v>33</v>
      </c>
      <c r="S959">
        <v>219</v>
      </c>
      <c r="T959" t="s">
        <v>31</v>
      </c>
      <c r="U959" t="s">
        <v>31</v>
      </c>
      <c r="V959" t="s">
        <v>31</v>
      </c>
      <c r="W959" t="s">
        <v>31</v>
      </c>
      <c r="X959" t="s">
        <v>31</v>
      </c>
      <c r="Y959" t="s">
        <v>31</v>
      </c>
    </row>
    <row r="960" spans="1:25" hidden="1">
      <c r="A960" t="s">
        <v>25</v>
      </c>
      <c r="B960" t="s">
        <v>26</v>
      </c>
      <c r="C960" t="s">
        <v>49</v>
      </c>
      <c r="D960" s="1">
        <v>43030</v>
      </c>
      <c r="E960" s="2">
        <v>0.54166666666666663</v>
      </c>
      <c r="F960" t="s">
        <v>37</v>
      </c>
      <c r="G960" t="s">
        <v>29</v>
      </c>
      <c r="H960">
        <v>1</v>
      </c>
      <c r="I960">
        <v>1</v>
      </c>
      <c r="J960" t="s">
        <v>41</v>
      </c>
      <c r="K960">
        <v>689</v>
      </c>
      <c r="L960">
        <v>532</v>
      </c>
      <c r="M960">
        <v>144</v>
      </c>
      <c r="N960">
        <v>715</v>
      </c>
      <c r="O960">
        <v>532</v>
      </c>
      <c r="P960">
        <v>16</v>
      </c>
      <c r="Q960">
        <v>653</v>
      </c>
      <c r="R960">
        <v>48</v>
      </c>
      <c r="S960">
        <v>142</v>
      </c>
      <c r="T960" t="s">
        <v>31</v>
      </c>
      <c r="U960" t="s">
        <v>31</v>
      </c>
      <c r="V960" t="s">
        <v>31</v>
      </c>
      <c r="W960" t="s">
        <v>31</v>
      </c>
      <c r="X960" t="s">
        <v>31</v>
      </c>
      <c r="Y960" t="s">
        <v>31</v>
      </c>
    </row>
    <row r="961" spans="1:25" hidden="1">
      <c r="A961" t="s">
        <v>25</v>
      </c>
      <c r="B961" t="s">
        <v>26</v>
      </c>
      <c r="C961" t="s">
        <v>49</v>
      </c>
      <c r="D961" s="1">
        <v>43030</v>
      </c>
      <c r="E961" s="2">
        <v>0.64583333333333337</v>
      </c>
      <c r="F961" t="s">
        <v>40</v>
      </c>
      <c r="G961" t="s">
        <v>35</v>
      </c>
      <c r="H961">
        <v>0</v>
      </c>
      <c r="I961">
        <v>1</v>
      </c>
      <c r="J961" t="s">
        <v>30</v>
      </c>
      <c r="K961">
        <v>397</v>
      </c>
      <c r="L961">
        <v>402</v>
      </c>
      <c r="M961">
        <v>19</v>
      </c>
      <c r="N961">
        <v>42</v>
      </c>
      <c r="O961">
        <v>405</v>
      </c>
      <c r="P961">
        <v>22</v>
      </c>
      <c r="Q961">
        <v>387</v>
      </c>
      <c r="R961">
        <v>377</v>
      </c>
      <c r="S961">
        <v>184</v>
      </c>
      <c r="T961" t="s">
        <v>31</v>
      </c>
      <c r="U961" t="s">
        <v>31</v>
      </c>
      <c r="V961" t="s">
        <v>31</v>
      </c>
      <c r="W961" t="s">
        <v>31</v>
      </c>
      <c r="X961" t="s">
        <v>31</v>
      </c>
      <c r="Y961" t="s">
        <v>31</v>
      </c>
    </row>
    <row r="962" spans="1:25" hidden="1">
      <c r="A962" t="s">
        <v>25</v>
      </c>
      <c r="B962" t="s">
        <v>26</v>
      </c>
      <c r="C962" t="s">
        <v>49</v>
      </c>
      <c r="D962" s="1">
        <v>43036</v>
      </c>
      <c r="E962" s="2">
        <v>0.625</v>
      </c>
      <c r="F962" t="s">
        <v>35</v>
      </c>
      <c r="G962" t="s">
        <v>37</v>
      </c>
      <c r="H962">
        <v>1</v>
      </c>
      <c r="I962">
        <v>0</v>
      </c>
      <c r="J962" t="s">
        <v>34</v>
      </c>
      <c r="K962">
        <v>16</v>
      </c>
      <c r="L962">
        <v>454</v>
      </c>
      <c r="M962">
        <v>555</v>
      </c>
      <c r="N962">
        <v>161</v>
      </c>
      <c r="O962">
        <v>5</v>
      </c>
      <c r="P962">
        <v>715</v>
      </c>
      <c r="Q962">
        <v>155</v>
      </c>
      <c r="R962">
        <v>422</v>
      </c>
      <c r="S962">
        <v>538</v>
      </c>
      <c r="T962" t="s">
        <v>31</v>
      </c>
      <c r="U962" t="s">
        <v>31</v>
      </c>
      <c r="V962" t="s">
        <v>31</v>
      </c>
      <c r="W962" t="s">
        <v>31</v>
      </c>
      <c r="X962" t="s">
        <v>31</v>
      </c>
      <c r="Y962" t="s">
        <v>31</v>
      </c>
    </row>
    <row r="963" spans="1:25" hidden="1">
      <c r="A963" t="s">
        <v>25</v>
      </c>
      <c r="B963" t="s">
        <v>26</v>
      </c>
      <c r="C963" t="s">
        <v>49</v>
      </c>
      <c r="D963" s="1">
        <v>43036</v>
      </c>
      <c r="E963" s="2">
        <v>0.72916666666666663</v>
      </c>
      <c r="F963" t="s">
        <v>50</v>
      </c>
      <c r="G963" t="s">
        <v>40</v>
      </c>
      <c r="H963">
        <v>2</v>
      </c>
      <c r="I963">
        <v>2</v>
      </c>
      <c r="J963" t="s">
        <v>41</v>
      </c>
      <c r="K963">
        <v>2</v>
      </c>
      <c r="L963">
        <v>383</v>
      </c>
      <c r="M963">
        <v>378</v>
      </c>
      <c r="N963">
        <v>22</v>
      </c>
      <c r="O963">
        <v>383</v>
      </c>
      <c r="P963">
        <v>388</v>
      </c>
      <c r="Q963">
        <v>197</v>
      </c>
      <c r="R963">
        <v>358</v>
      </c>
      <c r="S963">
        <v>355</v>
      </c>
      <c r="T963" t="s">
        <v>31</v>
      </c>
      <c r="U963" t="s">
        <v>31</v>
      </c>
      <c r="V963" t="s">
        <v>31</v>
      </c>
      <c r="W963" t="s">
        <v>31</v>
      </c>
      <c r="X963" t="s">
        <v>31</v>
      </c>
      <c r="Y963" t="s">
        <v>31</v>
      </c>
    </row>
    <row r="964" spans="1:25" hidden="1">
      <c r="A964" t="s">
        <v>25</v>
      </c>
      <c r="B964" t="s">
        <v>26</v>
      </c>
      <c r="C964" t="s">
        <v>49</v>
      </c>
      <c r="D964" s="1">
        <v>43036</v>
      </c>
      <c r="E964" s="2">
        <v>0.72916666666666663</v>
      </c>
      <c r="F964" t="s">
        <v>32</v>
      </c>
      <c r="G964" t="s">
        <v>48</v>
      </c>
      <c r="H964">
        <v>1</v>
      </c>
      <c r="I964">
        <v>1</v>
      </c>
      <c r="J964" t="s">
        <v>41</v>
      </c>
      <c r="K964">
        <v>193</v>
      </c>
      <c r="L964">
        <v>37</v>
      </c>
      <c r="M964">
        <v>424</v>
      </c>
      <c r="N964">
        <v>195</v>
      </c>
      <c r="O964">
        <v>37</v>
      </c>
      <c r="P964">
        <v>425</v>
      </c>
      <c r="Q964">
        <v>189</v>
      </c>
      <c r="R964">
        <v>353</v>
      </c>
      <c r="S964">
        <v>395</v>
      </c>
      <c r="T964" t="s">
        <v>31</v>
      </c>
      <c r="U964" t="s">
        <v>31</v>
      </c>
      <c r="V964" t="s">
        <v>31</v>
      </c>
      <c r="W964" t="s">
        <v>31</v>
      </c>
      <c r="X964" t="s">
        <v>31</v>
      </c>
      <c r="Y964" t="s">
        <v>31</v>
      </c>
    </row>
    <row r="965" spans="1:25" hidden="1">
      <c r="A965" t="s">
        <v>25</v>
      </c>
      <c r="B965" t="s">
        <v>26</v>
      </c>
      <c r="C965" t="s">
        <v>49</v>
      </c>
      <c r="D965" s="1">
        <v>43036</v>
      </c>
      <c r="E965" s="2">
        <v>0.72916666666666663</v>
      </c>
      <c r="F965" t="s">
        <v>29</v>
      </c>
      <c r="G965" t="s">
        <v>45</v>
      </c>
      <c r="H965">
        <v>2</v>
      </c>
      <c r="I965">
        <v>0</v>
      </c>
      <c r="J965" t="s">
        <v>34</v>
      </c>
      <c r="K965">
        <v>126</v>
      </c>
      <c r="L965">
        <v>647</v>
      </c>
      <c r="M965">
        <v>1347</v>
      </c>
      <c r="N965">
        <v>13</v>
      </c>
      <c r="O965">
        <v>65</v>
      </c>
      <c r="P965">
        <v>1382</v>
      </c>
      <c r="Q965">
        <v>124</v>
      </c>
      <c r="R965">
        <v>587</v>
      </c>
      <c r="S965">
        <v>1175</v>
      </c>
      <c r="T965" t="s">
        <v>31</v>
      </c>
      <c r="U965" t="s">
        <v>31</v>
      </c>
      <c r="V965" t="s">
        <v>31</v>
      </c>
      <c r="W965" t="s">
        <v>31</v>
      </c>
      <c r="X965" t="s">
        <v>31</v>
      </c>
      <c r="Y965" t="s">
        <v>31</v>
      </c>
    </row>
    <row r="966" spans="1:25" hidden="1">
      <c r="A966" t="s">
        <v>25</v>
      </c>
      <c r="B966" t="s">
        <v>26</v>
      </c>
      <c r="C966" t="s">
        <v>49</v>
      </c>
      <c r="D966" s="1">
        <v>43037</v>
      </c>
      <c r="E966" s="2">
        <v>0.64583333333333337</v>
      </c>
      <c r="F966" t="s">
        <v>39</v>
      </c>
      <c r="G966" t="s">
        <v>28</v>
      </c>
      <c r="H966">
        <v>0</v>
      </c>
      <c r="I966">
        <v>2</v>
      </c>
      <c r="J966" t="s">
        <v>30</v>
      </c>
      <c r="K966">
        <v>477</v>
      </c>
      <c r="L966">
        <v>377</v>
      </c>
      <c r="M966">
        <v>182</v>
      </c>
      <c r="N966">
        <v>477</v>
      </c>
      <c r="O966">
        <v>382</v>
      </c>
      <c r="P966">
        <v>2</v>
      </c>
      <c r="Q966">
        <v>435</v>
      </c>
      <c r="R966">
        <v>359</v>
      </c>
      <c r="S966">
        <v>18</v>
      </c>
      <c r="T966" t="s">
        <v>31</v>
      </c>
      <c r="U966" t="s">
        <v>31</v>
      </c>
      <c r="V966" t="s">
        <v>31</v>
      </c>
      <c r="W966" t="s">
        <v>31</v>
      </c>
      <c r="X966" t="s">
        <v>31</v>
      </c>
      <c r="Y966" t="s">
        <v>31</v>
      </c>
    </row>
    <row r="967" spans="1:25" hidden="1">
      <c r="A967" t="s">
        <v>25</v>
      </c>
      <c r="B967" t="s">
        <v>26</v>
      </c>
      <c r="C967" t="s">
        <v>49</v>
      </c>
      <c r="D967" s="1">
        <v>43043</v>
      </c>
      <c r="E967" s="2">
        <v>0.625</v>
      </c>
      <c r="F967" t="s">
        <v>28</v>
      </c>
      <c r="G967" t="s">
        <v>35</v>
      </c>
      <c r="H967">
        <v>0</v>
      </c>
      <c r="I967">
        <v>0</v>
      </c>
      <c r="J967" t="s">
        <v>41</v>
      </c>
      <c r="K967">
        <v>27</v>
      </c>
      <c r="L967">
        <v>346</v>
      </c>
      <c r="M967">
        <v>273</v>
      </c>
      <c r="N967">
        <v>27</v>
      </c>
      <c r="O967">
        <v>355</v>
      </c>
      <c r="P967">
        <v>293</v>
      </c>
      <c r="Q967">
        <v>257</v>
      </c>
      <c r="R967">
        <v>33</v>
      </c>
      <c r="S967">
        <v>268</v>
      </c>
      <c r="T967" t="s">
        <v>31</v>
      </c>
      <c r="U967" t="s">
        <v>31</v>
      </c>
      <c r="V967" t="s">
        <v>31</v>
      </c>
      <c r="W967" t="s">
        <v>31</v>
      </c>
      <c r="X967" t="s">
        <v>31</v>
      </c>
      <c r="Y967" t="s">
        <v>31</v>
      </c>
    </row>
    <row r="968" spans="1:25" hidden="1">
      <c r="A968" t="s">
        <v>25</v>
      </c>
      <c r="B968" t="s">
        <v>26</v>
      </c>
      <c r="C968" t="s">
        <v>49</v>
      </c>
      <c r="D968" s="1">
        <v>43043</v>
      </c>
      <c r="E968" s="2">
        <v>0.72916666666666663</v>
      </c>
      <c r="F968" t="s">
        <v>37</v>
      </c>
      <c r="G968" t="s">
        <v>39</v>
      </c>
      <c r="H968">
        <v>0</v>
      </c>
      <c r="I968">
        <v>0</v>
      </c>
      <c r="J968" t="s">
        <v>41</v>
      </c>
      <c r="K968">
        <v>189</v>
      </c>
      <c r="L968">
        <v>379</v>
      </c>
      <c r="M968">
        <v>427</v>
      </c>
      <c r="N968">
        <v>2</v>
      </c>
      <c r="O968">
        <v>395</v>
      </c>
      <c r="P968">
        <v>427</v>
      </c>
      <c r="Q968">
        <v>187</v>
      </c>
      <c r="R968">
        <v>364</v>
      </c>
      <c r="S968">
        <v>392</v>
      </c>
      <c r="T968" t="s">
        <v>31</v>
      </c>
      <c r="U968" t="s">
        <v>31</v>
      </c>
      <c r="V968" t="s">
        <v>31</v>
      </c>
      <c r="W968" t="s">
        <v>31</v>
      </c>
      <c r="X968" t="s">
        <v>31</v>
      </c>
      <c r="Y968" t="s">
        <v>31</v>
      </c>
    </row>
    <row r="969" spans="1:25" hidden="1">
      <c r="A969" t="s">
        <v>25</v>
      </c>
      <c r="B969" t="s">
        <v>26</v>
      </c>
      <c r="C969" t="s">
        <v>49</v>
      </c>
      <c r="D969" s="1">
        <v>43043</v>
      </c>
      <c r="E969" s="2">
        <v>0.72916666666666663</v>
      </c>
      <c r="F969" t="s">
        <v>45</v>
      </c>
      <c r="G969" t="s">
        <v>50</v>
      </c>
      <c r="H969">
        <v>2</v>
      </c>
      <c r="I969">
        <v>4</v>
      </c>
      <c r="J969" t="s">
        <v>30</v>
      </c>
      <c r="K969">
        <v>262</v>
      </c>
      <c r="L969">
        <v>334</v>
      </c>
      <c r="M969">
        <v>29</v>
      </c>
      <c r="N969">
        <v>265</v>
      </c>
      <c r="O969">
        <v>339</v>
      </c>
      <c r="P969">
        <v>291</v>
      </c>
      <c r="Q969">
        <v>254</v>
      </c>
      <c r="R969">
        <v>319</v>
      </c>
      <c r="S969">
        <v>278</v>
      </c>
      <c r="T969" t="s">
        <v>31</v>
      </c>
      <c r="U969" t="s">
        <v>31</v>
      </c>
      <c r="V969" t="s">
        <v>31</v>
      </c>
      <c r="W969" t="s">
        <v>31</v>
      </c>
      <c r="X969" t="s">
        <v>31</v>
      </c>
      <c r="Y969" t="s">
        <v>31</v>
      </c>
    </row>
    <row r="970" spans="1:25" hidden="1">
      <c r="A970" t="s">
        <v>25</v>
      </c>
      <c r="B970" t="s">
        <v>26</v>
      </c>
      <c r="C970" t="s">
        <v>49</v>
      </c>
      <c r="D970" s="1">
        <v>43044</v>
      </c>
      <c r="E970" s="2">
        <v>0.54166666666666663</v>
      </c>
      <c r="F970" t="s">
        <v>40</v>
      </c>
      <c r="G970" t="s">
        <v>32</v>
      </c>
      <c r="H970">
        <v>1</v>
      </c>
      <c r="I970">
        <v>3</v>
      </c>
      <c r="J970" t="s">
        <v>30</v>
      </c>
      <c r="K970">
        <v>203</v>
      </c>
      <c r="L970">
        <v>383</v>
      </c>
      <c r="M970">
        <v>369</v>
      </c>
      <c r="N970">
        <v>206</v>
      </c>
      <c r="O970">
        <v>394</v>
      </c>
      <c r="P970">
        <v>4</v>
      </c>
      <c r="Q970">
        <v>199</v>
      </c>
      <c r="R970">
        <v>36</v>
      </c>
      <c r="S970">
        <v>349</v>
      </c>
      <c r="T970" t="s">
        <v>31</v>
      </c>
      <c r="U970" t="s">
        <v>31</v>
      </c>
      <c r="V970" t="s">
        <v>31</v>
      </c>
      <c r="W970" t="s">
        <v>31</v>
      </c>
      <c r="X970" t="s">
        <v>31</v>
      </c>
      <c r="Y970" t="s">
        <v>31</v>
      </c>
    </row>
    <row r="971" spans="1:25" hidden="1">
      <c r="A971" t="s">
        <v>25</v>
      </c>
      <c r="B971" t="s">
        <v>26</v>
      </c>
      <c r="C971" t="s">
        <v>49</v>
      </c>
      <c r="D971" s="1">
        <v>43044</v>
      </c>
      <c r="E971" s="2">
        <v>0.64583333333333337</v>
      </c>
      <c r="F971" t="s">
        <v>48</v>
      </c>
      <c r="G971" t="s">
        <v>29</v>
      </c>
      <c r="H971">
        <v>1</v>
      </c>
      <c r="I971">
        <v>3</v>
      </c>
      <c r="J971" t="s">
        <v>30</v>
      </c>
      <c r="K971">
        <v>93</v>
      </c>
      <c r="L971">
        <v>522</v>
      </c>
      <c r="M971">
        <v>138</v>
      </c>
      <c r="N971">
        <v>13</v>
      </c>
      <c r="O971">
        <v>6</v>
      </c>
      <c r="P971">
        <v>139</v>
      </c>
      <c r="Q971">
        <v>847</v>
      </c>
      <c r="R971">
        <v>494</v>
      </c>
      <c r="S971">
        <v>135</v>
      </c>
      <c r="T971" t="s">
        <v>31</v>
      </c>
      <c r="U971" t="s">
        <v>31</v>
      </c>
      <c r="V971" t="s">
        <v>31</v>
      </c>
      <c r="W971" t="s">
        <v>31</v>
      </c>
      <c r="X971" t="s">
        <v>31</v>
      </c>
      <c r="Y971" t="s">
        <v>31</v>
      </c>
    </row>
    <row r="972" spans="1:25" hidden="1">
      <c r="A972" t="s">
        <v>25</v>
      </c>
      <c r="B972" t="s">
        <v>26</v>
      </c>
      <c r="C972" t="s">
        <v>49</v>
      </c>
      <c r="D972" s="1">
        <v>43057</v>
      </c>
      <c r="E972" s="2">
        <v>0.625</v>
      </c>
      <c r="F972" t="s">
        <v>50</v>
      </c>
      <c r="G972" t="s">
        <v>35</v>
      </c>
      <c r="H972">
        <v>1</v>
      </c>
      <c r="I972">
        <v>2</v>
      </c>
      <c r="J972" t="s">
        <v>30</v>
      </c>
      <c r="K972">
        <v>291</v>
      </c>
      <c r="L972">
        <v>334</v>
      </c>
      <c r="M972">
        <v>262</v>
      </c>
      <c r="N972">
        <v>323</v>
      </c>
      <c r="O972">
        <v>337</v>
      </c>
      <c r="P972">
        <v>267</v>
      </c>
      <c r="Q972">
        <v>283</v>
      </c>
      <c r="R972">
        <v>321</v>
      </c>
      <c r="S972">
        <v>249</v>
      </c>
      <c r="T972" t="s">
        <v>31</v>
      </c>
      <c r="U972" t="s">
        <v>31</v>
      </c>
      <c r="V972" t="s">
        <v>31</v>
      </c>
      <c r="W972" t="s">
        <v>31</v>
      </c>
      <c r="X972" t="s">
        <v>31</v>
      </c>
      <c r="Y972" t="s">
        <v>31</v>
      </c>
    </row>
    <row r="973" spans="1:25" hidden="1">
      <c r="A973" t="s">
        <v>25</v>
      </c>
      <c r="B973" t="s">
        <v>26</v>
      </c>
      <c r="C973" t="s">
        <v>49</v>
      </c>
      <c r="D973" s="1">
        <v>43057</v>
      </c>
      <c r="E973" s="2">
        <v>0.72916666666666663</v>
      </c>
      <c r="F973" t="s">
        <v>40</v>
      </c>
      <c r="G973" t="s">
        <v>37</v>
      </c>
      <c r="H973">
        <v>2</v>
      </c>
      <c r="I973">
        <v>3</v>
      </c>
      <c r="J973" t="s">
        <v>30</v>
      </c>
      <c r="K973">
        <v>216</v>
      </c>
      <c r="L973">
        <v>386</v>
      </c>
      <c r="M973">
        <v>329</v>
      </c>
      <c r="N973">
        <v>226</v>
      </c>
      <c r="O973">
        <v>386</v>
      </c>
      <c r="P973">
        <v>36</v>
      </c>
      <c r="Q973">
        <v>212</v>
      </c>
      <c r="R973">
        <v>362</v>
      </c>
      <c r="S973">
        <v>315</v>
      </c>
      <c r="T973" t="s">
        <v>31</v>
      </c>
      <c r="U973" t="s">
        <v>31</v>
      </c>
      <c r="V973" t="s">
        <v>31</v>
      </c>
      <c r="W973" t="s">
        <v>31</v>
      </c>
      <c r="X973" t="s">
        <v>31</v>
      </c>
      <c r="Y973" t="s">
        <v>31</v>
      </c>
    </row>
    <row r="974" spans="1:25" hidden="1">
      <c r="A974" t="s">
        <v>25</v>
      </c>
      <c r="B974" t="s">
        <v>26</v>
      </c>
      <c r="C974" t="s">
        <v>49</v>
      </c>
      <c r="D974" s="1">
        <v>43057</v>
      </c>
      <c r="E974" s="2">
        <v>0.72916666666666663</v>
      </c>
      <c r="F974" t="s">
        <v>32</v>
      </c>
      <c r="G974" t="s">
        <v>45</v>
      </c>
      <c r="H974">
        <v>1</v>
      </c>
      <c r="I974">
        <v>0</v>
      </c>
      <c r="J974" t="s">
        <v>34</v>
      </c>
      <c r="K974">
        <v>229</v>
      </c>
      <c r="L974">
        <v>337</v>
      </c>
      <c r="M974">
        <v>342</v>
      </c>
      <c r="N974">
        <v>229</v>
      </c>
      <c r="O974">
        <v>34</v>
      </c>
      <c r="P974">
        <v>36</v>
      </c>
      <c r="Q974">
        <v>221</v>
      </c>
      <c r="R974">
        <v>324</v>
      </c>
      <c r="S974">
        <v>327</v>
      </c>
      <c r="T974" t="s">
        <v>31</v>
      </c>
      <c r="U974" t="s">
        <v>31</v>
      </c>
      <c r="V974" t="s">
        <v>31</v>
      </c>
      <c r="W974" t="s">
        <v>31</v>
      </c>
      <c r="X974" t="s">
        <v>31</v>
      </c>
      <c r="Y974" t="s">
        <v>31</v>
      </c>
    </row>
    <row r="975" spans="1:25" hidden="1">
      <c r="A975" t="s">
        <v>25</v>
      </c>
      <c r="B975" t="s">
        <v>26</v>
      </c>
      <c r="C975" t="s">
        <v>49</v>
      </c>
      <c r="D975" s="1">
        <v>43057</v>
      </c>
      <c r="E975" s="2">
        <v>0.72916666666666663</v>
      </c>
      <c r="F975" t="s">
        <v>48</v>
      </c>
      <c r="G975" t="s">
        <v>39</v>
      </c>
      <c r="H975">
        <v>0</v>
      </c>
      <c r="I975">
        <v>0</v>
      </c>
      <c r="J975" t="s">
        <v>41</v>
      </c>
      <c r="K975">
        <v>293</v>
      </c>
      <c r="L975">
        <v>331</v>
      </c>
      <c r="M975">
        <v>262</v>
      </c>
      <c r="N975">
        <v>293</v>
      </c>
      <c r="O975">
        <v>34</v>
      </c>
      <c r="P975">
        <v>28</v>
      </c>
      <c r="Q975">
        <v>271</v>
      </c>
      <c r="R975">
        <v>319</v>
      </c>
      <c r="S975">
        <v>261</v>
      </c>
      <c r="T975" t="s">
        <v>31</v>
      </c>
      <c r="U975" t="s">
        <v>31</v>
      </c>
      <c r="V975" t="s">
        <v>31</v>
      </c>
      <c r="W975" t="s">
        <v>31</v>
      </c>
      <c r="X975" t="s">
        <v>31</v>
      </c>
      <c r="Y975" t="s">
        <v>31</v>
      </c>
    </row>
    <row r="976" spans="1:25" hidden="1">
      <c r="A976" t="s">
        <v>25</v>
      </c>
      <c r="B976" t="s">
        <v>26</v>
      </c>
      <c r="C976" t="s">
        <v>49</v>
      </c>
      <c r="D976" s="1">
        <v>43058</v>
      </c>
      <c r="E976" s="2">
        <v>0.64583333333333337</v>
      </c>
      <c r="F976" t="s">
        <v>29</v>
      </c>
      <c r="G976" t="s">
        <v>28</v>
      </c>
      <c r="H976">
        <v>5</v>
      </c>
      <c r="I976">
        <v>0</v>
      </c>
      <c r="J976" t="s">
        <v>34</v>
      </c>
      <c r="K976">
        <v>158</v>
      </c>
      <c r="L976">
        <v>426</v>
      </c>
      <c r="M976">
        <v>635</v>
      </c>
      <c r="N976">
        <v>162</v>
      </c>
      <c r="O976">
        <v>426</v>
      </c>
      <c r="P976">
        <v>65</v>
      </c>
      <c r="Q976">
        <v>156</v>
      </c>
      <c r="R976">
        <v>398</v>
      </c>
      <c r="S976">
        <v>574</v>
      </c>
      <c r="T976" t="s">
        <v>31</v>
      </c>
      <c r="U976" t="s">
        <v>31</v>
      </c>
      <c r="V976" t="s">
        <v>31</v>
      </c>
      <c r="W976" t="s">
        <v>31</v>
      </c>
      <c r="X976" t="s">
        <v>31</v>
      </c>
      <c r="Y976" t="s">
        <v>31</v>
      </c>
    </row>
    <row r="977" spans="1:25" hidden="1">
      <c r="A977" t="s">
        <v>25</v>
      </c>
      <c r="B977" t="s">
        <v>26</v>
      </c>
      <c r="C977" t="s">
        <v>49</v>
      </c>
      <c r="D977" s="1">
        <v>43064</v>
      </c>
      <c r="E977" s="2">
        <v>0.625</v>
      </c>
      <c r="F977" t="s">
        <v>28</v>
      </c>
      <c r="G977" t="s">
        <v>50</v>
      </c>
      <c r="H977">
        <v>1</v>
      </c>
      <c r="I977">
        <v>0</v>
      </c>
      <c r="J977" t="s">
        <v>34</v>
      </c>
      <c r="K977">
        <v>203</v>
      </c>
      <c r="L977">
        <v>346</v>
      </c>
      <c r="M977">
        <v>411</v>
      </c>
      <c r="N977">
        <v>21</v>
      </c>
      <c r="O977">
        <v>35</v>
      </c>
      <c r="P977">
        <v>411</v>
      </c>
      <c r="Q977">
        <v>2</v>
      </c>
      <c r="R977">
        <v>334</v>
      </c>
      <c r="S977">
        <v>376</v>
      </c>
      <c r="T977" t="s">
        <v>31</v>
      </c>
      <c r="U977" t="s">
        <v>31</v>
      </c>
      <c r="V977" t="s">
        <v>31</v>
      </c>
      <c r="W977" t="s">
        <v>31</v>
      </c>
      <c r="X977" t="s">
        <v>31</v>
      </c>
      <c r="Y977" t="s">
        <v>31</v>
      </c>
    </row>
    <row r="978" spans="1:25" hidden="1">
      <c r="A978" t="s">
        <v>25</v>
      </c>
      <c r="B978" t="s">
        <v>26</v>
      </c>
      <c r="C978" t="s">
        <v>49</v>
      </c>
      <c r="D978" s="1">
        <v>43064</v>
      </c>
      <c r="E978" s="2">
        <v>0.72916666666666663</v>
      </c>
      <c r="F978" t="s">
        <v>37</v>
      </c>
      <c r="G978" t="s">
        <v>32</v>
      </c>
      <c r="H978">
        <v>2</v>
      </c>
      <c r="I978">
        <v>0</v>
      </c>
      <c r="J978" t="s">
        <v>34</v>
      </c>
      <c r="K978">
        <v>247</v>
      </c>
      <c r="L978">
        <v>365</v>
      </c>
      <c r="M978">
        <v>289</v>
      </c>
      <c r="N978">
        <v>254</v>
      </c>
      <c r="O978">
        <v>365</v>
      </c>
      <c r="P978">
        <v>36</v>
      </c>
      <c r="Q978">
        <v>238</v>
      </c>
      <c r="R978">
        <v>343</v>
      </c>
      <c r="S978">
        <v>283</v>
      </c>
      <c r="T978" t="s">
        <v>31</v>
      </c>
      <c r="U978" t="s">
        <v>31</v>
      </c>
      <c r="V978" t="s">
        <v>31</v>
      </c>
      <c r="W978" t="s">
        <v>31</v>
      </c>
      <c r="X978" t="s">
        <v>31</v>
      </c>
      <c r="Y978" t="s">
        <v>31</v>
      </c>
    </row>
    <row r="979" spans="1:25" hidden="1">
      <c r="A979" t="s">
        <v>25</v>
      </c>
      <c r="B979" t="s">
        <v>26</v>
      </c>
      <c r="C979" t="s">
        <v>49</v>
      </c>
      <c r="D979" s="1">
        <v>43064</v>
      </c>
      <c r="E979" s="2">
        <v>0.72916666666666663</v>
      </c>
      <c r="F979" t="s">
        <v>45</v>
      </c>
      <c r="G979" t="s">
        <v>48</v>
      </c>
      <c r="H979">
        <v>3</v>
      </c>
      <c r="I979">
        <v>0</v>
      </c>
      <c r="J979" t="s">
        <v>34</v>
      </c>
      <c r="K979">
        <v>173</v>
      </c>
      <c r="L979">
        <v>391</v>
      </c>
      <c r="M979">
        <v>525</v>
      </c>
      <c r="N979">
        <v>18</v>
      </c>
      <c r="O979">
        <v>391</v>
      </c>
      <c r="P979">
        <v>525</v>
      </c>
      <c r="Q979">
        <v>173</v>
      </c>
      <c r="R979">
        <v>368</v>
      </c>
      <c r="S979">
        <v>463</v>
      </c>
      <c r="T979" t="s">
        <v>31</v>
      </c>
      <c r="U979" t="s">
        <v>31</v>
      </c>
      <c r="V979" t="s">
        <v>31</v>
      </c>
      <c r="W979" t="s">
        <v>31</v>
      </c>
      <c r="X979" t="s">
        <v>31</v>
      </c>
      <c r="Y979" t="s">
        <v>31</v>
      </c>
    </row>
    <row r="980" spans="1:25" hidden="1">
      <c r="A980" t="s">
        <v>25</v>
      </c>
      <c r="B980" t="s">
        <v>26</v>
      </c>
      <c r="C980" t="s">
        <v>49</v>
      </c>
      <c r="D980" s="1">
        <v>43065</v>
      </c>
      <c r="E980" s="2">
        <v>0.54166666666666663</v>
      </c>
      <c r="F980" t="s">
        <v>39</v>
      </c>
      <c r="G980" t="s">
        <v>40</v>
      </c>
      <c r="H980">
        <v>1</v>
      </c>
      <c r="I980">
        <v>2</v>
      </c>
      <c r="J980" t="s">
        <v>30</v>
      </c>
      <c r="K980">
        <v>246</v>
      </c>
      <c r="L980">
        <v>362</v>
      </c>
      <c r="M980">
        <v>292</v>
      </c>
      <c r="N980">
        <v>246</v>
      </c>
      <c r="O980">
        <v>362</v>
      </c>
      <c r="P980">
        <v>293</v>
      </c>
      <c r="Q980">
        <v>236</v>
      </c>
      <c r="R980">
        <v>342</v>
      </c>
      <c r="S980">
        <v>28</v>
      </c>
      <c r="T980" t="s">
        <v>31</v>
      </c>
      <c r="U980" t="s">
        <v>31</v>
      </c>
      <c r="V980" t="s">
        <v>31</v>
      </c>
      <c r="W980" t="s">
        <v>31</v>
      </c>
      <c r="X980" t="s">
        <v>31</v>
      </c>
      <c r="Y980" t="s">
        <v>31</v>
      </c>
    </row>
    <row r="981" spans="1:25" hidden="1">
      <c r="A981" t="s">
        <v>25</v>
      </c>
      <c r="B981" t="s">
        <v>26</v>
      </c>
      <c r="C981" t="s">
        <v>49</v>
      </c>
      <c r="D981" s="1">
        <v>43065</v>
      </c>
      <c r="E981" s="2">
        <v>0.64583333333333337</v>
      </c>
      <c r="F981" t="s">
        <v>35</v>
      </c>
      <c r="G981" t="s">
        <v>29</v>
      </c>
      <c r="H981">
        <v>2</v>
      </c>
      <c r="I981">
        <v>3</v>
      </c>
      <c r="J981" t="s">
        <v>30</v>
      </c>
      <c r="K981">
        <v>279</v>
      </c>
      <c r="L981">
        <v>342</v>
      </c>
      <c r="M981">
        <v>268</v>
      </c>
      <c r="N981">
        <v>29</v>
      </c>
      <c r="O981">
        <v>342</v>
      </c>
      <c r="P981">
        <v>271</v>
      </c>
      <c r="Q981">
        <v>269</v>
      </c>
      <c r="R981">
        <v>324</v>
      </c>
      <c r="S981">
        <v>257</v>
      </c>
      <c r="T981" t="s">
        <v>31</v>
      </c>
      <c r="U981" t="s">
        <v>31</v>
      </c>
      <c r="V981" t="s">
        <v>31</v>
      </c>
      <c r="W981" t="s">
        <v>31</v>
      </c>
      <c r="X981" t="s">
        <v>31</v>
      </c>
      <c r="Y981" t="s">
        <v>31</v>
      </c>
    </row>
    <row r="982" spans="1:25" hidden="1">
      <c r="A982" t="s">
        <v>25</v>
      </c>
      <c r="B982" t="s">
        <v>26</v>
      </c>
      <c r="C982" t="s">
        <v>49</v>
      </c>
      <c r="D982" s="1">
        <v>43067</v>
      </c>
      <c r="E982" s="2">
        <v>0.75</v>
      </c>
      <c r="F982" t="s">
        <v>28</v>
      </c>
      <c r="G982" t="s">
        <v>37</v>
      </c>
      <c r="H982">
        <v>6</v>
      </c>
      <c r="I982">
        <v>1</v>
      </c>
      <c r="J982" t="s">
        <v>34</v>
      </c>
      <c r="K982">
        <v>162</v>
      </c>
      <c r="L982">
        <v>42</v>
      </c>
      <c r="M982">
        <v>59</v>
      </c>
      <c r="N982">
        <v>175</v>
      </c>
      <c r="O982">
        <v>455</v>
      </c>
      <c r="P982">
        <v>6</v>
      </c>
      <c r="Q982">
        <v>16</v>
      </c>
      <c r="R982">
        <v>398</v>
      </c>
      <c r="S982">
        <v>53</v>
      </c>
      <c r="T982" t="s">
        <v>31</v>
      </c>
      <c r="U982" t="s">
        <v>31</v>
      </c>
      <c r="V982" t="s">
        <v>31</v>
      </c>
      <c r="W982" t="s">
        <v>31</v>
      </c>
      <c r="X982" t="s">
        <v>31</v>
      </c>
      <c r="Y982" t="s">
        <v>31</v>
      </c>
    </row>
    <row r="983" spans="1:25" hidden="1">
      <c r="A983" t="s">
        <v>25</v>
      </c>
      <c r="B983" t="s">
        <v>26</v>
      </c>
      <c r="C983" t="s">
        <v>49</v>
      </c>
      <c r="D983" s="1">
        <v>43068</v>
      </c>
      <c r="E983" s="2">
        <v>0.72916666666666663</v>
      </c>
      <c r="F983" t="s">
        <v>50</v>
      </c>
      <c r="G983" t="s">
        <v>39</v>
      </c>
      <c r="H983">
        <v>2</v>
      </c>
      <c r="I983">
        <v>0</v>
      </c>
      <c r="J983" t="s">
        <v>34</v>
      </c>
      <c r="K983">
        <v>166</v>
      </c>
      <c r="L983">
        <v>393</v>
      </c>
      <c r="M983">
        <v>592</v>
      </c>
      <c r="N983">
        <v>176</v>
      </c>
      <c r="O983">
        <v>393</v>
      </c>
      <c r="P983">
        <v>592</v>
      </c>
      <c r="Q983">
        <v>167</v>
      </c>
      <c r="R983">
        <v>368</v>
      </c>
      <c r="S983">
        <v>514</v>
      </c>
      <c r="T983" t="s">
        <v>31</v>
      </c>
      <c r="U983" t="s">
        <v>31</v>
      </c>
      <c r="V983" t="s">
        <v>31</v>
      </c>
      <c r="W983" t="s">
        <v>31</v>
      </c>
      <c r="X983" t="s">
        <v>31</v>
      </c>
      <c r="Y983" t="s">
        <v>31</v>
      </c>
    </row>
    <row r="984" spans="1:25" hidden="1">
      <c r="A984" t="s">
        <v>25</v>
      </c>
      <c r="B984" t="s">
        <v>26</v>
      </c>
      <c r="C984" t="s">
        <v>49</v>
      </c>
      <c r="D984" s="1">
        <v>43068</v>
      </c>
      <c r="E984" s="2">
        <v>0.72916666666666663</v>
      </c>
      <c r="F984" t="s">
        <v>29</v>
      </c>
      <c r="G984" t="s">
        <v>32</v>
      </c>
      <c r="H984">
        <v>2</v>
      </c>
      <c r="I984">
        <v>0</v>
      </c>
      <c r="J984" t="s">
        <v>34</v>
      </c>
      <c r="K984">
        <v>125</v>
      </c>
      <c r="L984">
        <v>656</v>
      </c>
      <c r="M984">
        <v>1356</v>
      </c>
      <c r="N984">
        <v>126</v>
      </c>
      <c r="O984">
        <v>69</v>
      </c>
      <c r="P984">
        <v>143</v>
      </c>
      <c r="Q984">
        <v>123</v>
      </c>
      <c r="R984">
        <v>606</v>
      </c>
      <c r="S984">
        <v>115</v>
      </c>
      <c r="T984" t="s">
        <v>31</v>
      </c>
      <c r="U984" t="s">
        <v>31</v>
      </c>
      <c r="V984" t="s">
        <v>31</v>
      </c>
      <c r="W984" t="s">
        <v>31</v>
      </c>
      <c r="X984" t="s">
        <v>31</v>
      </c>
      <c r="Y984" t="s">
        <v>31</v>
      </c>
    </row>
    <row r="985" spans="1:25" hidden="1">
      <c r="A985" t="s">
        <v>25</v>
      </c>
      <c r="B985" t="s">
        <v>26</v>
      </c>
      <c r="C985" t="s">
        <v>49</v>
      </c>
      <c r="D985" s="1">
        <v>43068</v>
      </c>
      <c r="E985" s="2">
        <v>0.72916666666666663</v>
      </c>
      <c r="F985" t="s">
        <v>48</v>
      </c>
      <c r="G985" t="s">
        <v>40</v>
      </c>
      <c r="H985">
        <v>1</v>
      </c>
      <c r="I985">
        <v>0</v>
      </c>
      <c r="J985" t="s">
        <v>34</v>
      </c>
      <c r="K985">
        <v>306</v>
      </c>
      <c r="L985">
        <v>367</v>
      </c>
      <c r="M985">
        <v>235</v>
      </c>
      <c r="N985">
        <v>33</v>
      </c>
      <c r="O985">
        <v>37</v>
      </c>
      <c r="P985">
        <v>235</v>
      </c>
      <c r="Q985">
        <v>304</v>
      </c>
      <c r="R985">
        <v>349</v>
      </c>
      <c r="S985">
        <v>223</v>
      </c>
      <c r="T985" t="s">
        <v>31</v>
      </c>
      <c r="U985" t="s">
        <v>31</v>
      </c>
      <c r="V985" t="s">
        <v>31</v>
      </c>
      <c r="W985" t="s">
        <v>31</v>
      </c>
      <c r="X985" t="s">
        <v>31</v>
      </c>
      <c r="Y985" t="s">
        <v>31</v>
      </c>
    </row>
    <row r="986" spans="1:25" hidden="1">
      <c r="A986" t="s">
        <v>25</v>
      </c>
      <c r="B986" t="s">
        <v>26</v>
      </c>
      <c r="C986" t="s">
        <v>49</v>
      </c>
      <c r="D986" s="1">
        <v>43068</v>
      </c>
      <c r="E986" s="2">
        <v>0.8125</v>
      </c>
      <c r="F986" t="s">
        <v>35</v>
      </c>
      <c r="G986" t="s">
        <v>45</v>
      </c>
      <c r="H986">
        <v>1</v>
      </c>
      <c r="I986">
        <v>2</v>
      </c>
      <c r="J986" t="s">
        <v>30</v>
      </c>
      <c r="K986">
        <v>147</v>
      </c>
      <c r="L986">
        <v>463</v>
      </c>
      <c r="M986">
        <v>781</v>
      </c>
      <c r="N986">
        <v>15</v>
      </c>
      <c r="O986">
        <v>463</v>
      </c>
      <c r="P986">
        <v>781</v>
      </c>
      <c r="Q986">
        <v>147</v>
      </c>
      <c r="R986">
        <v>427</v>
      </c>
      <c r="S986">
        <v>665</v>
      </c>
      <c r="T986" t="s">
        <v>31</v>
      </c>
      <c r="U986" t="s">
        <v>31</v>
      </c>
      <c r="V986" t="s">
        <v>31</v>
      </c>
      <c r="W986" t="s">
        <v>31</v>
      </c>
      <c r="X986" t="s">
        <v>31</v>
      </c>
      <c r="Y986" t="s">
        <v>31</v>
      </c>
    </row>
    <row r="987" spans="1:25" hidden="1">
      <c r="A987" t="s">
        <v>25</v>
      </c>
      <c r="B987" t="s">
        <v>26</v>
      </c>
      <c r="C987" t="s">
        <v>49</v>
      </c>
      <c r="D987" s="1">
        <v>43071</v>
      </c>
      <c r="E987" s="2">
        <v>0.625</v>
      </c>
      <c r="F987" t="s">
        <v>39</v>
      </c>
      <c r="G987" t="s">
        <v>35</v>
      </c>
      <c r="H987">
        <v>0</v>
      </c>
      <c r="I987">
        <v>0</v>
      </c>
      <c r="J987" t="s">
        <v>41</v>
      </c>
      <c r="K987">
        <v>476</v>
      </c>
      <c r="L987">
        <v>372</v>
      </c>
      <c r="M987">
        <v>183</v>
      </c>
      <c r="N987">
        <v>476</v>
      </c>
      <c r="O987">
        <v>379</v>
      </c>
      <c r="P987">
        <v>2</v>
      </c>
      <c r="Q987">
        <v>439</v>
      </c>
      <c r="R987">
        <v>348</v>
      </c>
      <c r="S987">
        <v>182</v>
      </c>
      <c r="T987" t="s">
        <v>31</v>
      </c>
      <c r="U987" t="s">
        <v>31</v>
      </c>
      <c r="V987" t="s">
        <v>31</v>
      </c>
      <c r="W987" t="s">
        <v>31</v>
      </c>
      <c r="X987" t="s">
        <v>31</v>
      </c>
      <c r="Y987" t="s">
        <v>31</v>
      </c>
    </row>
    <row r="988" spans="1:25" hidden="1">
      <c r="A988" t="s">
        <v>25</v>
      </c>
      <c r="B988" t="s">
        <v>26</v>
      </c>
      <c r="C988" t="s">
        <v>49</v>
      </c>
      <c r="D988" s="1">
        <v>43071</v>
      </c>
      <c r="E988" s="2">
        <v>0.72916666666666663</v>
      </c>
      <c r="F988" t="s">
        <v>37</v>
      </c>
      <c r="G988" t="s">
        <v>48</v>
      </c>
      <c r="H988">
        <v>1</v>
      </c>
      <c r="I988">
        <v>0</v>
      </c>
      <c r="J988" t="s">
        <v>34</v>
      </c>
      <c r="K988">
        <v>193</v>
      </c>
      <c r="L988">
        <v>376</v>
      </c>
      <c r="M988">
        <v>417</v>
      </c>
      <c r="N988">
        <v>193</v>
      </c>
      <c r="O988">
        <v>381</v>
      </c>
      <c r="P988">
        <v>43</v>
      </c>
      <c r="Q988">
        <v>187</v>
      </c>
      <c r="R988">
        <v>358</v>
      </c>
      <c r="S988">
        <v>396</v>
      </c>
      <c r="T988" t="s">
        <v>31</v>
      </c>
      <c r="U988" t="s">
        <v>31</v>
      </c>
      <c r="V988" t="s">
        <v>31</v>
      </c>
      <c r="W988" t="s">
        <v>31</v>
      </c>
      <c r="X988" t="s">
        <v>31</v>
      </c>
      <c r="Y988" t="s">
        <v>31</v>
      </c>
    </row>
    <row r="989" spans="1:25" hidden="1">
      <c r="A989" t="s">
        <v>25</v>
      </c>
      <c r="B989" t="s">
        <v>26</v>
      </c>
      <c r="C989" t="s">
        <v>49</v>
      </c>
      <c r="D989" s="1">
        <v>43071</v>
      </c>
      <c r="E989" s="2">
        <v>0.72916666666666663</v>
      </c>
      <c r="F989" t="s">
        <v>45</v>
      </c>
      <c r="G989" t="s">
        <v>28</v>
      </c>
      <c r="H989">
        <v>1</v>
      </c>
      <c r="I989">
        <v>2</v>
      </c>
      <c r="J989" t="s">
        <v>30</v>
      </c>
      <c r="K989">
        <v>35</v>
      </c>
      <c r="L989">
        <v>337</v>
      </c>
      <c r="M989">
        <v>226</v>
      </c>
      <c r="N989">
        <v>36</v>
      </c>
      <c r="O989">
        <v>35</v>
      </c>
      <c r="P989">
        <v>229</v>
      </c>
      <c r="Q989">
        <v>33</v>
      </c>
      <c r="R989">
        <v>328</v>
      </c>
      <c r="S989">
        <v>218</v>
      </c>
      <c r="T989" t="s">
        <v>31</v>
      </c>
      <c r="U989" t="s">
        <v>31</v>
      </c>
      <c r="V989" t="s">
        <v>31</v>
      </c>
      <c r="W989" t="s">
        <v>31</v>
      </c>
      <c r="X989" t="s">
        <v>31</v>
      </c>
      <c r="Y989" t="s">
        <v>31</v>
      </c>
    </row>
    <row r="990" spans="1:25" hidden="1">
      <c r="A990" t="s">
        <v>25</v>
      </c>
      <c r="B990" t="s">
        <v>26</v>
      </c>
      <c r="C990" t="s">
        <v>49</v>
      </c>
      <c r="D990" s="1">
        <v>43071</v>
      </c>
      <c r="E990" s="2">
        <v>0.72916666666666663</v>
      </c>
      <c r="F990" t="s">
        <v>32</v>
      </c>
      <c r="G990" t="s">
        <v>50</v>
      </c>
      <c r="H990">
        <v>1</v>
      </c>
      <c r="I990">
        <v>0</v>
      </c>
      <c r="J990" t="s">
        <v>34</v>
      </c>
      <c r="K990">
        <v>319</v>
      </c>
      <c r="L990">
        <v>339</v>
      </c>
      <c r="M990">
        <v>24</v>
      </c>
      <c r="N990">
        <v>319</v>
      </c>
      <c r="O990">
        <v>34</v>
      </c>
      <c r="P990">
        <v>26</v>
      </c>
      <c r="Q990">
        <v>29</v>
      </c>
      <c r="R990">
        <v>32</v>
      </c>
      <c r="S990">
        <v>245</v>
      </c>
      <c r="T990" t="s">
        <v>31</v>
      </c>
      <c r="U990" t="s">
        <v>31</v>
      </c>
      <c r="V990" t="s">
        <v>31</v>
      </c>
      <c r="W990" t="s">
        <v>31</v>
      </c>
      <c r="X990" t="s">
        <v>31</v>
      </c>
      <c r="Y990" t="s">
        <v>31</v>
      </c>
    </row>
    <row r="991" spans="1:25" hidden="1">
      <c r="A991" t="s">
        <v>25</v>
      </c>
      <c r="B991" t="s">
        <v>26</v>
      </c>
      <c r="C991" t="s">
        <v>49</v>
      </c>
      <c r="D991" s="1">
        <v>43072</v>
      </c>
      <c r="E991" s="2">
        <v>0.64583333333333337</v>
      </c>
      <c r="F991" t="s">
        <v>40</v>
      </c>
      <c r="G991" t="s">
        <v>29</v>
      </c>
      <c r="H991">
        <v>1</v>
      </c>
      <c r="I991">
        <v>1</v>
      </c>
      <c r="J991" t="s">
        <v>41</v>
      </c>
      <c r="K991">
        <v>839</v>
      </c>
      <c r="L991">
        <v>57</v>
      </c>
      <c r="M991">
        <v>137</v>
      </c>
      <c r="N991">
        <v>936</v>
      </c>
      <c r="O991">
        <v>58</v>
      </c>
      <c r="P991">
        <v>165</v>
      </c>
      <c r="Q991">
        <v>81</v>
      </c>
      <c r="R991">
        <v>514</v>
      </c>
      <c r="S991">
        <v>134</v>
      </c>
      <c r="T991" t="s">
        <v>31</v>
      </c>
      <c r="U991" t="s">
        <v>31</v>
      </c>
      <c r="V991" t="s">
        <v>31</v>
      </c>
      <c r="W991" t="s">
        <v>31</v>
      </c>
      <c r="X991" t="s">
        <v>31</v>
      </c>
      <c r="Y991" t="s">
        <v>31</v>
      </c>
    </row>
    <row r="992" spans="1:25" hidden="1">
      <c r="A992" t="s">
        <v>25</v>
      </c>
      <c r="B992" t="s">
        <v>26</v>
      </c>
      <c r="C992" t="s">
        <v>49</v>
      </c>
      <c r="D992" s="1">
        <v>43078</v>
      </c>
      <c r="E992" s="2">
        <v>0.625</v>
      </c>
      <c r="F992" t="s">
        <v>35</v>
      </c>
      <c r="G992" t="s">
        <v>32</v>
      </c>
      <c r="H992">
        <v>2</v>
      </c>
      <c r="I992">
        <v>2</v>
      </c>
      <c r="J992" t="s">
        <v>41</v>
      </c>
      <c r="K992">
        <v>155</v>
      </c>
      <c r="L992">
        <v>439</v>
      </c>
      <c r="M992">
        <v>655</v>
      </c>
      <c r="N992">
        <v>16</v>
      </c>
      <c r="O992">
        <v>44</v>
      </c>
      <c r="P992">
        <v>655</v>
      </c>
      <c r="Q992">
        <v>153</v>
      </c>
      <c r="R992">
        <v>412</v>
      </c>
      <c r="S992">
        <v>582</v>
      </c>
      <c r="T992" t="s">
        <v>31</v>
      </c>
      <c r="U992" t="s">
        <v>31</v>
      </c>
      <c r="V992" t="s">
        <v>31</v>
      </c>
      <c r="W992" t="s">
        <v>31</v>
      </c>
      <c r="X992" t="s">
        <v>31</v>
      </c>
      <c r="Y992" t="s">
        <v>31</v>
      </c>
    </row>
    <row r="993" spans="1:25" hidden="1">
      <c r="A993" t="s">
        <v>25</v>
      </c>
      <c r="B993" t="s">
        <v>26</v>
      </c>
      <c r="C993" t="s">
        <v>49</v>
      </c>
      <c r="D993" s="1">
        <v>43078</v>
      </c>
      <c r="E993" s="2">
        <v>0.72916666666666663</v>
      </c>
      <c r="F993" t="s">
        <v>50</v>
      </c>
      <c r="G993" t="s">
        <v>37</v>
      </c>
      <c r="H993">
        <v>2</v>
      </c>
      <c r="I993">
        <v>1</v>
      </c>
      <c r="J993" t="s">
        <v>34</v>
      </c>
      <c r="K993">
        <v>171</v>
      </c>
      <c r="L993">
        <v>401</v>
      </c>
      <c r="M993">
        <v>519</v>
      </c>
      <c r="N993">
        <v>175</v>
      </c>
      <c r="O993">
        <v>404</v>
      </c>
      <c r="P993">
        <v>52</v>
      </c>
      <c r="Q993">
        <v>169</v>
      </c>
      <c r="R993">
        <v>376</v>
      </c>
      <c r="S993">
        <v>479</v>
      </c>
      <c r="T993" t="s">
        <v>31</v>
      </c>
      <c r="U993" t="s">
        <v>31</v>
      </c>
      <c r="V993" t="s">
        <v>31</v>
      </c>
      <c r="W993" t="s">
        <v>31</v>
      </c>
      <c r="X993" t="s">
        <v>31</v>
      </c>
      <c r="Y993" t="s">
        <v>31</v>
      </c>
    </row>
    <row r="994" spans="1:25" hidden="1">
      <c r="A994" t="s">
        <v>25</v>
      </c>
      <c r="B994" t="s">
        <v>26</v>
      </c>
      <c r="C994" t="s">
        <v>49</v>
      </c>
      <c r="D994" s="1">
        <v>43078</v>
      </c>
      <c r="E994" s="2">
        <v>0.72916666666666663</v>
      </c>
      <c r="F994" t="s">
        <v>28</v>
      </c>
      <c r="G994" t="s">
        <v>48</v>
      </c>
      <c r="H994">
        <v>3</v>
      </c>
      <c r="I994">
        <v>2</v>
      </c>
      <c r="J994" t="s">
        <v>34</v>
      </c>
      <c r="K994">
        <v>139</v>
      </c>
      <c r="L994">
        <v>505</v>
      </c>
      <c r="M994">
        <v>938</v>
      </c>
      <c r="N994">
        <v>143</v>
      </c>
      <c r="O994">
        <v>51</v>
      </c>
      <c r="P994">
        <v>99</v>
      </c>
      <c r="Q994">
        <v>137</v>
      </c>
      <c r="R994">
        <v>477</v>
      </c>
      <c r="S994">
        <v>803</v>
      </c>
      <c r="T994" t="s">
        <v>31</v>
      </c>
      <c r="U994" t="s">
        <v>31</v>
      </c>
      <c r="V994" t="s">
        <v>31</v>
      </c>
      <c r="W994" t="s">
        <v>31</v>
      </c>
      <c r="X994" t="s">
        <v>31</v>
      </c>
      <c r="Y994" t="s">
        <v>31</v>
      </c>
    </row>
    <row r="995" spans="1:25" hidden="1">
      <c r="A995" t="s">
        <v>25</v>
      </c>
      <c r="B995" t="s">
        <v>26</v>
      </c>
      <c r="C995" t="s">
        <v>49</v>
      </c>
      <c r="D995" s="1">
        <v>43079</v>
      </c>
      <c r="E995" s="2">
        <v>0.54166666666666663</v>
      </c>
      <c r="F995" t="s">
        <v>45</v>
      </c>
      <c r="G995" t="s">
        <v>40</v>
      </c>
      <c r="H995">
        <v>1</v>
      </c>
      <c r="I995">
        <v>0</v>
      </c>
      <c r="J995" t="s">
        <v>34</v>
      </c>
      <c r="K995">
        <v>223</v>
      </c>
      <c r="L995">
        <v>355</v>
      </c>
      <c r="M995">
        <v>339</v>
      </c>
      <c r="N995">
        <v>24</v>
      </c>
      <c r="O995">
        <v>36</v>
      </c>
      <c r="P995">
        <v>339</v>
      </c>
      <c r="Q995">
        <v>221</v>
      </c>
      <c r="R995">
        <v>342</v>
      </c>
      <c r="S995">
        <v>313</v>
      </c>
      <c r="T995" t="s">
        <v>31</v>
      </c>
      <c r="U995" t="s">
        <v>31</v>
      </c>
      <c r="V995" t="s">
        <v>31</v>
      </c>
      <c r="W995" t="s">
        <v>31</v>
      </c>
      <c r="X995" t="s">
        <v>31</v>
      </c>
      <c r="Y995" t="s">
        <v>31</v>
      </c>
    </row>
    <row r="996" spans="1:25" hidden="1">
      <c r="A996" t="s">
        <v>25</v>
      </c>
      <c r="B996" t="s">
        <v>26</v>
      </c>
      <c r="C996" t="s">
        <v>49</v>
      </c>
      <c r="D996" s="1">
        <v>43079</v>
      </c>
      <c r="E996" s="2">
        <v>0.64583333333333337</v>
      </c>
      <c r="F996" t="s">
        <v>39</v>
      </c>
      <c r="G996" t="s">
        <v>29</v>
      </c>
      <c r="H996">
        <v>0</v>
      </c>
      <c r="I996">
        <v>0</v>
      </c>
      <c r="J996" t="s">
        <v>41</v>
      </c>
      <c r="K996">
        <v>705</v>
      </c>
      <c r="L996">
        <v>432</v>
      </c>
      <c r="M996">
        <v>153</v>
      </c>
      <c r="N996">
        <v>765</v>
      </c>
      <c r="O996">
        <v>45</v>
      </c>
      <c r="P996">
        <v>153</v>
      </c>
      <c r="Q996">
        <v>665</v>
      </c>
      <c r="R996">
        <v>415</v>
      </c>
      <c r="S996">
        <v>148</v>
      </c>
      <c r="T996" t="s">
        <v>31</v>
      </c>
      <c r="U996" t="s">
        <v>31</v>
      </c>
      <c r="V996" t="s">
        <v>31</v>
      </c>
      <c r="W996" t="s">
        <v>31</v>
      </c>
      <c r="X996" t="s">
        <v>31</v>
      </c>
      <c r="Y996" t="s">
        <v>31</v>
      </c>
    </row>
    <row r="997" spans="1:25" hidden="1">
      <c r="A997" t="s">
        <v>25</v>
      </c>
      <c r="B997" t="s">
        <v>26</v>
      </c>
      <c r="C997" t="s">
        <v>49</v>
      </c>
      <c r="D997" s="1">
        <v>43085</v>
      </c>
      <c r="E997" s="2">
        <v>0.625</v>
      </c>
      <c r="F997" t="s">
        <v>29</v>
      </c>
      <c r="G997" t="s">
        <v>50</v>
      </c>
      <c r="H997">
        <v>0</v>
      </c>
      <c r="I997">
        <v>0</v>
      </c>
      <c r="J997" t="s">
        <v>41</v>
      </c>
      <c r="K997">
        <v>138</v>
      </c>
      <c r="L997">
        <v>503</v>
      </c>
      <c r="M997">
        <v>993</v>
      </c>
      <c r="N997">
        <v>14</v>
      </c>
      <c r="O997">
        <v>52</v>
      </c>
      <c r="P997">
        <v>11</v>
      </c>
      <c r="Q997">
        <v>135</v>
      </c>
      <c r="R997">
        <v>478</v>
      </c>
      <c r="S997">
        <v>897</v>
      </c>
      <c r="T997" t="s">
        <v>31</v>
      </c>
      <c r="U997" t="s">
        <v>31</v>
      </c>
      <c r="V997" t="s">
        <v>31</v>
      </c>
      <c r="W997" t="s">
        <v>31</v>
      </c>
      <c r="X997" t="s">
        <v>31</v>
      </c>
      <c r="Y997" t="s">
        <v>31</v>
      </c>
    </row>
    <row r="998" spans="1:25" hidden="1">
      <c r="A998" t="s">
        <v>25</v>
      </c>
      <c r="B998" t="s">
        <v>26</v>
      </c>
      <c r="C998" t="s">
        <v>49</v>
      </c>
      <c r="D998" s="1">
        <v>43085</v>
      </c>
      <c r="E998" s="2">
        <v>0.72916666666666663</v>
      </c>
      <c r="F998" t="s">
        <v>37</v>
      </c>
      <c r="G998" t="s">
        <v>45</v>
      </c>
      <c r="H998">
        <v>3</v>
      </c>
      <c r="I998">
        <v>1</v>
      </c>
      <c r="J998" t="s">
        <v>34</v>
      </c>
      <c r="K998">
        <v>264</v>
      </c>
      <c r="L998">
        <v>355</v>
      </c>
      <c r="M998">
        <v>274</v>
      </c>
      <c r="N998">
        <v>269</v>
      </c>
      <c r="O998">
        <v>355</v>
      </c>
      <c r="P998">
        <v>282</v>
      </c>
      <c r="Q998">
        <v>253</v>
      </c>
      <c r="R998">
        <v>333</v>
      </c>
      <c r="S998">
        <v>267</v>
      </c>
      <c r="T998" t="s">
        <v>31</v>
      </c>
      <c r="U998" t="s">
        <v>31</v>
      </c>
      <c r="V998" t="s">
        <v>31</v>
      </c>
      <c r="W998" t="s">
        <v>31</v>
      </c>
      <c r="X998" t="s">
        <v>31</v>
      </c>
      <c r="Y998" t="s">
        <v>31</v>
      </c>
    </row>
    <row r="999" spans="1:25" hidden="1">
      <c r="A999" t="s">
        <v>25</v>
      </c>
      <c r="B999" t="s">
        <v>26</v>
      </c>
      <c r="C999" t="s">
        <v>49</v>
      </c>
      <c r="D999" s="1">
        <v>43085</v>
      </c>
      <c r="E999" s="2">
        <v>0.72916666666666663</v>
      </c>
      <c r="F999" t="s">
        <v>32</v>
      </c>
      <c r="G999" t="s">
        <v>39</v>
      </c>
      <c r="H999">
        <v>5</v>
      </c>
      <c r="I999">
        <v>1</v>
      </c>
      <c r="J999" t="s">
        <v>34</v>
      </c>
      <c r="K999">
        <v>23</v>
      </c>
      <c r="L999">
        <v>339</v>
      </c>
      <c r="M999">
        <v>339</v>
      </c>
      <c r="N999">
        <v>231</v>
      </c>
      <c r="O999">
        <v>34</v>
      </c>
      <c r="P999">
        <v>36</v>
      </c>
      <c r="Q999">
        <v>219</v>
      </c>
      <c r="R999">
        <v>324</v>
      </c>
      <c r="S999">
        <v>33</v>
      </c>
      <c r="T999" t="s">
        <v>31</v>
      </c>
      <c r="U999" t="s">
        <v>31</v>
      </c>
      <c r="V999" t="s">
        <v>31</v>
      </c>
      <c r="W999" t="s">
        <v>31</v>
      </c>
      <c r="X999" t="s">
        <v>31</v>
      </c>
      <c r="Y999" t="s">
        <v>31</v>
      </c>
    </row>
    <row r="1000" spans="1:25" hidden="1">
      <c r="A1000" t="s">
        <v>25</v>
      </c>
      <c r="B1000" t="s">
        <v>26</v>
      </c>
      <c r="C1000" t="s">
        <v>49</v>
      </c>
      <c r="D1000" s="1">
        <v>43085</v>
      </c>
      <c r="E1000" s="2">
        <v>0.72916666666666663</v>
      </c>
      <c r="F1000" t="s">
        <v>48</v>
      </c>
      <c r="G1000" t="s">
        <v>35</v>
      </c>
      <c r="H1000">
        <v>0</v>
      </c>
      <c r="I1000">
        <v>5</v>
      </c>
      <c r="J1000" t="s">
        <v>30</v>
      </c>
      <c r="K1000">
        <v>795</v>
      </c>
      <c r="L1000">
        <v>445</v>
      </c>
      <c r="M1000">
        <v>148</v>
      </c>
      <c r="N1000">
        <v>8</v>
      </c>
      <c r="O1000">
        <v>47</v>
      </c>
      <c r="P1000">
        <v>17</v>
      </c>
      <c r="Q1000">
        <v>653</v>
      </c>
      <c r="R1000">
        <v>423</v>
      </c>
      <c r="S1000">
        <v>148</v>
      </c>
      <c r="T1000" t="s">
        <v>31</v>
      </c>
      <c r="U1000" t="s">
        <v>31</v>
      </c>
      <c r="V1000" t="s">
        <v>31</v>
      </c>
      <c r="W1000" t="s">
        <v>31</v>
      </c>
      <c r="X1000" t="s">
        <v>31</v>
      </c>
      <c r="Y1000" t="s">
        <v>31</v>
      </c>
    </row>
    <row r="1001" spans="1:25" hidden="1">
      <c r="A1001" t="s">
        <v>25</v>
      </c>
      <c r="B1001" t="s">
        <v>26</v>
      </c>
      <c r="C1001" t="s">
        <v>49</v>
      </c>
      <c r="D1001" s="1">
        <v>43086</v>
      </c>
      <c r="E1001" s="2">
        <v>0.64583333333333337</v>
      </c>
      <c r="F1001" t="s">
        <v>40</v>
      </c>
      <c r="G1001" t="s">
        <v>28</v>
      </c>
      <c r="H1001">
        <v>1</v>
      </c>
      <c r="I1001">
        <v>0</v>
      </c>
      <c r="J1001" t="s">
        <v>34</v>
      </c>
      <c r="K1001">
        <v>381</v>
      </c>
      <c r="L1001">
        <v>384</v>
      </c>
      <c r="M1001">
        <v>199</v>
      </c>
      <c r="N1001">
        <v>382</v>
      </c>
      <c r="O1001">
        <v>387</v>
      </c>
      <c r="P1001">
        <v>23</v>
      </c>
      <c r="Q1001">
        <v>36</v>
      </c>
      <c r="R1001">
        <v>362</v>
      </c>
      <c r="S1001">
        <v>196</v>
      </c>
      <c r="T1001" t="s">
        <v>31</v>
      </c>
      <c r="U1001" t="s">
        <v>31</v>
      </c>
      <c r="V1001" t="s">
        <v>31</v>
      </c>
      <c r="W1001" t="s">
        <v>31</v>
      </c>
      <c r="X1001" t="s">
        <v>31</v>
      </c>
      <c r="Y1001" t="s">
        <v>31</v>
      </c>
    </row>
    <row r="1002" spans="1:25" hidden="1">
      <c r="A1002" t="s">
        <v>25</v>
      </c>
      <c r="B1002" t="s">
        <v>26</v>
      </c>
      <c r="C1002" t="s">
        <v>49</v>
      </c>
      <c r="D1002" s="1">
        <v>43134</v>
      </c>
      <c r="E1002" s="2">
        <v>0.625</v>
      </c>
      <c r="F1002" t="s">
        <v>32</v>
      </c>
      <c r="G1002" t="s">
        <v>28</v>
      </c>
      <c r="H1002">
        <v>1</v>
      </c>
      <c r="I1002">
        <v>0</v>
      </c>
      <c r="J1002" t="s">
        <v>34</v>
      </c>
      <c r="K1002">
        <v>376</v>
      </c>
      <c r="L1002">
        <v>341</v>
      </c>
      <c r="M1002">
        <v>212</v>
      </c>
      <c r="N1002">
        <v>376</v>
      </c>
      <c r="O1002">
        <v>354</v>
      </c>
      <c r="P1002">
        <v>221</v>
      </c>
      <c r="Q1002">
        <v>348</v>
      </c>
      <c r="R1002">
        <v>328</v>
      </c>
      <c r="S1002">
        <v>21</v>
      </c>
      <c r="T1002" t="s">
        <v>31</v>
      </c>
      <c r="U1002" t="s">
        <v>31</v>
      </c>
      <c r="V1002" t="s">
        <v>31</v>
      </c>
      <c r="W1002" t="s">
        <v>31</v>
      </c>
      <c r="X1002" t="s">
        <v>31</v>
      </c>
      <c r="Y1002" t="s">
        <v>31</v>
      </c>
    </row>
    <row r="1003" spans="1:25" hidden="1">
      <c r="A1003" t="s">
        <v>25</v>
      </c>
      <c r="B1003" t="s">
        <v>26</v>
      </c>
      <c r="C1003" t="s">
        <v>49</v>
      </c>
      <c r="D1003" s="1">
        <v>43134</v>
      </c>
      <c r="E1003" s="2">
        <v>0.72916666666666663</v>
      </c>
      <c r="F1003" t="s">
        <v>39</v>
      </c>
      <c r="G1003" t="s">
        <v>45</v>
      </c>
      <c r="H1003">
        <v>0</v>
      </c>
      <c r="I1003">
        <v>0</v>
      </c>
      <c r="J1003" t="s">
        <v>41</v>
      </c>
      <c r="K1003">
        <v>243</v>
      </c>
      <c r="L1003">
        <v>321</v>
      </c>
      <c r="M1003">
        <v>327</v>
      </c>
      <c r="N1003">
        <v>26</v>
      </c>
      <c r="O1003">
        <v>323</v>
      </c>
      <c r="P1003">
        <v>327</v>
      </c>
      <c r="Q1003">
        <v>24</v>
      </c>
      <c r="R1003">
        <v>309</v>
      </c>
      <c r="S1003">
        <v>304</v>
      </c>
      <c r="T1003" t="s">
        <v>31</v>
      </c>
      <c r="U1003" t="s">
        <v>31</v>
      </c>
      <c r="V1003" t="s">
        <v>31</v>
      </c>
      <c r="W1003" t="s">
        <v>31</v>
      </c>
      <c r="X1003" t="s">
        <v>31</v>
      </c>
      <c r="Y1003" t="s">
        <v>31</v>
      </c>
    </row>
    <row r="1004" spans="1:25" hidden="1">
      <c r="A1004" t="s">
        <v>25</v>
      </c>
      <c r="B1004" t="s">
        <v>26</v>
      </c>
      <c r="C1004" t="s">
        <v>49</v>
      </c>
      <c r="D1004" s="1">
        <v>43134</v>
      </c>
      <c r="E1004" s="2">
        <v>0.72916666666666663</v>
      </c>
      <c r="F1004" t="s">
        <v>50</v>
      </c>
      <c r="G1004" t="s">
        <v>48</v>
      </c>
      <c r="H1004">
        <v>2</v>
      </c>
      <c r="I1004">
        <v>1</v>
      </c>
      <c r="J1004" t="s">
        <v>34</v>
      </c>
      <c r="K1004">
        <v>154</v>
      </c>
      <c r="L1004">
        <v>436</v>
      </c>
      <c r="M1004">
        <v>652</v>
      </c>
      <c r="N1004">
        <v>154</v>
      </c>
      <c r="O1004">
        <v>475</v>
      </c>
      <c r="P1004">
        <v>77</v>
      </c>
      <c r="Q1004">
        <v>148</v>
      </c>
      <c r="R1004">
        <v>423</v>
      </c>
      <c r="S1004">
        <v>642</v>
      </c>
      <c r="T1004" t="s">
        <v>31</v>
      </c>
      <c r="U1004" t="s">
        <v>31</v>
      </c>
      <c r="V1004" t="s">
        <v>31</v>
      </c>
      <c r="W1004" t="s">
        <v>31</v>
      </c>
      <c r="X1004" t="s">
        <v>31</v>
      </c>
      <c r="Y1004" t="s">
        <v>31</v>
      </c>
    </row>
    <row r="1005" spans="1:25" hidden="1">
      <c r="A1005" t="s">
        <v>25</v>
      </c>
      <c r="B1005" t="s">
        <v>26</v>
      </c>
      <c r="C1005" t="s">
        <v>49</v>
      </c>
      <c r="D1005" s="1">
        <v>43134</v>
      </c>
      <c r="E1005" s="2">
        <v>0.72916666666666663</v>
      </c>
      <c r="F1005" t="s">
        <v>29</v>
      </c>
      <c r="G1005" t="s">
        <v>37</v>
      </c>
      <c r="H1005">
        <v>2</v>
      </c>
      <c r="I1005">
        <v>1</v>
      </c>
      <c r="J1005" t="s">
        <v>34</v>
      </c>
      <c r="K1005">
        <v>116</v>
      </c>
      <c r="L1005">
        <v>86</v>
      </c>
      <c r="M1005">
        <v>20</v>
      </c>
      <c r="N1005">
        <v>125</v>
      </c>
      <c r="O1005">
        <v>10</v>
      </c>
      <c r="P1005">
        <v>26</v>
      </c>
      <c r="Q1005">
        <v>113</v>
      </c>
      <c r="R1005">
        <v>799</v>
      </c>
      <c r="S1005">
        <v>1896</v>
      </c>
      <c r="T1005" t="s">
        <v>31</v>
      </c>
      <c r="U1005" t="s">
        <v>31</v>
      </c>
      <c r="V1005" t="s">
        <v>31</v>
      </c>
      <c r="W1005" t="s">
        <v>31</v>
      </c>
      <c r="X1005" t="s">
        <v>31</v>
      </c>
      <c r="Y1005" t="s">
        <v>31</v>
      </c>
    </row>
    <row r="1006" spans="1:25" hidden="1">
      <c r="A1006" t="s">
        <v>25</v>
      </c>
      <c r="B1006" t="s">
        <v>26</v>
      </c>
      <c r="C1006" t="s">
        <v>49</v>
      </c>
      <c r="D1006" s="1">
        <v>43135</v>
      </c>
      <c r="E1006" s="2">
        <v>0.64583333333333337</v>
      </c>
      <c r="F1006" t="s">
        <v>35</v>
      </c>
      <c r="G1006" t="s">
        <v>40</v>
      </c>
      <c r="H1006">
        <v>1</v>
      </c>
      <c r="I1006">
        <v>1</v>
      </c>
      <c r="J1006" t="s">
        <v>41</v>
      </c>
      <c r="K1006">
        <v>147</v>
      </c>
      <c r="L1006">
        <v>519</v>
      </c>
      <c r="M1006">
        <v>645</v>
      </c>
      <c r="N1006">
        <v>17</v>
      </c>
      <c r="O1006">
        <v>53</v>
      </c>
      <c r="P1006">
        <v>7</v>
      </c>
      <c r="Q1006">
        <v>145</v>
      </c>
      <c r="R1006">
        <v>479</v>
      </c>
      <c r="S1006">
        <v>6</v>
      </c>
      <c r="T1006" t="s">
        <v>31</v>
      </c>
      <c r="U1006" t="s">
        <v>31</v>
      </c>
      <c r="V1006" t="s">
        <v>31</v>
      </c>
      <c r="W1006" t="s">
        <v>31</v>
      </c>
      <c r="X1006" t="s">
        <v>31</v>
      </c>
      <c r="Y1006" t="s">
        <v>31</v>
      </c>
    </row>
    <row r="1007" spans="1:25" hidden="1">
      <c r="A1007" t="s">
        <v>25</v>
      </c>
      <c r="B1007" t="s">
        <v>26</v>
      </c>
      <c r="C1007" t="s">
        <v>49</v>
      </c>
      <c r="D1007" s="1">
        <v>43141</v>
      </c>
      <c r="E1007" s="2">
        <v>0.625</v>
      </c>
      <c r="F1007" t="s">
        <v>45</v>
      </c>
      <c r="G1007" t="s">
        <v>29</v>
      </c>
      <c r="H1007">
        <v>0</v>
      </c>
      <c r="I1007">
        <v>1</v>
      </c>
      <c r="J1007" t="s">
        <v>30</v>
      </c>
      <c r="K1007">
        <v>806</v>
      </c>
      <c r="L1007">
        <v>46</v>
      </c>
      <c r="M1007">
        <v>145</v>
      </c>
      <c r="N1007">
        <v>917</v>
      </c>
      <c r="O1007">
        <v>474</v>
      </c>
      <c r="P1007">
        <v>15</v>
      </c>
      <c r="Q1007">
        <v>78</v>
      </c>
      <c r="R1007">
        <v>433</v>
      </c>
      <c r="S1007">
        <v>141</v>
      </c>
      <c r="T1007" t="s">
        <v>31</v>
      </c>
      <c r="U1007" t="s">
        <v>31</v>
      </c>
      <c r="V1007" t="s">
        <v>31</v>
      </c>
      <c r="W1007" t="s">
        <v>31</v>
      </c>
      <c r="X1007" t="s">
        <v>31</v>
      </c>
      <c r="Y1007" t="s">
        <v>31</v>
      </c>
    </row>
    <row r="1008" spans="1:25" hidden="1">
      <c r="A1008" t="s">
        <v>25</v>
      </c>
      <c r="B1008" t="s">
        <v>26</v>
      </c>
      <c r="C1008" t="s">
        <v>49</v>
      </c>
      <c r="D1008" s="1">
        <v>43141</v>
      </c>
      <c r="E1008" s="2">
        <v>0.72916666666666663</v>
      </c>
      <c r="F1008" t="s">
        <v>40</v>
      </c>
      <c r="G1008" t="s">
        <v>50</v>
      </c>
      <c r="H1008">
        <v>1</v>
      </c>
      <c r="I1008">
        <v>3</v>
      </c>
      <c r="J1008" t="s">
        <v>30</v>
      </c>
      <c r="K1008">
        <v>264</v>
      </c>
      <c r="L1008">
        <v>361</v>
      </c>
      <c r="M1008">
        <v>267</v>
      </c>
      <c r="N1008">
        <v>28</v>
      </c>
      <c r="O1008">
        <v>366</v>
      </c>
      <c r="P1008">
        <v>29</v>
      </c>
      <c r="Q1008">
        <v>261</v>
      </c>
      <c r="R1008">
        <v>334</v>
      </c>
      <c r="S1008">
        <v>26</v>
      </c>
      <c r="T1008" t="s">
        <v>31</v>
      </c>
      <c r="U1008" t="s">
        <v>31</v>
      </c>
      <c r="V1008" t="s">
        <v>31</v>
      </c>
      <c r="W1008" t="s">
        <v>31</v>
      </c>
      <c r="X1008" t="s">
        <v>31</v>
      </c>
      <c r="Y1008" t="s">
        <v>31</v>
      </c>
    </row>
    <row r="1009" spans="1:25" hidden="1">
      <c r="A1009" t="s">
        <v>25</v>
      </c>
      <c r="B1009" t="s">
        <v>26</v>
      </c>
      <c r="C1009" t="s">
        <v>49</v>
      </c>
      <c r="D1009" s="1">
        <v>43141</v>
      </c>
      <c r="E1009" s="2">
        <v>0.72916666666666663</v>
      </c>
      <c r="F1009" t="s">
        <v>48</v>
      </c>
      <c r="G1009" t="s">
        <v>32</v>
      </c>
      <c r="H1009">
        <v>0</v>
      </c>
      <c r="I1009">
        <v>3</v>
      </c>
      <c r="J1009" t="s">
        <v>30</v>
      </c>
      <c r="K1009">
        <v>314</v>
      </c>
      <c r="L1009">
        <v>339</v>
      </c>
      <c r="M1009">
        <v>24</v>
      </c>
      <c r="N1009">
        <v>33</v>
      </c>
      <c r="O1009">
        <v>34</v>
      </c>
      <c r="P1009">
        <v>25</v>
      </c>
      <c r="Q1009">
        <v>307</v>
      </c>
      <c r="R1009">
        <v>324</v>
      </c>
      <c r="S1009">
        <v>23</v>
      </c>
      <c r="T1009" t="s">
        <v>31</v>
      </c>
      <c r="U1009" t="s">
        <v>31</v>
      </c>
      <c r="V1009" t="s">
        <v>31</v>
      </c>
      <c r="W1009" t="s">
        <v>31</v>
      </c>
      <c r="X1009" t="s">
        <v>31</v>
      </c>
      <c r="Y1009" t="s">
        <v>31</v>
      </c>
    </row>
    <row r="1010" spans="1:25" hidden="1">
      <c r="A1010" t="s">
        <v>25</v>
      </c>
      <c r="B1010" t="s">
        <v>26</v>
      </c>
      <c r="C1010" t="s">
        <v>49</v>
      </c>
      <c r="D1010" s="1">
        <v>43141</v>
      </c>
      <c r="E1010" s="2">
        <v>0.72916666666666663</v>
      </c>
      <c r="F1010" t="s">
        <v>28</v>
      </c>
      <c r="G1010" t="s">
        <v>39</v>
      </c>
      <c r="H1010">
        <v>0</v>
      </c>
      <c r="I1010">
        <v>1</v>
      </c>
      <c r="J1010" t="s">
        <v>30</v>
      </c>
      <c r="K1010">
        <v>166</v>
      </c>
      <c r="L1010">
        <v>376</v>
      </c>
      <c r="M1010">
        <v>618</v>
      </c>
      <c r="N1010">
        <v>17</v>
      </c>
      <c r="O1010">
        <v>4</v>
      </c>
      <c r="P1010">
        <v>625</v>
      </c>
      <c r="Q1010">
        <v>165</v>
      </c>
      <c r="R1010">
        <v>362</v>
      </c>
      <c r="S1010">
        <v>544</v>
      </c>
      <c r="T1010" t="s">
        <v>31</v>
      </c>
      <c r="U1010" t="s">
        <v>31</v>
      </c>
      <c r="V1010" t="s">
        <v>31</v>
      </c>
      <c r="W1010" t="s">
        <v>31</v>
      </c>
      <c r="X1010" t="s">
        <v>31</v>
      </c>
      <c r="Y1010" t="s">
        <v>31</v>
      </c>
    </row>
    <row r="1011" spans="1:25" hidden="1">
      <c r="A1011" t="s">
        <v>25</v>
      </c>
      <c r="B1011" t="s">
        <v>26</v>
      </c>
      <c r="C1011" t="s">
        <v>49</v>
      </c>
      <c r="D1011" s="1">
        <v>43142</v>
      </c>
      <c r="E1011" s="2">
        <v>0.64583333333333337</v>
      </c>
      <c r="F1011" t="s">
        <v>37</v>
      </c>
      <c r="G1011" t="s">
        <v>35</v>
      </c>
      <c r="H1011">
        <v>2</v>
      </c>
      <c r="I1011">
        <v>1</v>
      </c>
      <c r="J1011" t="s">
        <v>34</v>
      </c>
      <c r="K1011">
        <v>787</v>
      </c>
      <c r="L1011">
        <v>531</v>
      </c>
      <c r="M1011">
        <v>14</v>
      </c>
      <c r="N1011">
        <v>787</v>
      </c>
      <c r="O1011">
        <v>536</v>
      </c>
      <c r="P1011">
        <v>18</v>
      </c>
      <c r="Q1011">
        <v>674</v>
      </c>
      <c r="R1011">
        <v>481</v>
      </c>
      <c r="S1011">
        <v>141</v>
      </c>
      <c r="T1011" t="s">
        <v>31</v>
      </c>
      <c r="U1011" t="s">
        <v>31</v>
      </c>
      <c r="V1011" t="s">
        <v>31</v>
      </c>
      <c r="W1011" t="s">
        <v>31</v>
      </c>
      <c r="X1011" t="s">
        <v>31</v>
      </c>
      <c r="Y1011" t="s">
        <v>31</v>
      </c>
    </row>
    <row r="1012" spans="1:25" hidden="1">
      <c r="A1012" t="s">
        <v>25</v>
      </c>
      <c r="B1012" t="s">
        <v>26</v>
      </c>
      <c r="C1012" t="s">
        <v>49</v>
      </c>
      <c r="D1012" s="1">
        <v>43148</v>
      </c>
      <c r="E1012" s="2">
        <v>0.625</v>
      </c>
      <c r="F1012" t="s">
        <v>35</v>
      </c>
      <c r="G1012" t="s">
        <v>28</v>
      </c>
      <c r="H1012">
        <v>1</v>
      </c>
      <c r="I1012">
        <v>1</v>
      </c>
      <c r="J1012" t="s">
        <v>41</v>
      </c>
      <c r="K1012">
        <v>199</v>
      </c>
      <c r="L1012">
        <v>362</v>
      </c>
      <c r="M1012">
        <v>398</v>
      </c>
      <c r="N1012">
        <v>202</v>
      </c>
      <c r="O1012">
        <v>372</v>
      </c>
      <c r="P1012">
        <v>433</v>
      </c>
      <c r="Q1012">
        <v>189</v>
      </c>
      <c r="R1012">
        <v>352</v>
      </c>
      <c r="S1012">
        <v>394</v>
      </c>
      <c r="T1012" t="s">
        <v>31</v>
      </c>
      <c r="U1012" t="s">
        <v>31</v>
      </c>
      <c r="V1012" t="s">
        <v>31</v>
      </c>
      <c r="W1012" t="s">
        <v>31</v>
      </c>
      <c r="X1012" t="s">
        <v>31</v>
      </c>
      <c r="Y1012" t="s">
        <v>31</v>
      </c>
    </row>
    <row r="1013" spans="1:25" hidden="1">
      <c r="A1013" t="s">
        <v>25</v>
      </c>
      <c r="B1013" t="s">
        <v>26</v>
      </c>
      <c r="C1013" t="s">
        <v>49</v>
      </c>
      <c r="D1013" s="1">
        <v>43148</v>
      </c>
      <c r="E1013" s="2">
        <v>0.72916666666666663</v>
      </c>
      <c r="F1013" t="s">
        <v>39</v>
      </c>
      <c r="G1013" t="s">
        <v>37</v>
      </c>
      <c r="H1013">
        <v>1</v>
      </c>
      <c r="I1013">
        <v>3</v>
      </c>
      <c r="J1013" t="s">
        <v>30</v>
      </c>
      <c r="K1013">
        <v>188</v>
      </c>
      <c r="L1013">
        <v>365</v>
      </c>
      <c r="M1013">
        <v>45</v>
      </c>
      <c r="N1013">
        <v>22</v>
      </c>
      <c r="O1013">
        <v>376</v>
      </c>
      <c r="P1013">
        <v>451</v>
      </c>
      <c r="Q1013">
        <v>186</v>
      </c>
      <c r="R1013">
        <v>349</v>
      </c>
      <c r="S1013">
        <v>416</v>
      </c>
      <c r="T1013" t="s">
        <v>31</v>
      </c>
      <c r="U1013" t="s">
        <v>31</v>
      </c>
      <c r="V1013" t="s">
        <v>31</v>
      </c>
      <c r="W1013" t="s">
        <v>31</v>
      </c>
      <c r="X1013" t="s">
        <v>31</v>
      </c>
      <c r="Y1013" t="s">
        <v>31</v>
      </c>
    </row>
    <row r="1014" spans="1:25" hidden="1">
      <c r="A1014" t="s">
        <v>25</v>
      </c>
      <c r="B1014" t="s">
        <v>26</v>
      </c>
      <c r="C1014" t="s">
        <v>49</v>
      </c>
      <c r="D1014" s="1">
        <v>43148</v>
      </c>
      <c r="E1014" s="2">
        <v>0.72916666666666663</v>
      </c>
      <c r="F1014" t="s">
        <v>50</v>
      </c>
      <c r="G1014" t="s">
        <v>45</v>
      </c>
      <c r="H1014">
        <v>2</v>
      </c>
      <c r="I1014">
        <v>0</v>
      </c>
      <c r="J1014" t="s">
        <v>34</v>
      </c>
      <c r="K1014">
        <v>152</v>
      </c>
      <c r="L1014">
        <v>443</v>
      </c>
      <c r="M1014">
        <v>684</v>
      </c>
      <c r="N1014">
        <v>165</v>
      </c>
      <c r="O1014">
        <v>443</v>
      </c>
      <c r="P1014">
        <v>75</v>
      </c>
      <c r="Q1014">
        <v>15</v>
      </c>
      <c r="R1014">
        <v>408</v>
      </c>
      <c r="S1014">
        <v>655</v>
      </c>
      <c r="T1014" t="s">
        <v>31</v>
      </c>
      <c r="U1014" t="s">
        <v>31</v>
      </c>
      <c r="V1014" t="s">
        <v>31</v>
      </c>
      <c r="W1014" t="s">
        <v>31</v>
      </c>
      <c r="X1014" t="s">
        <v>31</v>
      </c>
      <c r="Y1014" t="s">
        <v>31</v>
      </c>
    </row>
    <row r="1015" spans="1:25" hidden="1">
      <c r="A1015" t="s">
        <v>25</v>
      </c>
      <c r="B1015" t="s">
        <v>26</v>
      </c>
      <c r="C1015" t="s">
        <v>49</v>
      </c>
      <c r="D1015" s="1">
        <v>43148</v>
      </c>
      <c r="E1015" s="2">
        <v>0.72916666666666663</v>
      </c>
      <c r="F1015" t="s">
        <v>32</v>
      </c>
      <c r="G1015" t="s">
        <v>40</v>
      </c>
      <c r="H1015">
        <v>2</v>
      </c>
      <c r="I1015">
        <v>1</v>
      </c>
      <c r="J1015" t="s">
        <v>34</v>
      </c>
      <c r="K1015">
        <v>221</v>
      </c>
      <c r="L1015">
        <v>369</v>
      </c>
      <c r="M1015">
        <v>327</v>
      </c>
      <c r="N1015">
        <v>24</v>
      </c>
      <c r="O1015">
        <v>37</v>
      </c>
      <c r="P1015">
        <v>35</v>
      </c>
      <c r="Q1015">
        <v>219</v>
      </c>
      <c r="R1015">
        <v>342</v>
      </c>
      <c r="S1015">
        <v>315</v>
      </c>
      <c r="T1015" t="s">
        <v>31</v>
      </c>
      <c r="U1015" t="s">
        <v>31</v>
      </c>
      <c r="V1015" t="s">
        <v>31</v>
      </c>
      <c r="W1015" t="s">
        <v>31</v>
      </c>
      <c r="X1015" t="s">
        <v>31</v>
      </c>
      <c r="Y1015" t="s">
        <v>31</v>
      </c>
    </row>
    <row r="1016" spans="1:25" hidden="1">
      <c r="A1016" t="s">
        <v>25</v>
      </c>
      <c r="B1016" t="s">
        <v>26</v>
      </c>
      <c r="C1016" t="s">
        <v>49</v>
      </c>
      <c r="D1016" s="1">
        <v>43149</v>
      </c>
      <c r="E1016" s="2">
        <v>0.64583333333333337</v>
      </c>
      <c r="F1016" t="s">
        <v>29</v>
      </c>
      <c r="G1016" t="s">
        <v>48</v>
      </c>
      <c r="H1016">
        <v>4</v>
      </c>
      <c r="I1016">
        <v>0</v>
      </c>
      <c r="J1016" t="s">
        <v>34</v>
      </c>
      <c r="K1016">
        <v>118</v>
      </c>
      <c r="L1016">
        <v>79</v>
      </c>
      <c r="M1016">
        <v>179</v>
      </c>
      <c r="N1016">
        <v>12</v>
      </c>
      <c r="O1016">
        <v>841</v>
      </c>
      <c r="P1016">
        <v>20</v>
      </c>
      <c r="Q1016">
        <v>116</v>
      </c>
      <c r="R1016">
        <v>724</v>
      </c>
      <c r="S1016">
        <v>1601</v>
      </c>
      <c r="T1016" t="s">
        <v>31</v>
      </c>
      <c r="U1016" t="s">
        <v>31</v>
      </c>
      <c r="V1016" t="s">
        <v>31</v>
      </c>
      <c r="W1016" t="s">
        <v>31</v>
      </c>
      <c r="X1016" t="s">
        <v>31</v>
      </c>
      <c r="Y1016" t="s">
        <v>31</v>
      </c>
    </row>
    <row r="1017" spans="1:25" hidden="1">
      <c r="A1017" t="s">
        <v>25</v>
      </c>
      <c r="B1017" t="s">
        <v>26</v>
      </c>
      <c r="C1017" t="s">
        <v>49</v>
      </c>
      <c r="D1017" s="1">
        <v>43155</v>
      </c>
      <c r="E1017" s="2">
        <v>0.625</v>
      </c>
      <c r="F1017" t="s">
        <v>37</v>
      </c>
      <c r="G1017" t="s">
        <v>40</v>
      </c>
      <c r="H1017">
        <v>2</v>
      </c>
      <c r="I1017">
        <v>1</v>
      </c>
      <c r="J1017" t="s">
        <v>34</v>
      </c>
      <c r="K1017">
        <v>312</v>
      </c>
      <c r="L1017">
        <v>38</v>
      </c>
      <c r="M1017">
        <v>224</v>
      </c>
      <c r="N1017">
        <v>318</v>
      </c>
      <c r="O1017">
        <v>38</v>
      </c>
      <c r="P1017">
        <v>275</v>
      </c>
      <c r="Q1017">
        <v>296</v>
      </c>
      <c r="R1017">
        <v>356</v>
      </c>
      <c r="S1017">
        <v>224</v>
      </c>
      <c r="T1017" t="s">
        <v>31</v>
      </c>
      <c r="U1017" t="s">
        <v>31</v>
      </c>
      <c r="V1017" t="s">
        <v>31</v>
      </c>
      <c r="W1017" t="s">
        <v>31</v>
      </c>
      <c r="X1017" t="s">
        <v>31</v>
      </c>
      <c r="Y1017" t="s">
        <v>31</v>
      </c>
    </row>
    <row r="1018" spans="1:25" hidden="1">
      <c r="A1018" t="s">
        <v>25</v>
      </c>
      <c r="B1018" t="s">
        <v>26</v>
      </c>
      <c r="C1018" t="s">
        <v>49</v>
      </c>
      <c r="D1018" s="1">
        <v>43155</v>
      </c>
      <c r="E1018" s="2">
        <v>0.72916666666666663</v>
      </c>
      <c r="F1018" t="s">
        <v>39</v>
      </c>
      <c r="G1018" t="s">
        <v>48</v>
      </c>
      <c r="H1018">
        <v>0</v>
      </c>
      <c r="I1018">
        <v>1</v>
      </c>
      <c r="J1018" t="s">
        <v>30</v>
      </c>
      <c r="K1018">
        <v>194</v>
      </c>
      <c r="L1018">
        <v>346</v>
      </c>
      <c r="M1018">
        <v>44</v>
      </c>
      <c r="N1018">
        <v>214</v>
      </c>
      <c r="O1018">
        <v>35</v>
      </c>
      <c r="P1018">
        <v>45</v>
      </c>
      <c r="Q1018">
        <v>196</v>
      </c>
      <c r="R1018">
        <v>329</v>
      </c>
      <c r="S1018">
        <v>398</v>
      </c>
      <c r="T1018" t="s">
        <v>31</v>
      </c>
      <c r="U1018" t="s">
        <v>31</v>
      </c>
      <c r="V1018" t="s">
        <v>31</v>
      </c>
      <c r="W1018" t="s">
        <v>31</v>
      </c>
      <c r="X1018" t="s">
        <v>31</v>
      </c>
      <c r="Y1018" t="s">
        <v>31</v>
      </c>
    </row>
    <row r="1019" spans="1:25" hidden="1">
      <c r="A1019" t="s">
        <v>25</v>
      </c>
      <c r="B1019" t="s">
        <v>26</v>
      </c>
      <c r="C1019" t="s">
        <v>49</v>
      </c>
      <c r="D1019" s="1">
        <v>43155</v>
      </c>
      <c r="E1019" s="2">
        <v>0.72916666666666663</v>
      </c>
      <c r="F1019" t="s">
        <v>45</v>
      </c>
      <c r="G1019" t="s">
        <v>32</v>
      </c>
      <c r="H1019">
        <v>1</v>
      </c>
      <c r="I1019">
        <v>1</v>
      </c>
      <c r="J1019" t="s">
        <v>41</v>
      </c>
      <c r="K1019">
        <v>284</v>
      </c>
      <c r="L1019">
        <v>322</v>
      </c>
      <c r="M1019">
        <v>272</v>
      </c>
      <c r="N1019">
        <v>286</v>
      </c>
      <c r="O1019">
        <v>33</v>
      </c>
      <c r="P1019">
        <v>3</v>
      </c>
      <c r="Q1019">
        <v>267</v>
      </c>
      <c r="R1019">
        <v>313</v>
      </c>
      <c r="S1019">
        <v>268</v>
      </c>
      <c r="T1019" t="s">
        <v>31</v>
      </c>
      <c r="U1019" t="s">
        <v>31</v>
      </c>
      <c r="V1019" t="s">
        <v>31</v>
      </c>
      <c r="W1019" t="s">
        <v>31</v>
      </c>
      <c r="X1019" t="s">
        <v>31</v>
      </c>
      <c r="Y1019" t="s">
        <v>31</v>
      </c>
    </row>
    <row r="1020" spans="1:25" hidden="1">
      <c r="A1020" t="s">
        <v>25</v>
      </c>
      <c r="B1020" t="s">
        <v>26</v>
      </c>
      <c r="C1020" t="s">
        <v>49</v>
      </c>
      <c r="D1020" s="1">
        <v>43155</v>
      </c>
      <c r="E1020" s="2">
        <v>0.72916666666666663</v>
      </c>
      <c r="F1020" t="s">
        <v>35</v>
      </c>
      <c r="G1020" t="s">
        <v>50</v>
      </c>
      <c r="H1020">
        <v>2</v>
      </c>
      <c r="I1020">
        <v>0</v>
      </c>
      <c r="J1020" t="s">
        <v>34</v>
      </c>
      <c r="K1020">
        <v>219</v>
      </c>
      <c r="L1020">
        <v>34</v>
      </c>
      <c r="M1020">
        <v>358</v>
      </c>
      <c r="N1020">
        <v>238</v>
      </c>
      <c r="O1020">
        <v>35</v>
      </c>
      <c r="P1020">
        <v>36</v>
      </c>
      <c r="Q1020">
        <v>221</v>
      </c>
      <c r="R1020">
        <v>321</v>
      </c>
      <c r="S1020">
        <v>33</v>
      </c>
      <c r="T1020" t="s">
        <v>31</v>
      </c>
      <c r="U1020" t="s">
        <v>31</v>
      </c>
      <c r="V1020" t="s">
        <v>31</v>
      </c>
      <c r="W1020" t="s">
        <v>31</v>
      </c>
      <c r="X1020" t="s">
        <v>31</v>
      </c>
      <c r="Y1020" t="s">
        <v>31</v>
      </c>
    </row>
    <row r="1021" spans="1:25" hidden="1">
      <c r="A1021" t="s">
        <v>25</v>
      </c>
      <c r="B1021" t="s">
        <v>26</v>
      </c>
      <c r="C1021" t="s">
        <v>49</v>
      </c>
      <c r="D1021" s="1">
        <v>43156</v>
      </c>
      <c r="E1021" s="2">
        <v>0.64583333333333337</v>
      </c>
      <c r="F1021" t="s">
        <v>28</v>
      </c>
      <c r="G1021" t="s">
        <v>29</v>
      </c>
      <c r="H1021">
        <v>2</v>
      </c>
      <c r="I1021">
        <v>4</v>
      </c>
      <c r="J1021" t="s">
        <v>30</v>
      </c>
      <c r="K1021">
        <v>43</v>
      </c>
      <c r="L1021">
        <v>345</v>
      </c>
      <c r="M1021">
        <v>197</v>
      </c>
      <c r="N1021">
        <v>475</v>
      </c>
      <c r="O1021">
        <v>36</v>
      </c>
      <c r="P1021">
        <v>2</v>
      </c>
      <c r="Q1021">
        <v>418</v>
      </c>
      <c r="R1021">
        <v>341</v>
      </c>
      <c r="S1021">
        <v>188</v>
      </c>
      <c r="T1021" t="s">
        <v>31</v>
      </c>
      <c r="U1021" t="s">
        <v>31</v>
      </c>
      <c r="V1021" t="s">
        <v>31</v>
      </c>
      <c r="W1021" t="s">
        <v>31</v>
      </c>
      <c r="X1021" t="s">
        <v>31</v>
      </c>
      <c r="Y1021" t="s">
        <v>31</v>
      </c>
    </row>
    <row r="1022" spans="1:25" hidden="1">
      <c r="A1022" t="s">
        <v>25</v>
      </c>
      <c r="B1022" t="s">
        <v>26</v>
      </c>
      <c r="C1022" t="s">
        <v>49</v>
      </c>
      <c r="D1022" s="1">
        <v>43162</v>
      </c>
      <c r="E1022" s="2">
        <v>0.625</v>
      </c>
      <c r="F1022" t="s">
        <v>50</v>
      </c>
      <c r="G1022" t="s">
        <v>28</v>
      </c>
      <c r="H1022">
        <v>0</v>
      </c>
      <c r="I1022">
        <v>2</v>
      </c>
      <c r="J1022" t="s">
        <v>30</v>
      </c>
      <c r="K1022">
        <v>222</v>
      </c>
      <c r="L1022">
        <v>34</v>
      </c>
      <c r="M1022">
        <v>351</v>
      </c>
      <c r="N1022">
        <v>23</v>
      </c>
      <c r="O1022">
        <v>342</v>
      </c>
      <c r="P1022">
        <v>385</v>
      </c>
      <c r="Q1022">
        <v>216</v>
      </c>
      <c r="R1022">
        <v>322</v>
      </c>
      <c r="S1022">
        <v>341</v>
      </c>
      <c r="T1022" t="s">
        <v>31</v>
      </c>
      <c r="U1022" t="s">
        <v>31</v>
      </c>
      <c r="V1022" t="s">
        <v>31</v>
      </c>
      <c r="W1022" t="s">
        <v>31</v>
      </c>
      <c r="X1022" t="s">
        <v>31</v>
      </c>
      <c r="Y1022" t="s">
        <v>31</v>
      </c>
    </row>
    <row r="1023" spans="1:25" hidden="1">
      <c r="A1023" t="s">
        <v>25</v>
      </c>
      <c r="B1023" t="s">
        <v>26</v>
      </c>
      <c r="C1023" t="s">
        <v>49</v>
      </c>
      <c r="D1023" s="1">
        <v>43162</v>
      </c>
      <c r="E1023" s="2">
        <v>0.72916666666666663</v>
      </c>
      <c r="F1023" t="s">
        <v>40</v>
      </c>
      <c r="G1023" t="s">
        <v>39</v>
      </c>
      <c r="H1023">
        <v>2</v>
      </c>
      <c r="I1023">
        <v>0</v>
      </c>
      <c r="J1023" t="s">
        <v>34</v>
      </c>
      <c r="K1023">
        <v>193</v>
      </c>
      <c r="L1023">
        <v>365</v>
      </c>
      <c r="M1023">
        <v>421</v>
      </c>
      <c r="N1023">
        <v>208</v>
      </c>
      <c r="O1023">
        <v>37</v>
      </c>
      <c r="P1023">
        <v>475</v>
      </c>
      <c r="Q1023">
        <v>193</v>
      </c>
      <c r="R1023">
        <v>346</v>
      </c>
      <c r="S1023">
        <v>389</v>
      </c>
      <c r="T1023" t="s">
        <v>31</v>
      </c>
      <c r="U1023" t="s">
        <v>31</v>
      </c>
      <c r="V1023" t="s">
        <v>31</v>
      </c>
      <c r="W1023" t="s">
        <v>31</v>
      </c>
      <c r="X1023" t="s">
        <v>31</v>
      </c>
      <c r="Y1023" t="s">
        <v>31</v>
      </c>
    </row>
    <row r="1024" spans="1:25" hidden="1">
      <c r="A1024" t="s">
        <v>25</v>
      </c>
      <c r="B1024" t="s">
        <v>26</v>
      </c>
      <c r="C1024" t="s">
        <v>49</v>
      </c>
      <c r="D1024" s="1">
        <v>43162</v>
      </c>
      <c r="E1024" s="2">
        <v>0.72916666666666663</v>
      </c>
      <c r="F1024" t="s">
        <v>32</v>
      </c>
      <c r="G1024" t="s">
        <v>37</v>
      </c>
      <c r="H1024">
        <v>3</v>
      </c>
      <c r="I1024">
        <v>2</v>
      </c>
      <c r="J1024" t="s">
        <v>34</v>
      </c>
      <c r="K1024">
        <v>165</v>
      </c>
      <c r="L1024">
        <v>414</v>
      </c>
      <c r="M1024">
        <v>536</v>
      </c>
      <c r="N1024">
        <v>21</v>
      </c>
      <c r="O1024">
        <v>423</v>
      </c>
      <c r="P1024">
        <v>54</v>
      </c>
      <c r="Q1024">
        <v>168</v>
      </c>
      <c r="R1024">
        <v>39</v>
      </c>
      <c r="S1024">
        <v>471</v>
      </c>
      <c r="T1024" t="s">
        <v>31</v>
      </c>
      <c r="U1024" t="s">
        <v>31</v>
      </c>
      <c r="V1024" t="s">
        <v>31</v>
      </c>
      <c r="W1024" t="s">
        <v>31</v>
      </c>
      <c r="X1024" t="s">
        <v>31</v>
      </c>
      <c r="Y1024" t="s">
        <v>31</v>
      </c>
    </row>
    <row r="1025" spans="1:25" hidden="1">
      <c r="A1025" t="s">
        <v>25</v>
      </c>
      <c r="B1025" t="s">
        <v>26</v>
      </c>
      <c r="C1025" t="s">
        <v>49</v>
      </c>
      <c r="D1025" s="1">
        <v>43162</v>
      </c>
      <c r="E1025" s="2">
        <v>0.72916666666666663</v>
      </c>
      <c r="F1025" t="s">
        <v>48</v>
      </c>
      <c r="G1025" t="s">
        <v>45</v>
      </c>
      <c r="H1025">
        <v>1</v>
      </c>
      <c r="I1025">
        <v>2</v>
      </c>
      <c r="J1025" t="s">
        <v>30</v>
      </c>
      <c r="K1025">
        <v>271</v>
      </c>
      <c r="L1025">
        <v>33</v>
      </c>
      <c r="M1025">
        <v>279</v>
      </c>
      <c r="N1025">
        <v>287</v>
      </c>
      <c r="O1025">
        <v>33</v>
      </c>
      <c r="P1025">
        <v>286</v>
      </c>
      <c r="Q1025">
        <v>267</v>
      </c>
      <c r="R1025">
        <v>312</v>
      </c>
      <c r="S1025">
        <v>269</v>
      </c>
      <c r="T1025" t="s">
        <v>31</v>
      </c>
      <c r="U1025" t="s">
        <v>31</v>
      </c>
      <c r="V1025" t="s">
        <v>31</v>
      </c>
      <c r="W1025" t="s">
        <v>31</v>
      </c>
      <c r="X1025" t="s">
        <v>31</v>
      </c>
      <c r="Y1025" t="s">
        <v>31</v>
      </c>
    </row>
    <row r="1026" spans="1:25" hidden="1">
      <c r="A1026" t="s">
        <v>25</v>
      </c>
      <c r="B1026" t="s">
        <v>26</v>
      </c>
      <c r="C1026" t="s">
        <v>49</v>
      </c>
      <c r="D1026" s="1">
        <v>43163</v>
      </c>
      <c r="E1026" s="2">
        <v>0.64583333333333337</v>
      </c>
      <c r="F1026" t="s">
        <v>29</v>
      </c>
      <c r="G1026" t="s">
        <v>35</v>
      </c>
      <c r="H1026">
        <v>1</v>
      </c>
      <c r="I1026">
        <v>0</v>
      </c>
      <c r="J1026" t="s">
        <v>34</v>
      </c>
      <c r="K1026">
        <v>159</v>
      </c>
      <c r="L1026">
        <v>435</v>
      </c>
      <c r="M1026">
        <v>582</v>
      </c>
      <c r="N1026">
        <v>162</v>
      </c>
      <c r="O1026">
        <v>44</v>
      </c>
      <c r="P1026">
        <v>65</v>
      </c>
      <c r="Q1026">
        <v>157</v>
      </c>
      <c r="R1026">
        <v>406</v>
      </c>
      <c r="S1026">
        <v>558</v>
      </c>
      <c r="T1026" t="s">
        <v>31</v>
      </c>
      <c r="U1026" t="s">
        <v>31</v>
      </c>
      <c r="V1026" t="s">
        <v>31</v>
      </c>
      <c r="W1026" t="s">
        <v>31</v>
      </c>
      <c r="X1026" t="s">
        <v>31</v>
      </c>
      <c r="Y1026" t="s">
        <v>31</v>
      </c>
    </row>
    <row r="1027" spans="1:25" hidden="1">
      <c r="A1027" t="s">
        <v>25</v>
      </c>
      <c r="B1027" t="s">
        <v>26</v>
      </c>
      <c r="C1027" t="s">
        <v>49</v>
      </c>
      <c r="D1027" s="1">
        <v>43169</v>
      </c>
      <c r="E1027" s="2">
        <v>0.625</v>
      </c>
      <c r="F1027" t="s">
        <v>45</v>
      </c>
      <c r="G1027" t="s">
        <v>35</v>
      </c>
      <c r="H1027">
        <v>0</v>
      </c>
      <c r="I1027">
        <v>0</v>
      </c>
      <c r="J1027" t="s">
        <v>41</v>
      </c>
      <c r="K1027">
        <v>375</v>
      </c>
      <c r="L1027">
        <v>37</v>
      </c>
      <c r="M1027">
        <v>203</v>
      </c>
      <c r="N1027">
        <v>425</v>
      </c>
      <c r="O1027">
        <v>374</v>
      </c>
      <c r="P1027">
        <v>205</v>
      </c>
      <c r="Q1027">
        <v>379</v>
      </c>
      <c r="R1027">
        <v>351</v>
      </c>
      <c r="S1027">
        <v>194</v>
      </c>
      <c r="T1027" t="s">
        <v>31</v>
      </c>
      <c r="U1027" t="s">
        <v>31</v>
      </c>
      <c r="V1027" t="s">
        <v>31</v>
      </c>
      <c r="W1027" t="s">
        <v>31</v>
      </c>
      <c r="X1027" t="s">
        <v>31</v>
      </c>
      <c r="Y1027" t="s">
        <v>31</v>
      </c>
    </row>
    <row r="1028" spans="1:25" hidden="1">
      <c r="A1028" t="s">
        <v>25</v>
      </c>
      <c r="B1028" t="s">
        <v>26</v>
      </c>
      <c r="C1028" t="s">
        <v>49</v>
      </c>
      <c r="D1028" s="1">
        <v>43169</v>
      </c>
      <c r="E1028" s="2">
        <v>0.72916666666666663</v>
      </c>
      <c r="F1028" t="s">
        <v>39</v>
      </c>
      <c r="G1028" t="s">
        <v>50</v>
      </c>
      <c r="H1028">
        <v>0</v>
      </c>
      <c r="I1028">
        <v>3</v>
      </c>
      <c r="J1028" t="s">
        <v>30</v>
      </c>
      <c r="K1028">
        <v>407</v>
      </c>
      <c r="L1028">
        <v>332</v>
      </c>
      <c r="M1028">
        <v>207</v>
      </c>
      <c r="N1028">
        <v>42</v>
      </c>
      <c r="O1028">
        <v>332</v>
      </c>
      <c r="P1028">
        <v>22</v>
      </c>
      <c r="Q1028">
        <v>392</v>
      </c>
      <c r="R1028">
        <v>314</v>
      </c>
      <c r="S1028">
        <v>203</v>
      </c>
      <c r="T1028" t="s">
        <v>31</v>
      </c>
      <c r="U1028" t="s">
        <v>31</v>
      </c>
      <c r="V1028" t="s">
        <v>31</v>
      </c>
      <c r="W1028" t="s">
        <v>31</v>
      </c>
      <c r="X1028" t="s">
        <v>31</v>
      </c>
      <c r="Y1028" t="s">
        <v>31</v>
      </c>
    </row>
    <row r="1029" spans="1:25" hidden="1">
      <c r="A1029" t="s">
        <v>25</v>
      </c>
      <c r="B1029" t="s">
        <v>26</v>
      </c>
      <c r="C1029" t="s">
        <v>49</v>
      </c>
      <c r="D1029" s="1">
        <v>43169</v>
      </c>
      <c r="E1029" s="2">
        <v>0.72916666666666663</v>
      </c>
      <c r="F1029" t="s">
        <v>37</v>
      </c>
      <c r="G1029" t="s">
        <v>28</v>
      </c>
      <c r="H1029">
        <v>2</v>
      </c>
      <c r="I1029">
        <v>4</v>
      </c>
      <c r="J1029" t="s">
        <v>30</v>
      </c>
      <c r="K1029">
        <v>458</v>
      </c>
      <c r="L1029">
        <v>395</v>
      </c>
      <c r="M1029">
        <v>179</v>
      </c>
      <c r="N1029">
        <v>5</v>
      </c>
      <c r="O1029">
        <v>398</v>
      </c>
      <c r="P1029">
        <v>2</v>
      </c>
      <c r="Q1029">
        <v>434</v>
      </c>
      <c r="R1029">
        <v>368</v>
      </c>
      <c r="S1029">
        <v>178</v>
      </c>
      <c r="T1029" t="s">
        <v>31</v>
      </c>
      <c r="U1029" t="s">
        <v>31</v>
      </c>
      <c r="V1029" t="s">
        <v>31</v>
      </c>
      <c r="W1029" t="s">
        <v>31</v>
      </c>
      <c r="X1029" t="s">
        <v>31</v>
      </c>
      <c r="Y1029" t="s">
        <v>31</v>
      </c>
    </row>
    <row r="1030" spans="1:25" hidden="1">
      <c r="A1030" t="s">
        <v>25</v>
      </c>
      <c r="B1030" t="s">
        <v>26</v>
      </c>
      <c r="C1030" t="s">
        <v>49</v>
      </c>
      <c r="D1030" s="1">
        <v>43169</v>
      </c>
      <c r="E1030" s="2">
        <v>0.72916666666666663</v>
      </c>
      <c r="F1030" t="s">
        <v>40</v>
      </c>
      <c r="G1030" t="s">
        <v>48</v>
      </c>
      <c r="H1030">
        <v>4</v>
      </c>
      <c r="I1030">
        <v>0</v>
      </c>
      <c r="J1030" t="s">
        <v>34</v>
      </c>
      <c r="K1030">
        <v>161</v>
      </c>
      <c r="L1030">
        <v>43</v>
      </c>
      <c r="M1030">
        <v>566</v>
      </c>
      <c r="N1030">
        <v>163</v>
      </c>
      <c r="O1030">
        <v>43</v>
      </c>
      <c r="P1030">
        <v>61</v>
      </c>
      <c r="Q1030">
        <v>157</v>
      </c>
      <c r="R1030">
        <v>408</v>
      </c>
      <c r="S1030">
        <v>544</v>
      </c>
      <c r="T1030" t="s">
        <v>31</v>
      </c>
      <c r="U1030" t="s">
        <v>31</v>
      </c>
      <c r="V1030" t="s">
        <v>31</v>
      </c>
      <c r="W1030" t="s">
        <v>31</v>
      </c>
      <c r="X1030" t="s">
        <v>31</v>
      </c>
      <c r="Y1030" t="s">
        <v>31</v>
      </c>
    </row>
    <row r="1031" spans="1:25" hidden="1">
      <c r="A1031" t="s">
        <v>25</v>
      </c>
      <c r="B1031" t="s">
        <v>26</v>
      </c>
      <c r="C1031" t="s">
        <v>49</v>
      </c>
      <c r="D1031" s="1">
        <v>43170</v>
      </c>
      <c r="E1031" s="2">
        <v>0.64583333333333337</v>
      </c>
      <c r="F1031" t="s">
        <v>32</v>
      </c>
      <c r="G1031" t="s">
        <v>29</v>
      </c>
      <c r="H1031">
        <v>2</v>
      </c>
      <c r="I1031">
        <v>2</v>
      </c>
      <c r="J1031" t="s">
        <v>41</v>
      </c>
      <c r="K1031">
        <v>458</v>
      </c>
      <c r="L1031">
        <v>372</v>
      </c>
      <c r="M1031">
        <v>184</v>
      </c>
      <c r="N1031">
        <v>458</v>
      </c>
      <c r="O1031">
        <v>372</v>
      </c>
      <c r="P1031">
        <v>2</v>
      </c>
      <c r="Q1031">
        <v>39</v>
      </c>
      <c r="R1031">
        <v>353</v>
      </c>
      <c r="S1031">
        <v>191</v>
      </c>
      <c r="T1031" t="s">
        <v>31</v>
      </c>
      <c r="U1031" t="s">
        <v>31</v>
      </c>
      <c r="V1031" t="s">
        <v>31</v>
      </c>
      <c r="W1031" t="s">
        <v>31</v>
      </c>
      <c r="X1031" t="s">
        <v>31</v>
      </c>
      <c r="Y1031" t="s">
        <v>31</v>
      </c>
    </row>
    <row r="1032" spans="1:25" hidden="1">
      <c r="A1032" t="s">
        <v>25</v>
      </c>
      <c r="B1032" t="s">
        <v>26</v>
      </c>
      <c r="C1032" t="s">
        <v>49</v>
      </c>
      <c r="D1032" s="1">
        <v>43176</v>
      </c>
      <c r="E1032" s="2">
        <v>0.625</v>
      </c>
      <c r="F1032" t="s">
        <v>35</v>
      </c>
      <c r="G1032" t="s">
        <v>39</v>
      </c>
      <c r="H1032">
        <v>5</v>
      </c>
      <c r="I1032">
        <v>1</v>
      </c>
      <c r="J1032" t="s">
        <v>34</v>
      </c>
      <c r="K1032">
        <v>143</v>
      </c>
      <c r="L1032">
        <v>456</v>
      </c>
      <c r="M1032">
        <v>878</v>
      </c>
      <c r="N1032">
        <v>145</v>
      </c>
      <c r="O1032">
        <v>465</v>
      </c>
      <c r="P1032">
        <v>936</v>
      </c>
      <c r="Q1032">
        <v>14</v>
      </c>
      <c r="R1032">
        <v>44</v>
      </c>
      <c r="S1032">
        <v>81</v>
      </c>
      <c r="T1032" t="s">
        <v>31</v>
      </c>
      <c r="U1032" t="s">
        <v>31</v>
      </c>
      <c r="V1032" t="s">
        <v>31</v>
      </c>
      <c r="W1032" t="s">
        <v>31</v>
      </c>
      <c r="X1032" t="s">
        <v>31</v>
      </c>
      <c r="Y1032" t="s">
        <v>31</v>
      </c>
    </row>
    <row r="1033" spans="1:25" hidden="1">
      <c r="A1033" t="s">
        <v>25</v>
      </c>
      <c r="B1033" t="s">
        <v>26</v>
      </c>
      <c r="C1033" t="s">
        <v>49</v>
      </c>
      <c r="D1033" s="1">
        <v>43176</v>
      </c>
      <c r="E1033" s="2">
        <v>0.72916666666666663</v>
      </c>
      <c r="F1033" t="s">
        <v>50</v>
      </c>
      <c r="G1033" t="s">
        <v>32</v>
      </c>
      <c r="H1033">
        <v>3</v>
      </c>
      <c r="I1033">
        <v>1</v>
      </c>
      <c r="J1033" t="s">
        <v>34</v>
      </c>
      <c r="K1033">
        <v>188</v>
      </c>
      <c r="L1033">
        <v>344</v>
      </c>
      <c r="M1033">
        <v>486</v>
      </c>
      <c r="N1033">
        <v>2</v>
      </c>
      <c r="O1033">
        <v>36</v>
      </c>
      <c r="P1033">
        <v>486</v>
      </c>
      <c r="Q1033">
        <v>186</v>
      </c>
      <c r="R1033">
        <v>342</v>
      </c>
      <c r="S1033">
        <v>424</v>
      </c>
      <c r="T1033" t="s">
        <v>31</v>
      </c>
      <c r="U1033" t="s">
        <v>31</v>
      </c>
      <c r="V1033" t="s">
        <v>31</v>
      </c>
      <c r="W1033" t="s">
        <v>31</v>
      </c>
      <c r="X1033" t="s">
        <v>31</v>
      </c>
      <c r="Y1033" t="s">
        <v>31</v>
      </c>
    </row>
    <row r="1034" spans="1:25" hidden="1">
      <c r="A1034" t="s">
        <v>25</v>
      </c>
      <c r="B1034" t="s">
        <v>26</v>
      </c>
      <c r="C1034" t="s">
        <v>49</v>
      </c>
      <c r="D1034" s="1">
        <v>43176</v>
      </c>
      <c r="E1034" s="2">
        <v>0.72916666666666663</v>
      </c>
      <c r="F1034" t="s">
        <v>48</v>
      </c>
      <c r="G1034" t="s">
        <v>37</v>
      </c>
      <c r="H1034">
        <v>1</v>
      </c>
      <c r="I1034">
        <v>2</v>
      </c>
      <c r="J1034" t="s">
        <v>30</v>
      </c>
      <c r="K1034">
        <v>295</v>
      </c>
      <c r="L1034">
        <v>344</v>
      </c>
      <c r="M1034">
        <v>25</v>
      </c>
      <c r="N1034">
        <v>304</v>
      </c>
      <c r="O1034">
        <v>35</v>
      </c>
      <c r="P1034">
        <v>262</v>
      </c>
      <c r="Q1034">
        <v>282</v>
      </c>
      <c r="R1034">
        <v>334</v>
      </c>
      <c r="S1034">
        <v>243</v>
      </c>
      <c r="T1034" t="s">
        <v>31</v>
      </c>
      <c r="U1034" t="s">
        <v>31</v>
      </c>
      <c r="V1034" t="s">
        <v>31</v>
      </c>
      <c r="W1034" t="s">
        <v>31</v>
      </c>
      <c r="X1034" t="s">
        <v>31</v>
      </c>
      <c r="Y1034" t="s">
        <v>31</v>
      </c>
    </row>
    <row r="1035" spans="1:25" hidden="1">
      <c r="A1035" t="s">
        <v>25</v>
      </c>
      <c r="B1035" t="s">
        <v>26</v>
      </c>
      <c r="C1035" t="s">
        <v>49</v>
      </c>
      <c r="D1035" s="1">
        <v>43176</v>
      </c>
      <c r="E1035" s="2">
        <v>0.72916666666666663</v>
      </c>
      <c r="F1035" t="s">
        <v>28</v>
      </c>
      <c r="G1035" t="s">
        <v>45</v>
      </c>
      <c r="H1035">
        <v>1</v>
      </c>
      <c r="I1035">
        <v>0</v>
      </c>
      <c r="J1035" t="s">
        <v>34</v>
      </c>
      <c r="K1035">
        <v>156</v>
      </c>
      <c r="L1035">
        <v>41</v>
      </c>
      <c r="M1035">
        <v>695</v>
      </c>
      <c r="N1035">
        <v>158</v>
      </c>
      <c r="O1035">
        <v>42</v>
      </c>
      <c r="P1035">
        <v>708</v>
      </c>
      <c r="Q1035">
        <v>153</v>
      </c>
      <c r="R1035">
        <v>396</v>
      </c>
      <c r="S1035">
        <v>627</v>
      </c>
      <c r="T1035" t="s">
        <v>31</v>
      </c>
      <c r="U1035" t="s">
        <v>31</v>
      </c>
      <c r="V1035" t="s">
        <v>31</v>
      </c>
      <c r="W1035" t="s">
        <v>31</v>
      </c>
      <c r="X1035" t="s">
        <v>31</v>
      </c>
      <c r="Y1035" t="s">
        <v>31</v>
      </c>
    </row>
    <row r="1036" spans="1:25" hidden="1">
      <c r="A1036" t="s">
        <v>25</v>
      </c>
      <c r="B1036" t="s">
        <v>26</v>
      </c>
      <c r="C1036" t="s">
        <v>49</v>
      </c>
      <c r="D1036" s="1">
        <v>43177</v>
      </c>
      <c r="E1036" s="2">
        <v>0.5625</v>
      </c>
      <c r="F1036" t="s">
        <v>29</v>
      </c>
      <c r="G1036" t="s">
        <v>40</v>
      </c>
      <c r="H1036">
        <v>5</v>
      </c>
      <c r="I1036">
        <v>0</v>
      </c>
      <c r="J1036" t="s">
        <v>34</v>
      </c>
      <c r="K1036">
        <v>14</v>
      </c>
      <c r="L1036">
        <v>51</v>
      </c>
      <c r="M1036">
        <v>829</v>
      </c>
      <c r="N1036">
        <v>145</v>
      </c>
      <c r="O1036">
        <v>528</v>
      </c>
      <c r="P1036">
        <v>955</v>
      </c>
      <c r="Q1036">
        <v>137</v>
      </c>
      <c r="R1036">
        <v>484</v>
      </c>
      <c r="S1036">
        <v>79</v>
      </c>
      <c r="T1036" t="s">
        <v>31</v>
      </c>
      <c r="U1036" t="s">
        <v>31</v>
      </c>
      <c r="V1036" t="s">
        <v>31</v>
      </c>
      <c r="W1036" t="s">
        <v>31</v>
      </c>
      <c r="X1036" t="s">
        <v>31</v>
      </c>
      <c r="Y1036" t="s">
        <v>31</v>
      </c>
    </row>
    <row r="1037" spans="1:25" hidden="1">
      <c r="A1037" t="s">
        <v>25</v>
      </c>
      <c r="B1037" t="s">
        <v>26</v>
      </c>
      <c r="C1037" t="s">
        <v>49</v>
      </c>
      <c r="D1037" s="1">
        <v>43190</v>
      </c>
      <c r="E1037" s="2">
        <v>0.625</v>
      </c>
      <c r="F1037" t="s">
        <v>37</v>
      </c>
      <c r="G1037" t="s">
        <v>50</v>
      </c>
      <c r="H1037">
        <v>0</v>
      </c>
      <c r="I1037">
        <v>1</v>
      </c>
      <c r="J1037" t="s">
        <v>30</v>
      </c>
      <c r="K1037">
        <v>455</v>
      </c>
      <c r="L1037">
        <v>361</v>
      </c>
      <c r="M1037">
        <v>188</v>
      </c>
      <c r="N1037">
        <v>46</v>
      </c>
      <c r="O1037">
        <v>38</v>
      </c>
      <c r="P1037">
        <v>2</v>
      </c>
      <c r="Q1037">
        <v>416</v>
      </c>
      <c r="R1037">
        <v>353</v>
      </c>
      <c r="S1037">
        <v>186</v>
      </c>
      <c r="T1037" t="s">
        <v>31</v>
      </c>
      <c r="U1037" t="s">
        <v>31</v>
      </c>
      <c r="V1037" t="s">
        <v>31</v>
      </c>
      <c r="W1037" t="s">
        <v>31</v>
      </c>
      <c r="X1037" t="s">
        <v>31</v>
      </c>
      <c r="Y1037" t="s">
        <v>31</v>
      </c>
    </row>
    <row r="1038" spans="1:25" hidden="1">
      <c r="A1038" t="s">
        <v>25</v>
      </c>
      <c r="B1038" t="s">
        <v>26</v>
      </c>
      <c r="C1038" t="s">
        <v>49</v>
      </c>
      <c r="D1038" s="1">
        <v>43190</v>
      </c>
      <c r="E1038" s="2">
        <v>0.72916666666666663</v>
      </c>
      <c r="F1038" t="s">
        <v>40</v>
      </c>
      <c r="G1038" t="s">
        <v>45</v>
      </c>
      <c r="H1038">
        <v>2</v>
      </c>
      <c r="I1038">
        <v>1</v>
      </c>
      <c r="J1038" t="s">
        <v>34</v>
      </c>
      <c r="K1038">
        <v>187</v>
      </c>
      <c r="L1038">
        <v>368</v>
      </c>
      <c r="M1038">
        <v>446</v>
      </c>
      <c r="N1038">
        <v>2</v>
      </c>
      <c r="O1038">
        <v>384</v>
      </c>
      <c r="P1038">
        <v>475</v>
      </c>
      <c r="Q1038">
        <v>181</v>
      </c>
      <c r="R1038">
        <v>361</v>
      </c>
      <c r="S1038">
        <v>424</v>
      </c>
      <c r="T1038" t="s">
        <v>31</v>
      </c>
      <c r="U1038" t="s">
        <v>31</v>
      </c>
      <c r="V1038" t="s">
        <v>31</v>
      </c>
      <c r="W1038" t="s">
        <v>31</v>
      </c>
      <c r="X1038" t="s">
        <v>31</v>
      </c>
      <c r="Y1038" t="s">
        <v>31</v>
      </c>
    </row>
    <row r="1039" spans="1:25" hidden="1">
      <c r="A1039" t="s">
        <v>25</v>
      </c>
      <c r="B1039" t="s">
        <v>26</v>
      </c>
      <c r="C1039" t="s">
        <v>49</v>
      </c>
      <c r="D1039" s="1">
        <v>43190</v>
      </c>
      <c r="E1039" s="2">
        <v>0.72916666666666663</v>
      </c>
      <c r="F1039" t="s">
        <v>29</v>
      </c>
      <c r="G1039" t="s">
        <v>39</v>
      </c>
      <c r="H1039">
        <v>2</v>
      </c>
      <c r="I1039">
        <v>0</v>
      </c>
      <c r="J1039" t="s">
        <v>34</v>
      </c>
      <c r="K1039">
        <v>12</v>
      </c>
      <c r="L1039">
        <v>67</v>
      </c>
      <c r="M1039">
        <v>2145</v>
      </c>
      <c r="N1039">
        <v>121</v>
      </c>
      <c r="O1039">
        <v>75</v>
      </c>
      <c r="P1039">
        <v>2161</v>
      </c>
      <c r="Q1039">
        <v>118</v>
      </c>
      <c r="R1039">
        <v>649</v>
      </c>
      <c r="S1039">
        <v>1639</v>
      </c>
      <c r="T1039" t="s">
        <v>31</v>
      </c>
      <c r="U1039" t="s">
        <v>31</v>
      </c>
      <c r="V1039" t="s">
        <v>31</v>
      </c>
      <c r="W1039" t="s">
        <v>31</v>
      </c>
      <c r="X1039" t="s">
        <v>31</v>
      </c>
      <c r="Y1039" t="s">
        <v>31</v>
      </c>
    </row>
    <row r="1040" spans="1:25" hidden="1">
      <c r="A1040" t="s">
        <v>25</v>
      </c>
      <c r="B1040" t="s">
        <v>26</v>
      </c>
      <c r="C1040" t="s">
        <v>49</v>
      </c>
      <c r="D1040" s="1">
        <v>43190</v>
      </c>
      <c r="E1040" s="2">
        <v>0.72916666666666663</v>
      </c>
      <c r="F1040" t="s">
        <v>48</v>
      </c>
      <c r="G1040" t="s">
        <v>28</v>
      </c>
      <c r="H1040">
        <v>1</v>
      </c>
      <c r="I1040">
        <v>5</v>
      </c>
      <c r="J1040" t="s">
        <v>30</v>
      </c>
      <c r="K1040">
        <v>505</v>
      </c>
      <c r="L1040">
        <v>391</v>
      </c>
      <c r="M1040">
        <v>174</v>
      </c>
      <c r="N1040">
        <v>55</v>
      </c>
      <c r="O1040">
        <v>396</v>
      </c>
      <c r="P1040">
        <v>178</v>
      </c>
      <c r="Q1040">
        <v>483</v>
      </c>
      <c r="R1040">
        <v>376</v>
      </c>
      <c r="S1040">
        <v>17</v>
      </c>
      <c r="T1040" t="s">
        <v>31</v>
      </c>
      <c r="U1040" t="s">
        <v>31</v>
      </c>
      <c r="V1040" t="s">
        <v>31</v>
      </c>
      <c r="W1040" t="s">
        <v>31</v>
      </c>
      <c r="X1040" t="s">
        <v>31</v>
      </c>
      <c r="Y1040" t="s">
        <v>31</v>
      </c>
    </row>
    <row r="1041" spans="1:25" hidden="1">
      <c r="A1041" t="s">
        <v>25</v>
      </c>
      <c r="B1041" t="s">
        <v>26</v>
      </c>
      <c r="C1041" t="s">
        <v>49</v>
      </c>
      <c r="D1041" s="1">
        <v>43191</v>
      </c>
      <c r="E1041" s="2">
        <v>0.64583333333333337</v>
      </c>
      <c r="F1041" t="s">
        <v>32</v>
      </c>
      <c r="G1041" t="s">
        <v>35</v>
      </c>
      <c r="H1041">
        <v>2</v>
      </c>
      <c r="I1041">
        <v>4</v>
      </c>
      <c r="J1041" t="s">
        <v>30</v>
      </c>
      <c r="K1041">
        <v>372</v>
      </c>
      <c r="L1041">
        <v>357</v>
      </c>
      <c r="M1041">
        <v>208</v>
      </c>
      <c r="N1041">
        <v>382</v>
      </c>
      <c r="O1041">
        <v>365</v>
      </c>
      <c r="P1041">
        <v>225</v>
      </c>
      <c r="Q1041">
        <v>343</v>
      </c>
      <c r="R1041">
        <v>344</v>
      </c>
      <c r="S1041">
        <v>208</v>
      </c>
      <c r="T1041" t="s">
        <v>31</v>
      </c>
      <c r="U1041" t="s">
        <v>31</v>
      </c>
      <c r="V1041" t="s">
        <v>31</v>
      </c>
      <c r="W1041" t="s">
        <v>31</v>
      </c>
      <c r="X1041" t="s">
        <v>31</v>
      </c>
      <c r="Y1041" t="s">
        <v>31</v>
      </c>
    </row>
    <row r="1042" spans="1:25" hidden="1">
      <c r="A1042" t="s">
        <v>25</v>
      </c>
      <c r="B1042" t="s">
        <v>26</v>
      </c>
      <c r="C1042" t="s">
        <v>49</v>
      </c>
      <c r="D1042" s="1">
        <v>43197</v>
      </c>
      <c r="E1042" s="2">
        <v>0.625</v>
      </c>
      <c r="F1042" t="s">
        <v>28</v>
      </c>
      <c r="G1042" t="s">
        <v>40</v>
      </c>
      <c r="H1042">
        <v>0</v>
      </c>
      <c r="I1042">
        <v>2</v>
      </c>
      <c r="J1042" t="s">
        <v>30</v>
      </c>
      <c r="K1042">
        <v>167</v>
      </c>
      <c r="L1042">
        <v>42</v>
      </c>
      <c r="M1042">
        <v>517</v>
      </c>
      <c r="N1042">
        <v>185</v>
      </c>
      <c r="O1042">
        <v>45</v>
      </c>
      <c r="P1042">
        <v>517</v>
      </c>
      <c r="Q1042">
        <v>167</v>
      </c>
      <c r="R1042">
        <v>393</v>
      </c>
      <c r="S1042">
        <v>48</v>
      </c>
      <c r="T1042" t="s">
        <v>31</v>
      </c>
      <c r="U1042" t="s">
        <v>31</v>
      </c>
      <c r="V1042" t="s">
        <v>31</v>
      </c>
      <c r="W1042" t="s">
        <v>31</v>
      </c>
      <c r="X1042" t="s">
        <v>31</v>
      </c>
      <c r="Y1042" t="s">
        <v>31</v>
      </c>
    </row>
    <row r="1043" spans="1:25" hidden="1">
      <c r="A1043" t="s">
        <v>25</v>
      </c>
      <c r="B1043" t="s">
        <v>26</v>
      </c>
      <c r="C1043" t="s">
        <v>49</v>
      </c>
      <c r="D1043" s="1">
        <v>43197</v>
      </c>
      <c r="E1043" s="2">
        <v>0.72916666666666663</v>
      </c>
      <c r="F1043" t="s">
        <v>39</v>
      </c>
      <c r="G1043" t="s">
        <v>32</v>
      </c>
      <c r="H1043">
        <v>0</v>
      </c>
      <c r="I1043">
        <v>2</v>
      </c>
      <c r="J1043" t="s">
        <v>30</v>
      </c>
      <c r="K1043">
        <v>3</v>
      </c>
      <c r="L1043">
        <v>335</v>
      </c>
      <c r="M1043">
        <v>251</v>
      </c>
      <c r="N1043">
        <v>31</v>
      </c>
      <c r="O1043">
        <v>34</v>
      </c>
      <c r="P1043">
        <v>256</v>
      </c>
      <c r="Q1043">
        <v>291</v>
      </c>
      <c r="R1043">
        <v>323</v>
      </c>
      <c r="S1043">
        <v>243</v>
      </c>
      <c r="T1043" t="s">
        <v>31</v>
      </c>
      <c r="U1043" t="s">
        <v>31</v>
      </c>
      <c r="V1043" t="s">
        <v>31</v>
      </c>
      <c r="W1043" t="s">
        <v>31</v>
      </c>
      <c r="X1043" t="s">
        <v>31</v>
      </c>
      <c r="Y1043" t="s">
        <v>31</v>
      </c>
    </row>
    <row r="1044" spans="1:25" hidden="1">
      <c r="A1044" t="s">
        <v>25</v>
      </c>
      <c r="B1044" t="s">
        <v>26</v>
      </c>
      <c r="C1044" t="s">
        <v>49</v>
      </c>
      <c r="D1044" s="1">
        <v>43197</v>
      </c>
      <c r="E1044" s="2">
        <v>0.72916666666666663</v>
      </c>
      <c r="F1044" t="s">
        <v>45</v>
      </c>
      <c r="G1044" t="s">
        <v>37</v>
      </c>
      <c r="H1044">
        <v>1</v>
      </c>
      <c r="I1044">
        <v>2</v>
      </c>
      <c r="J1044" t="s">
        <v>30</v>
      </c>
      <c r="K1044">
        <v>194</v>
      </c>
      <c r="L1044">
        <v>362</v>
      </c>
      <c r="M1044">
        <v>417</v>
      </c>
      <c r="N1044">
        <v>21</v>
      </c>
      <c r="O1044">
        <v>37</v>
      </c>
      <c r="P1044">
        <v>423</v>
      </c>
      <c r="Q1044">
        <v>193</v>
      </c>
      <c r="R1044">
        <v>349</v>
      </c>
      <c r="S1044">
        <v>385</v>
      </c>
      <c r="T1044" t="s">
        <v>31</v>
      </c>
      <c r="U1044" t="s">
        <v>31</v>
      </c>
      <c r="V1044" t="s">
        <v>31</v>
      </c>
      <c r="W1044" t="s">
        <v>31</v>
      </c>
      <c r="X1044" t="s">
        <v>31</v>
      </c>
      <c r="Y1044" t="s">
        <v>31</v>
      </c>
    </row>
    <row r="1045" spans="1:25" hidden="1">
      <c r="A1045" t="s">
        <v>25</v>
      </c>
      <c r="B1045" t="s">
        <v>26</v>
      </c>
      <c r="C1045" t="s">
        <v>49</v>
      </c>
      <c r="D1045" s="1">
        <v>43197</v>
      </c>
      <c r="E1045" s="2">
        <v>0.72916666666666663</v>
      </c>
      <c r="F1045" t="s">
        <v>35</v>
      </c>
      <c r="G1045" t="s">
        <v>48</v>
      </c>
      <c r="H1045">
        <v>2</v>
      </c>
      <c r="I1045">
        <v>1</v>
      </c>
      <c r="J1045" t="s">
        <v>34</v>
      </c>
      <c r="K1045">
        <v>127</v>
      </c>
      <c r="L1045">
        <v>627</v>
      </c>
      <c r="M1045">
        <v>1216</v>
      </c>
      <c r="N1045">
        <v>13</v>
      </c>
      <c r="O1045">
        <v>631</v>
      </c>
      <c r="P1045">
        <v>1216</v>
      </c>
      <c r="Q1045">
        <v>126</v>
      </c>
      <c r="R1045">
        <v>579</v>
      </c>
      <c r="S1045">
        <v>1046</v>
      </c>
      <c r="T1045" t="s">
        <v>31</v>
      </c>
      <c r="U1045" t="s">
        <v>31</v>
      </c>
      <c r="V1045" t="s">
        <v>31</v>
      </c>
      <c r="W1045" t="s">
        <v>31</v>
      </c>
      <c r="X1045" t="s">
        <v>31</v>
      </c>
      <c r="Y1045" t="s">
        <v>31</v>
      </c>
    </row>
    <row r="1046" spans="1:25" hidden="1">
      <c r="A1046" t="s">
        <v>25</v>
      </c>
      <c r="B1046" t="s">
        <v>26</v>
      </c>
      <c r="C1046" t="s">
        <v>49</v>
      </c>
      <c r="D1046" s="1">
        <v>43198</v>
      </c>
      <c r="E1046" s="2">
        <v>0.58333333333333337</v>
      </c>
      <c r="F1046" t="s">
        <v>50</v>
      </c>
      <c r="G1046" t="s">
        <v>29</v>
      </c>
      <c r="H1046">
        <v>1</v>
      </c>
      <c r="I1046">
        <v>0</v>
      </c>
      <c r="J1046" t="s">
        <v>34</v>
      </c>
      <c r="K1046">
        <v>34</v>
      </c>
      <c r="L1046">
        <v>325</v>
      </c>
      <c r="M1046">
        <v>236</v>
      </c>
      <c r="N1046">
        <v>34</v>
      </c>
      <c r="O1046">
        <v>33</v>
      </c>
      <c r="P1046">
        <v>26</v>
      </c>
      <c r="Q1046">
        <v>31</v>
      </c>
      <c r="R1046">
        <v>313</v>
      </c>
      <c r="S1046">
        <v>236</v>
      </c>
      <c r="T1046" t="s">
        <v>31</v>
      </c>
      <c r="U1046" t="s">
        <v>31</v>
      </c>
      <c r="V1046" t="s">
        <v>31</v>
      </c>
      <c r="W1046" t="s">
        <v>31</v>
      </c>
      <c r="X1046" t="s">
        <v>31</v>
      </c>
      <c r="Y1046" t="s">
        <v>31</v>
      </c>
    </row>
    <row r="1047" spans="1:25" hidden="1">
      <c r="A1047" t="s">
        <v>25</v>
      </c>
      <c r="B1047" t="s">
        <v>26</v>
      </c>
      <c r="C1047" t="s">
        <v>49</v>
      </c>
      <c r="D1047" s="1">
        <v>43204</v>
      </c>
      <c r="E1047" s="2">
        <v>0.625</v>
      </c>
      <c r="F1047" t="s">
        <v>28</v>
      </c>
      <c r="G1047" t="s">
        <v>32</v>
      </c>
      <c r="H1047">
        <v>3</v>
      </c>
      <c r="I1047">
        <v>0</v>
      </c>
      <c r="J1047" t="s">
        <v>34</v>
      </c>
      <c r="K1047">
        <v>174</v>
      </c>
      <c r="L1047">
        <v>39</v>
      </c>
      <c r="M1047">
        <v>509</v>
      </c>
      <c r="N1047">
        <v>177</v>
      </c>
      <c r="O1047">
        <v>392</v>
      </c>
      <c r="P1047">
        <v>54</v>
      </c>
      <c r="Q1047">
        <v>17</v>
      </c>
      <c r="R1047">
        <v>373</v>
      </c>
      <c r="S1047">
        <v>479</v>
      </c>
      <c r="T1047" t="s">
        <v>31</v>
      </c>
      <c r="U1047" t="s">
        <v>31</v>
      </c>
      <c r="V1047" t="s">
        <v>31</v>
      </c>
      <c r="W1047" t="s">
        <v>31</v>
      </c>
      <c r="X1047" t="s">
        <v>31</v>
      </c>
      <c r="Y1047" t="s">
        <v>31</v>
      </c>
    </row>
    <row r="1048" spans="1:25" hidden="1">
      <c r="A1048" t="s">
        <v>25</v>
      </c>
      <c r="B1048" t="s">
        <v>26</v>
      </c>
      <c r="C1048" t="s">
        <v>49</v>
      </c>
      <c r="D1048" s="1">
        <v>43204</v>
      </c>
      <c r="E1048" s="2">
        <v>0.72916666666666663</v>
      </c>
      <c r="F1048" t="s">
        <v>45</v>
      </c>
      <c r="G1048" t="s">
        <v>39</v>
      </c>
      <c r="H1048">
        <v>2</v>
      </c>
      <c r="I1048">
        <v>1</v>
      </c>
      <c r="J1048" t="s">
        <v>34</v>
      </c>
      <c r="K1048">
        <v>225</v>
      </c>
      <c r="L1048">
        <v>331</v>
      </c>
      <c r="M1048">
        <v>353</v>
      </c>
      <c r="N1048">
        <v>228</v>
      </c>
      <c r="O1048">
        <v>332</v>
      </c>
      <c r="P1048">
        <v>361</v>
      </c>
      <c r="Q1048">
        <v>219</v>
      </c>
      <c r="R1048">
        <v>32</v>
      </c>
      <c r="S1048">
        <v>338</v>
      </c>
      <c r="T1048" t="s">
        <v>31</v>
      </c>
      <c r="U1048" t="s">
        <v>31</v>
      </c>
      <c r="V1048" t="s">
        <v>31</v>
      </c>
      <c r="W1048" t="s">
        <v>31</v>
      </c>
      <c r="X1048" t="s">
        <v>31</v>
      </c>
      <c r="Y1048" t="s">
        <v>31</v>
      </c>
    </row>
    <row r="1049" spans="1:25" hidden="1">
      <c r="A1049" t="s">
        <v>25</v>
      </c>
      <c r="B1049" t="s">
        <v>26</v>
      </c>
      <c r="C1049" t="s">
        <v>49</v>
      </c>
      <c r="D1049" s="1">
        <v>43204</v>
      </c>
      <c r="E1049" s="2">
        <v>0.72916666666666663</v>
      </c>
      <c r="F1049" t="s">
        <v>48</v>
      </c>
      <c r="G1049" t="s">
        <v>50</v>
      </c>
      <c r="H1049">
        <v>1</v>
      </c>
      <c r="I1049">
        <v>3</v>
      </c>
      <c r="J1049" t="s">
        <v>30</v>
      </c>
      <c r="K1049">
        <v>642</v>
      </c>
      <c r="L1049">
        <v>406</v>
      </c>
      <c r="M1049">
        <v>159</v>
      </c>
      <c r="N1049">
        <v>65</v>
      </c>
      <c r="O1049">
        <v>41</v>
      </c>
      <c r="P1049">
        <v>162</v>
      </c>
      <c r="Q1049">
        <v>598</v>
      </c>
      <c r="R1049">
        <v>39</v>
      </c>
      <c r="S1049">
        <v>156</v>
      </c>
      <c r="T1049" t="s">
        <v>31</v>
      </c>
      <c r="U1049" t="s">
        <v>31</v>
      </c>
      <c r="V1049" t="s">
        <v>31</v>
      </c>
      <c r="W1049" t="s">
        <v>31</v>
      </c>
      <c r="X1049" t="s">
        <v>31</v>
      </c>
      <c r="Y1049" t="s">
        <v>31</v>
      </c>
    </row>
    <row r="1050" spans="1:25" hidden="1">
      <c r="A1050" t="s">
        <v>25</v>
      </c>
      <c r="B1050" t="s">
        <v>26</v>
      </c>
      <c r="C1050" t="s">
        <v>49</v>
      </c>
      <c r="D1050" s="1">
        <v>43205</v>
      </c>
      <c r="E1050" s="2">
        <v>0.64583333333333337</v>
      </c>
      <c r="F1050" t="s">
        <v>40</v>
      </c>
      <c r="G1050" t="s">
        <v>35</v>
      </c>
      <c r="H1050">
        <v>0</v>
      </c>
      <c r="I1050">
        <v>4</v>
      </c>
      <c r="J1050" t="s">
        <v>30</v>
      </c>
      <c r="K1050">
        <v>395</v>
      </c>
      <c r="L1050">
        <v>371</v>
      </c>
      <c r="M1050">
        <v>197</v>
      </c>
      <c r="N1050">
        <v>395</v>
      </c>
      <c r="O1050">
        <v>386</v>
      </c>
      <c r="P1050">
        <v>22</v>
      </c>
      <c r="Q1050">
        <v>366</v>
      </c>
      <c r="R1050">
        <v>361</v>
      </c>
      <c r="S1050">
        <v>195</v>
      </c>
      <c r="T1050" t="s">
        <v>31</v>
      </c>
      <c r="U1050" t="s">
        <v>31</v>
      </c>
      <c r="V1050" t="s">
        <v>31</v>
      </c>
      <c r="W1050" t="s">
        <v>31</v>
      </c>
      <c r="X1050" t="s">
        <v>31</v>
      </c>
      <c r="Y1050" t="s">
        <v>31</v>
      </c>
    </row>
    <row r="1051" spans="1:25" hidden="1">
      <c r="A1051" t="s">
        <v>25</v>
      </c>
      <c r="B1051" t="s">
        <v>26</v>
      </c>
      <c r="C1051" t="s">
        <v>49</v>
      </c>
      <c r="D1051" s="1">
        <v>43205</v>
      </c>
      <c r="E1051" s="2">
        <v>0.75</v>
      </c>
      <c r="F1051" t="s">
        <v>37</v>
      </c>
      <c r="G1051" t="s">
        <v>29</v>
      </c>
      <c r="H1051">
        <v>2</v>
      </c>
      <c r="I1051">
        <v>6</v>
      </c>
      <c r="J1051" t="s">
        <v>30</v>
      </c>
      <c r="K1051">
        <v>806</v>
      </c>
      <c r="L1051">
        <v>51</v>
      </c>
      <c r="M1051">
        <v>141</v>
      </c>
      <c r="N1051">
        <v>806</v>
      </c>
      <c r="O1051">
        <v>51</v>
      </c>
      <c r="P1051">
        <v>146</v>
      </c>
      <c r="Q1051">
        <v>734</v>
      </c>
      <c r="R1051">
        <v>472</v>
      </c>
      <c r="S1051">
        <v>14</v>
      </c>
      <c r="T1051" t="s">
        <v>31</v>
      </c>
      <c r="U1051" t="s">
        <v>31</v>
      </c>
      <c r="V1051" t="s">
        <v>31</v>
      </c>
      <c r="W1051" t="s">
        <v>31</v>
      </c>
      <c r="X1051" t="s">
        <v>31</v>
      </c>
      <c r="Y1051" t="s">
        <v>31</v>
      </c>
    </row>
    <row r="1052" spans="1:25" hidden="1">
      <c r="A1052" t="s">
        <v>25</v>
      </c>
      <c r="B1052" t="s">
        <v>26</v>
      </c>
      <c r="C1052" t="s">
        <v>49</v>
      </c>
      <c r="D1052" s="1">
        <v>43211</v>
      </c>
      <c r="E1052" s="2">
        <v>0.625</v>
      </c>
      <c r="F1052" t="s">
        <v>39</v>
      </c>
      <c r="G1052" t="s">
        <v>28</v>
      </c>
      <c r="H1052">
        <v>2</v>
      </c>
      <c r="I1052">
        <v>1</v>
      </c>
      <c r="J1052" t="s">
        <v>34</v>
      </c>
      <c r="K1052">
        <v>451</v>
      </c>
      <c r="L1052">
        <v>364</v>
      </c>
      <c r="M1052">
        <v>188</v>
      </c>
      <c r="N1052">
        <v>5</v>
      </c>
      <c r="O1052">
        <v>39</v>
      </c>
      <c r="P1052">
        <v>191</v>
      </c>
      <c r="Q1052">
        <v>432</v>
      </c>
      <c r="R1052">
        <v>35</v>
      </c>
      <c r="S1052">
        <v>183</v>
      </c>
      <c r="T1052" t="s">
        <v>31</v>
      </c>
      <c r="U1052" t="s">
        <v>31</v>
      </c>
      <c r="V1052" t="s">
        <v>31</v>
      </c>
      <c r="W1052" t="s">
        <v>31</v>
      </c>
      <c r="X1052" t="s">
        <v>31</v>
      </c>
      <c r="Y1052" t="s">
        <v>31</v>
      </c>
    </row>
    <row r="1053" spans="1:25" hidden="1">
      <c r="A1053" t="s">
        <v>25</v>
      </c>
      <c r="B1053" t="s">
        <v>26</v>
      </c>
      <c r="C1053" t="s">
        <v>49</v>
      </c>
      <c r="D1053" s="1">
        <v>43211</v>
      </c>
      <c r="E1053" s="2">
        <v>0.72916666666666663</v>
      </c>
      <c r="F1053" t="s">
        <v>50</v>
      </c>
      <c r="G1053" t="s">
        <v>40</v>
      </c>
      <c r="H1053">
        <v>1</v>
      </c>
      <c r="I1053">
        <v>0</v>
      </c>
      <c r="J1053" t="s">
        <v>34</v>
      </c>
      <c r="K1053">
        <v>175</v>
      </c>
      <c r="L1053">
        <v>394</v>
      </c>
      <c r="M1053">
        <v>485</v>
      </c>
      <c r="N1053">
        <v>185</v>
      </c>
      <c r="O1053">
        <v>4</v>
      </c>
      <c r="P1053">
        <v>504</v>
      </c>
      <c r="Q1053">
        <v>172</v>
      </c>
      <c r="R1053">
        <v>38</v>
      </c>
      <c r="S1053">
        <v>461</v>
      </c>
      <c r="T1053" t="s">
        <v>31</v>
      </c>
      <c r="U1053" t="s">
        <v>31</v>
      </c>
      <c r="V1053" t="s">
        <v>31</v>
      </c>
      <c r="W1053" t="s">
        <v>31</v>
      </c>
      <c r="X1053" t="s">
        <v>31</v>
      </c>
      <c r="Y1053" t="s">
        <v>31</v>
      </c>
    </row>
    <row r="1054" spans="1:25" hidden="1">
      <c r="A1054" t="s">
        <v>25</v>
      </c>
      <c r="B1054" t="s">
        <v>26</v>
      </c>
      <c r="C1054" t="s">
        <v>49</v>
      </c>
      <c r="D1054" s="1">
        <v>43211</v>
      </c>
      <c r="E1054" s="2">
        <v>0.72916666666666663</v>
      </c>
      <c r="F1054" t="s">
        <v>32</v>
      </c>
      <c r="G1054" t="s">
        <v>48</v>
      </c>
      <c r="H1054">
        <v>1</v>
      </c>
      <c r="I1054">
        <v>1</v>
      </c>
      <c r="J1054" t="s">
        <v>41</v>
      </c>
      <c r="K1054">
        <v>181</v>
      </c>
      <c r="L1054">
        <v>378</v>
      </c>
      <c r="M1054">
        <v>469</v>
      </c>
      <c r="N1054">
        <v>188</v>
      </c>
      <c r="O1054">
        <v>39</v>
      </c>
      <c r="P1054">
        <v>55</v>
      </c>
      <c r="Q1054">
        <v>175</v>
      </c>
      <c r="R1054">
        <v>371</v>
      </c>
      <c r="S1054">
        <v>455</v>
      </c>
      <c r="T1054" t="s">
        <v>31</v>
      </c>
      <c r="U1054" t="s">
        <v>31</v>
      </c>
      <c r="V1054" t="s">
        <v>31</v>
      </c>
      <c r="W1054" t="s">
        <v>31</v>
      </c>
      <c r="X1054" t="s">
        <v>31</v>
      </c>
      <c r="Y1054" t="s">
        <v>31</v>
      </c>
    </row>
    <row r="1055" spans="1:25" hidden="1">
      <c r="A1055" t="s">
        <v>25</v>
      </c>
      <c r="B1055" t="s">
        <v>26</v>
      </c>
      <c r="C1055" t="s">
        <v>49</v>
      </c>
      <c r="D1055" s="1">
        <v>43212</v>
      </c>
      <c r="E1055" s="2">
        <v>0.5625</v>
      </c>
      <c r="F1055" t="s">
        <v>29</v>
      </c>
      <c r="G1055" t="s">
        <v>45</v>
      </c>
      <c r="H1055">
        <v>3</v>
      </c>
      <c r="I1055">
        <v>1</v>
      </c>
      <c r="J1055" t="s">
        <v>34</v>
      </c>
      <c r="K1055">
        <v>128</v>
      </c>
      <c r="L1055">
        <v>647</v>
      </c>
      <c r="M1055">
        <v>1052</v>
      </c>
      <c r="N1055">
        <v>13</v>
      </c>
      <c r="O1055">
        <v>65</v>
      </c>
      <c r="P1055">
        <v>125</v>
      </c>
      <c r="Q1055">
        <v>125</v>
      </c>
      <c r="R1055">
        <v>585</v>
      </c>
      <c r="S1055">
        <v>1076</v>
      </c>
      <c r="T1055" t="s">
        <v>31</v>
      </c>
      <c r="U1055" t="s">
        <v>31</v>
      </c>
      <c r="V1055" t="s">
        <v>31</v>
      </c>
      <c r="W1055" t="s">
        <v>31</v>
      </c>
      <c r="X1055" t="s">
        <v>31</v>
      </c>
      <c r="Y1055" t="s">
        <v>31</v>
      </c>
    </row>
    <row r="1056" spans="1:25" hidden="1">
      <c r="A1056" t="s">
        <v>25</v>
      </c>
      <c r="B1056" t="s">
        <v>26</v>
      </c>
      <c r="C1056" t="s">
        <v>49</v>
      </c>
      <c r="D1056" s="1">
        <v>43212</v>
      </c>
      <c r="E1056" s="2">
        <v>0.64583333333333337</v>
      </c>
      <c r="F1056" t="s">
        <v>35</v>
      </c>
      <c r="G1056" t="s">
        <v>37</v>
      </c>
      <c r="H1056">
        <v>4</v>
      </c>
      <c r="I1056">
        <v>1</v>
      </c>
      <c r="J1056" t="s">
        <v>34</v>
      </c>
      <c r="K1056">
        <v>136</v>
      </c>
      <c r="L1056">
        <v>557</v>
      </c>
      <c r="M1056">
        <v>869</v>
      </c>
      <c r="N1056">
        <v>14</v>
      </c>
      <c r="O1056">
        <v>557</v>
      </c>
      <c r="P1056">
        <v>105</v>
      </c>
      <c r="Q1056">
        <v>134</v>
      </c>
      <c r="R1056">
        <v>518</v>
      </c>
      <c r="S1056">
        <v>813</v>
      </c>
      <c r="T1056" t="s">
        <v>31</v>
      </c>
      <c r="U1056" t="s">
        <v>31</v>
      </c>
      <c r="V1056" t="s">
        <v>31</v>
      </c>
      <c r="W1056" t="s">
        <v>31</v>
      </c>
      <c r="X1056" t="s">
        <v>31</v>
      </c>
      <c r="Y1056" t="s">
        <v>31</v>
      </c>
    </row>
    <row r="1057" spans="1:25" hidden="1">
      <c r="A1057" t="s">
        <v>25</v>
      </c>
      <c r="B1057" t="s">
        <v>26</v>
      </c>
      <c r="C1057" t="s">
        <v>49</v>
      </c>
      <c r="D1057" s="1">
        <v>43218</v>
      </c>
      <c r="E1057" s="2">
        <v>0.625</v>
      </c>
      <c r="F1057" t="s">
        <v>40</v>
      </c>
      <c r="G1057" t="s">
        <v>32</v>
      </c>
      <c r="H1057">
        <v>2</v>
      </c>
      <c r="I1057">
        <v>3</v>
      </c>
      <c r="J1057" t="s">
        <v>30</v>
      </c>
      <c r="K1057">
        <v>225</v>
      </c>
      <c r="L1057">
        <v>365</v>
      </c>
      <c r="M1057">
        <v>322</v>
      </c>
      <c r="N1057">
        <v>226</v>
      </c>
      <c r="O1057">
        <v>38</v>
      </c>
      <c r="P1057">
        <v>36</v>
      </c>
      <c r="Q1057">
        <v>217</v>
      </c>
      <c r="R1057">
        <v>351</v>
      </c>
      <c r="S1057">
        <v>314</v>
      </c>
      <c r="T1057" t="s">
        <v>31</v>
      </c>
      <c r="U1057" t="s">
        <v>31</v>
      </c>
      <c r="V1057" t="s">
        <v>31</v>
      </c>
      <c r="W1057" t="s">
        <v>31</v>
      </c>
      <c r="X1057" t="s">
        <v>31</v>
      </c>
      <c r="Y1057" t="s">
        <v>31</v>
      </c>
    </row>
    <row r="1058" spans="1:25" hidden="1">
      <c r="A1058" t="s">
        <v>25</v>
      </c>
      <c r="B1058" t="s">
        <v>26</v>
      </c>
      <c r="C1058" t="s">
        <v>49</v>
      </c>
      <c r="D1058" s="1">
        <v>43218</v>
      </c>
      <c r="E1058" s="2">
        <v>0.72916666666666663</v>
      </c>
      <c r="F1058" t="s">
        <v>37</v>
      </c>
      <c r="G1058" t="s">
        <v>39</v>
      </c>
      <c r="H1058">
        <v>4</v>
      </c>
      <c r="I1058">
        <v>2</v>
      </c>
      <c r="J1058" t="s">
        <v>34</v>
      </c>
      <c r="K1058">
        <v>198</v>
      </c>
      <c r="L1058">
        <v>37</v>
      </c>
      <c r="M1058">
        <v>391</v>
      </c>
      <c r="N1058">
        <v>23</v>
      </c>
      <c r="O1058">
        <v>374</v>
      </c>
      <c r="P1058">
        <v>41</v>
      </c>
      <c r="Q1058">
        <v>195</v>
      </c>
      <c r="R1058">
        <v>35</v>
      </c>
      <c r="S1058">
        <v>381</v>
      </c>
      <c r="T1058" t="s">
        <v>31</v>
      </c>
      <c r="U1058" t="s">
        <v>31</v>
      </c>
      <c r="V1058" t="s">
        <v>31</v>
      </c>
      <c r="W1058" t="s">
        <v>31</v>
      </c>
      <c r="X1058" t="s">
        <v>31</v>
      </c>
      <c r="Y1058" t="s">
        <v>31</v>
      </c>
    </row>
    <row r="1059" spans="1:25" hidden="1">
      <c r="A1059" t="s">
        <v>25</v>
      </c>
      <c r="B1059" t="s">
        <v>26</v>
      </c>
      <c r="C1059" t="s">
        <v>49</v>
      </c>
      <c r="D1059" s="1">
        <v>43218</v>
      </c>
      <c r="E1059" s="2">
        <v>0.72916666666666663</v>
      </c>
      <c r="F1059" t="s">
        <v>45</v>
      </c>
      <c r="G1059" t="s">
        <v>50</v>
      </c>
      <c r="H1059">
        <v>0</v>
      </c>
      <c r="I1059">
        <v>2</v>
      </c>
      <c r="J1059" t="s">
        <v>30</v>
      </c>
      <c r="K1059">
        <v>406</v>
      </c>
      <c r="L1059">
        <v>353</v>
      </c>
      <c r="M1059">
        <v>2</v>
      </c>
      <c r="N1059">
        <v>42</v>
      </c>
      <c r="O1059">
        <v>353</v>
      </c>
      <c r="P1059">
        <v>203</v>
      </c>
      <c r="Q1059">
        <v>392</v>
      </c>
      <c r="R1059">
        <v>338</v>
      </c>
      <c r="S1059">
        <v>195</v>
      </c>
      <c r="T1059" t="s">
        <v>31</v>
      </c>
      <c r="U1059" t="s">
        <v>31</v>
      </c>
      <c r="V1059" t="s">
        <v>31</v>
      </c>
      <c r="W1059" t="s">
        <v>31</v>
      </c>
      <c r="X1059" t="s">
        <v>31</v>
      </c>
      <c r="Y1059" t="s">
        <v>31</v>
      </c>
    </row>
    <row r="1060" spans="1:25" hidden="1">
      <c r="A1060" t="s">
        <v>25</v>
      </c>
      <c r="B1060" t="s">
        <v>26</v>
      </c>
      <c r="C1060" t="s">
        <v>49</v>
      </c>
      <c r="D1060" s="1">
        <v>43219</v>
      </c>
      <c r="E1060" s="2">
        <v>0.64583333333333337</v>
      </c>
      <c r="F1060" t="s">
        <v>28</v>
      </c>
      <c r="G1060" t="s">
        <v>35</v>
      </c>
      <c r="H1060">
        <v>4</v>
      </c>
      <c r="I1060">
        <v>2</v>
      </c>
      <c r="J1060" t="s">
        <v>34</v>
      </c>
      <c r="K1060">
        <v>243</v>
      </c>
      <c r="L1060">
        <v>354</v>
      </c>
      <c r="M1060">
        <v>297</v>
      </c>
      <c r="N1060">
        <v>25</v>
      </c>
      <c r="O1060">
        <v>365</v>
      </c>
      <c r="P1060">
        <v>324</v>
      </c>
      <c r="Q1060">
        <v>231</v>
      </c>
      <c r="R1060">
        <v>342</v>
      </c>
      <c r="S1060">
        <v>294</v>
      </c>
      <c r="T1060" t="s">
        <v>31</v>
      </c>
      <c r="U1060" t="s">
        <v>31</v>
      </c>
      <c r="V1060" t="s">
        <v>31</v>
      </c>
      <c r="W1060" t="s">
        <v>31</v>
      </c>
      <c r="X1060" t="s">
        <v>31</v>
      </c>
      <c r="Y1060" t="s">
        <v>31</v>
      </c>
    </row>
    <row r="1061" spans="1:25" hidden="1">
      <c r="A1061" t="s">
        <v>25</v>
      </c>
      <c r="B1061" t="s">
        <v>26</v>
      </c>
      <c r="C1061" t="s">
        <v>49</v>
      </c>
      <c r="D1061" s="1">
        <v>43219</v>
      </c>
      <c r="E1061" s="2">
        <v>0.75</v>
      </c>
      <c r="F1061" t="s">
        <v>48</v>
      </c>
      <c r="G1061" t="s">
        <v>29</v>
      </c>
      <c r="H1061">
        <v>0</v>
      </c>
      <c r="I1061">
        <v>2</v>
      </c>
      <c r="J1061" t="s">
        <v>30</v>
      </c>
      <c r="K1061">
        <v>1024</v>
      </c>
      <c r="L1061">
        <v>543</v>
      </c>
      <c r="M1061">
        <v>134</v>
      </c>
      <c r="N1061">
        <v>11</v>
      </c>
      <c r="O1061">
        <v>563</v>
      </c>
      <c r="P1061">
        <v>14</v>
      </c>
      <c r="Q1061">
        <v>92</v>
      </c>
      <c r="R1061">
        <v>507</v>
      </c>
      <c r="S1061">
        <v>132</v>
      </c>
      <c r="T1061" t="s">
        <v>31</v>
      </c>
      <c r="U1061" t="s">
        <v>31</v>
      </c>
      <c r="V1061" t="s">
        <v>31</v>
      </c>
      <c r="W1061" t="s">
        <v>31</v>
      </c>
      <c r="X1061" t="s">
        <v>31</v>
      </c>
      <c r="Y1061" t="s">
        <v>31</v>
      </c>
    </row>
    <row r="1062" spans="1:25" hidden="1">
      <c r="A1062" t="s">
        <v>25</v>
      </c>
      <c r="B1062" t="s">
        <v>26</v>
      </c>
      <c r="C1062" t="s">
        <v>49</v>
      </c>
      <c r="D1062" s="1">
        <v>43225</v>
      </c>
      <c r="E1062" s="2">
        <v>0.625</v>
      </c>
      <c r="F1062" t="s">
        <v>50</v>
      </c>
      <c r="G1062" t="s">
        <v>35</v>
      </c>
      <c r="H1062">
        <v>0</v>
      </c>
      <c r="I1062">
        <v>2</v>
      </c>
      <c r="J1062" t="s">
        <v>30</v>
      </c>
      <c r="K1062">
        <v>219</v>
      </c>
      <c r="L1062">
        <v>344</v>
      </c>
      <c r="M1062">
        <v>353</v>
      </c>
      <c r="N1062">
        <v>25</v>
      </c>
      <c r="O1062">
        <v>35</v>
      </c>
      <c r="P1062">
        <v>36</v>
      </c>
      <c r="Q1062">
        <v>218</v>
      </c>
      <c r="R1062">
        <v>335</v>
      </c>
      <c r="S1062">
        <v>329</v>
      </c>
      <c r="T1062" t="s">
        <v>31</v>
      </c>
      <c r="U1062" t="s">
        <v>31</v>
      </c>
      <c r="V1062" t="s">
        <v>31</v>
      </c>
      <c r="W1062" t="s">
        <v>31</v>
      </c>
      <c r="X1062" t="s">
        <v>31</v>
      </c>
      <c r="Y1062" t="s">
        <v>31</v>
      </c>
    </row>
    <row r="1063" spans="1:25" hidden="1">
      <c r="A1063" t="s">
        <v>25</v>
      </c>
      <c r="B1063" t="s">
        <v>26</v>
      </c>
      <c r="C1063" t="s">
        <v>49</v>
      </c>
      <c r="D1063" s="1">
        <v>43225</v>
      </c>
      <c r="E1063" s="2">
        <v>0.72916666666666663</v>
      </c>
      <c r="F1063" t="s">
        <v>40</v>
      </c>
      <c r="G1063" t="s">
        <v>37</v>
      </c>
      <c r="H1063">
        <v>0</v>
      </c>
      <c r="I1063">
        <v>0</v>
      </c>
      <c r="J1063" t="s">
        <v>41</v>
      </c>
      <c r="K1063">
        <v>178</v>
      </c>
      <c r="L1063">
        <v>457</v>
      </c>
      <c r="M1063">
        <v>399</v>
      </c>
      <c r="N1063">
        <v>185</v>
      </c>
      <c r="O1063">
        <v>457</v>
      </c>
      <c r="P1063">
        <v>45</v>
      </c>
      <c r="Q1063">
        <v>174</v>
      </c>
      <c r="R1063">
        <v>417</v>
      </c>
      <c r="S1063">
        <v>402</v>
      </c>
      <c r="T1063" t="s">
        <v>31</v>
      </c>
      <c r="U1063" t="s">
        <v>31</v>
      </c>
      <c r="V1063" t="s">
        <v>31</v>
      </c>
      <c r="W1063" t="s">
        <v>31</v>
      </c>
      <c r="X1063" t="s">
        <v>31</v>
      </c>
      <c r="Y1063" t="s">
        <v>31</v>
      </c>
    </row>
    <row r="1064" spans="1:25" hidden="1">
      <c r="A1064" t="s">
        <v>25</v>
      </c>
      <c r="B1064" t="s">
        <v>26</v>
      </c>
      <c r="C1064" t="s">
        <v>49</v>
      </c>
      <c r="D1064" s="1">
        <v>43225</v>
      </c>
      <c r="E1064" s="2">
        <v>0.72916666666666663</v>
      </c>
      <c r="F1064" t="s">
        <v>32</v>
      </c>
      <c r="G1064" t="s">
        <v>45</v>
      </c>
      <c r="H1064">
        <v>0</v>
      </c>
      <c r="I1064">
        <v>1</v>
      </c>
      <c r="J1064" t="s">
        <v>30</v>
      </c>
      <c r="K1064">
        <v>163</v>
      </c>
      <c r="L1064">
        <v>422</v>
      </c>
      <c r="M1064">
        <v>55</v>
      </c>
      <c r="N1064">
        <v>17</v>
      </c>
      <c r="O1064">
        <v>423</v>
      </c>
      <c r="P1064">
        <v>585</v>
      </c>
      <c r="Q1064">
        <v>159</v>
      </c>
      <c r="R1064">
        <v>397</v>
      </c>
      <c r="S1064">
        <v>533</v>
      </c>
      <c r="T1064" t="s">
        <v>31</v>
      </c>
      <c r="U1064" t="s">
        <v>31</v>
      </c>
      <c r="V1064" t="s">
        <v>31</v>
      </c>
      <c r="W1064" t="s">
        <v>31</v>
      </c>
      <c r="X1064" t="s">
        <v>31</v>
      </c>
      <c r="Y1064" t="s">
        <v>31</v>
      </c>
    </row>
    <row r="1065" spans="1:25" hidden="1">
      <c r="A1065" t="s">
        <v>25</v>
      </c>
      <c r="B1065" t="s">
        <v>26</v>
      </c>
      <c r="C1065" t="s">
        <v>49</v>
      </c>
      <c r="D1065" s="1">
        <v>43225</v>
      </c>
      <c r="E1065" s="2">
        <v>0.72916666666666663</v>
      </c>
      <c r="F1065" t="s">
        <v>48</v>
      </c>
      <c r="G1065" t="s">
        <v>39</v>
      </c>
      <c r="H1065">
        <v>0</v>
      </c>
      <c r="I1065">
        <v>1</v>
      </c>
      <c r="J1065" t="s">
        <v>30</v>
      </c>
      <c r="K1065">
        <v>294</v>
      </c>
      <c r="L1065">
        <v>341</v>
      </c>
      <c r="M1065">
        <v>252</v>
      </c>
      <c r="N1065">
        <v>31</v>
      </c>
      <c r="O1065">
        <v>342</v>
      </c>
      <c r="P1065">
        <v>265</v>
      </c>
      <c r="Q1065">
        <v>28</v>
      </c>
      <c r="R1065">
        <v>324</v>
      </c>
      <c r="S1065">
        <v>251</v>
      </c>
      <c r="T1065" t="s">
        <v>31</v>
      </c>
      <c r="U1065" t="s">
        <v>31</v>
      </c>
      <c r="V1065" t="s">
        <v>31</v>
      </c>
      <c r="W1065" t="s">
        <v>31</v>
      </c>
      <c r="X1065" t="s">
        <v>31</v>
      </c>
      <c r="Y1065" t="s">
        <v>31</v>
      </c>
    </row>
    <row r="1066" spans="1:25" hidden="1">
      <c r="A1066" t="s">
        <v>25</v>
      </c>
      <c r="B1066" t="s">
        <v>26</v>
      </c>
      <c r="C1066" t="s">
        <v>49</v>
      </c>
      <c r="D1066" s="1">
        <v>43226</v>
      </c>
      <c r="E1066" s="2">
        <v>0.64583333333333337</v>
      </c>
      <c r="F1066" t="s">
        <v>29</v>
      </c>
      <c r="G1066" t="s">
        <v>28</v>
      </c>
      <c r="H1066">
        <v>4</v>
      </c>
      <c r="I1066">
        <v>1</v>
      </c>
      <c r="J1066" t="s">
        <v>34</v>
      </c>
      <c r="K1066">
        <v>179</v>
      </c>
      <c r="L1066">
        <v>394</v>
      </c>
      <c r="M1066">
        <v>46</v>
      </c>
      <c r="N1066">
        <v>193</v>
      </c>
      <c r="O1066">
        <v>401</v>
      </c>
      <c r="P1066">
        <v>487</v>
      </c>
      <c r="Q1066">
        <v>181</v>
      </c>
      <c r="R1066">
        <v>367</v>
      </c>
      <c r="S1066">
        <v>419</v>
      </c>
      <c r="T1066" t="s">
        <v>31</v>
      </c>
      <c r="U1066" t="s">
        <v>31</v>
      </c>
      <c r="V1066" t="s">
        <v>31</v>
      </c>
      <c r="W1066" t="s">
        <v>31</v>
      </c>
      <c r="X1066" t="s">
        <v>31</v>
      </c>
      <c r="Y1066" t="s">
        <v>31</v>
      </c>
    </row>
    <row r="1067" spans="1:25" hidden="1">
      <c r="A1067" t="s">
        <v>25</v>
      </c>
      <c r="B1067" t="s">
        <v>26</v>
      </c>
      <c r="C1067" t="s">
        <v>49</v>
      </c>
      <c r="D1067" s="1">
        <v>43232</v>
      </c>
      <c r="E1067" s="2">
        <v>0.625</v>
      </c>
      <c r="F1067" t="s">
        <v>28</v>
      </c>
      <c r="G1067" t="s">
        <v>50</v>
      </c>
      <c r="H1067">
        <v>3</v>
      </c>
      <c r="I1067">
        <v>1</v>
      </c>
      <c r="J1067" t="s">
        <v>34</v>
      </c>
      <c r="K1067">
        <v>246</v>
      </c>
      <c r="L1067">
        <v>33</v>
      </c>
      <c r="M1067">
        <v>311</v>
      </c>
      <c r="N1067">
        <v>246</v>
      </c>
      <c r="O1067">
        <v>34</v>
      </c>
      <c r="P1067">
        <v>322</v>
      </c>
      <c r="Q1067">
        <v>237</v>
      </c>
      <c r="R1067">
        <v>321</v>
      </c>
      <c r="S1067">
        <v>3</v>
      </c>
      <c r="T1067" t="s">
        <v>31</v>
      </c>
      <c r="U1067" t="s">
        <v>31</v>
      </c>
      <c r="V1067" t="s">
        <v>31</v>
      </c>
      <c r="W1067" t="s">
        <v>31</v>
      </c>
      <c r="X1067" t="s">
        <v>31</v>
      </c>
      <c r="Y1067" t="s">
        <v>31</v>
      </c>
    </row>
    <row r="1068" spans="1:25" hidden="1">
      <c r="A1068" t="s">
        <v>25</v>
      </c>
      <c r="B1068" t="s">
        <v>26</v>
      </c>
      <c r="C1068" t="s">
        <v>49</v>
      </c>
      <c r="D1068" s="1">
        <v>43232</v>
      </c>
      <c r="E1068" s="2">
        <v>0.72916666666666663</v>
      </c>
      <c r="F1068" t="s">
        <v>37</v>
      </c>
      <c r="G1068" t="s">
        <v>32</v>
      </c>
      <c r="H1068">
        <v>1</v>
      </c>
      <c r="I1068">
        <v>1</v>
      </c>
      <c r="J1068" t="s">
        <v>41</v>
      </c>
      <c r="K1068">
        <v>274</v>
      </c>
      <c r="L1068">
        <v>383</v>
      </c>
      <c r="M1068">
        <v>247</v>
      </c>
      <c r="N1068">
        <v>278</v>
      </c>
      <c r="O1068">
        <v>384</v>
      </c>
      <c r="P1068">
        <v>265</v>
      </c>
      <c r="Q1068">
        <v>266</v>
      </c>
      <c r="R1068">
        <v>354</v>
      </c>
      <c r="S1068">
        <v>246</v>
      </c>
      <c r="T1068" t="s">
        <v>31</v>
      </c>
      <c r="U1068" t="s">
        <v>31</v>
      </c>
      <c r="V1068" t="s">
        <v>31</v>
      </c>
      <c r="W1068" t="s">
        <v>31</v>
      </c>
      <c r="X1068" t="s">
        <v>31</v>
      </c>
      <c r="Y1068" t="s">
        <v>31</v>
      </c>
    </row>
    <row r="1069" spans="1:25" hidden="1">
      <c r="A1069" t="s">
        <v>25</v>
      </c>
      <c r="B1069" t="s">
        <v>26</v>
      </c>
      <c r="C1069" t="s">
        <v>49</v>
      </c>
      <c r="D1069" s="1">
        <v>43232</v>
      </c>
      <c r="E1069" s="2">
        <v>0.72916666666666663</v>
      </c>
      <c r="F1069" t="s">
        <v>45</v>
      </c>
      <c r="G1069" t="s">
        <v>48</v>
      </c>
      <c r="H1069">
        <v>1</v>
      </c>
      <c r="I1069">
        <v>3</v>
      </c>
      <c r="J1069" t="s">
        <v>30</v>
      </c>
      <c r="K1069">
        <v>179</v>
      </c>
      <c r="L1069">
        <v>373</v>
      </c>
      <c r="M1069">
        <v>493</v>
      </c>
      <c r="N1069">
        <v>185</v>
      </c>
      <c r="O1069">
        <v>4</v>
      </c>
      <c r="P1069">
        <v>54</v>
      </c>
      <c r="Q1069">
        <v>178</v>
      </c>
      <c r="R1069">
        <v>363</v>
      </c>
      <c r="S1069">
        <v>441</v>
      </c>
      <c r="T1069" t="s">
        <v>31</v>
      </c>
      <c r="U1069" t="s">
        <v>31</v>
      </c>
      <c r="V1069" t="s">
        <v>31</v>
      </c>
      <c r="W1069" t="s">
        <v>31</v>
      </c>
      <c r="X1069" t="s">
        <v>31</v>
      </c>
      <c r="Y1069" t="s">
        <v>31</v>
      </c>
    </row>
    <row r="1070" spans="1:25" hidden="1">
      <c r="A1070" t="s">
        <v>25</v>
      </c>
      <c r="B1070" t="s">
        <v>26</v>
      </c>
      <c r="C1070" t="s">
        <v>49</v>
      </c>
      <c r="D1070" s="1">
        <v>43233</v>
      </c>
      <c r="E1070" s="2">
        <v>0.64583333333333337</v>
      </c>
      <c r="F1070" t="s">
        <v>35</v>
      </c>
      <c r="G1070" t="s">
        <v>29</v>
      </c>
      <c r="H1070">
        <v>1</v>
      </c>
      <c r="I1070">
        <v>4</v>
      </c>
      <c r="J1070" t="s">
        <v>30</v>
      </c>
      <c r="K1070">
        <v>307</v>
      </c>
      <c r="L1070">
        <v>369</v>
      </c>
      <c r="M1070">
        <v>231</v>
      </c>
      <c r="N1070">
        <v>329</v>
      </c>
      <c r="O1070">
        <v>37</v>
      </c>
      <c r="P1070">
        <v>278</v>
      </c>
      <c r="Q1070">
        <v>294</v>
      </c>
      <c r="R1070">
        <v>341</v>
      </c>
      <c r="S1070">
        <v>232</v>
      </c>
      <c r="T1070" t="s">
        <v>31</v>
      </c>
      <c r="U1070" t="s">
        <v>31</v>
      </c>
      <c r="V1070" t="s">
        <v>31</v>
      </c>
      <c r="W1070" t="s">
        <v>31</v>
      </c>
      <c r="X1070" t="s">
        <v>31</v>
      </c>
      <c r="Y1070" t="s">
        <v>31</v>
      </c>
    </row>
    <row r="1071" spans="1:25" hidden="1">
      <c r="A1071" t="s">
        <v>25</v>
      </c>
      <c r="B1071" t="s">
        <v>26</v>
      </c>
      <c r="C1071" t="s">
        <v>49</v>
      </c>
      <c r="D1071" s="1">
        <v>43235</v>
      </c>
      <c r="E1071" s="2">
        <v>0.75</v>
      </c>
      <c r="F1071" t="s">
        <v>39</v>
      </c>
      <c r="G1071" t="s">
        <v>40</v>
      </c>
      <c r="H1071">
        <v>2</v>
      </c>
      <c r="I1071">
        <v>1</v>
      </c>
      <c r="J1071" t="s">
        <v>34</v>
      </c>
      <c r="K1071">
        <v>248</v>
      </c>
      <c r="L1071">
        <v>376</v>
      </c>
      <c r="M1071">
        <v>272</v>
      </c>
      <c r="N1071">
        <v>265</v>
      </c>
      <c r="O1071">
        <v>38</v>
      </c>
      <c r="P1071">
        <v>272</v>
      </c>
      <c r="Q1071">
        <v>25</v>
      </c>
      <c r="R1071">
        <v>362</v>
      </c>
      <c r="S1071">
        <v>256</v>
      </c>
      <c r="T1071" t="s">
        <v>31</v>
      </c>
      <c r="U1071" t="s">
        <v>31</v>
      </c>
      <c r="V1071" t="s">
        <v>31</v>
      </c>
      <c r="W1071" t="s">
        <v>31</v>
      </c>
      <c r="X1071" t="s">
        <v>31</v>
      </c>
      <c r="Y1071" t="s">
        <v>31</v>
      </c>
    </row>
    <row r="1072" spans="1:25" hidden="1">
      <c r="A1072" t="s">
        <v>25</v>
      </c>
      <c r="B1072" t="s">
        <v>26</v>
      </c>
      <c r="C1072" t="s">
        <v>49</v>
      </c>
      <c r="D1072" s="1">
        <v>43240</v>
      </c>
      <c r="E1072" s="2">
        <v>0.64583333333333337</v>
      </c>
      <c r="F1072" t="s">
        <v>50</v>
      </c>
      <c r="G1072" t="s">
        <v>39</v>
      </c>
      <c r="H1072">
        <v>1</v>
      </c>
      <c r="I1072">
        <v>3</v>
      </c>
      <c r="J1072" t="s">
        <v>30</v>
      </c>
      <c r="K1072">
        <v>156</v>
      </c>
      <c r="L1072">
        <v>428</v>
      </c>
      <c r="M1072">
        <v>608</v>
      </c>
      <c r="N1072">
        <v>16</v>
      </c>
      <c r="O1072">
        <v>45</v>
      </c>
      <c r="P1072">
        <v>67</v>
      </c>
      <c r="Q1072">
        <v>154</v>
      </c>
      <c r="R1072">
        <v>412</v>
      </c>
      <c r="S1072">
        <v>577</v>
      </c>
      <c r="T1072" t="s">
        <v>31</v>
      </c>
      <c r="U1072" t="s">
        <v>31</v>
      </c>
      <c r="V1072" t="s">
        <v>31</v>
      </c>
      <c r="W1072" t="s">
        <v>31</v>
      </c>
      <c r="X1072" t="s">
        <v>31</v>
      </c>
      <c r="Y1072" t="s">
        <v>31</v>
      </c>
    </row>
    <row r="1073" spans="1:25" hidden="1">
      <c r="A1073" t="s">
        <v>25</v>
      </c>
      <c r="B1073" t="s">
        <v>26</v>
      </c>
      <c r="C1073" t="s">
        <v>49</v>
      </c>
      <c r="D1073" s="1">
        <v>43240</v>
      </c>
      <c r="E1073" s="2">
        <v>0.64583333333333337</v>
      </c>
      <c r="F1073" t="s">
        <v>35</v>
      </c>
      <c r="G1073" t="s">
        <v>45</v>
      </c>
      <c r="H1073">
        <v>4</v>
      </c>
      <c r="I1073">
        <v>1</v>
      </c>
      <c r="J1073" t="s">
        <v>34</v>
      </c>
      <c r="K1073">
        <v>136</v>
      </c>
      <c r="L1073">
        <v>565</v>
      </c>
      <c r="M1073">
        <v>817</v>
      </c>
      <c r="N1073">
        <v>136</v>
      </c>
      <c r="O1073">
        <v>575</v>
      </c>
      <c r="P1073">
        <v>11</v>
      </c>
      <c r="Q1073">
        <v>131</v>
      </c>
      <c r="R1073">
        <v>533</v>
      </c>
      <c r="S1073">
        <v>879</v>
      </c>
      <c r="T1073" t="s">
        <v>31</v>
      </c>
      <c r="U1073" t="s">
        <v>31</v>
      </c>
      <c r="V1073" t="s">
        <v>31</v>
      </c>
      <c r="W1073" t="s">
        <v>31</v>
      </c>
      <c r="X1073" t="s">
        <v>31</v>
      </c>
      <c r="Y1073" t="s">
        <v>31</v>
      </c>
    </row>
    <row r="1074" spans="1:25" hidden="1">
      <c r="A1074" t="s">
        <v>25</v>
      </c>
      <c r="B1074" t="s">
        <v>26</v>
      </c>
      <c r="C1074" t="s">
        <v>49</v>
      </c>
      <c r="D1074" s="1">
        <v>43240</v>
      </c>
      <c r="E1074" s="2">
        <v>0.64583333333333337</v>
      </c>
      <c r="F1074" t="s">
        <v>29</v>
      </c>
      <c r="G1074" t="s">
        <v>32</v>
      </c>
      <c r="H1074">
        <v>1</v>
      </c>
      <c r="I1074">
        <v>0</v>
      </c>
      <c r="J1074" t="s">
        <v>34</v>
      </c>
      <c r="K1074">
        <v>122</v>
      </c>
      <c r="L1074">
        <v>717</v>
      </c>
      <c r="M1074">
        <v>1267</v>
      </c>
      <c r="N1074">
        <v>125</v>
      </c>
      <c r="O1074">
        <v>75</v>
      </c>
      <c r="P1074">
        <v>1525</v>
      </c>
      <c r="Q1074">
        <v>12</v>
      </c>
      <c r="R1074">
        <v>673</v>
      </c>
      <c r="S1074">
        <v>1236</v>
      </c>
      <c r="T1074" t="s">
        <v>31</v>
      </c>
      <c r="U1074" t="s">
        <v>31</v>
      </c>
      <c r="V1074" t="s">
        <v>31</v>
      </c>
      <c r="W1074" t="s">
        <v>31</v>
      </c>
      <c r="X1074" t="s">
        <v>31</v>
      </c>
      <c r="Y1074" t="s">
        <v>31</v>
      </c>
    </row>
    <row r="1075" spans="1:25" hidden="1">
      <c r="A1075" t="s">
        <v>25</v>
      </c>
      <c r="B1075" t="s">
        <v>26</v>
      </c>
      <c r="C1075" t="s">
        <v>49</v>
      </c>
      <c r="D1075" s="1">
        <v>43240</v>
      </c>
      <c r="E1075" s="2">
        <v>0.64583333333333337</v>
      </c>
      <c r="F1075" t="s">
        <v>48</v>
      </c>
      <c r="G1075" t="s">
        <v>40</v>
      </c>
      <c r="H1075">
        <v>2</v>
      </c>
      <c r="I1075">
        <v>0</v>
      </c>
      <c r="J1075" t="s">
        <v>34</v>
      </c>
      <c r="K1075">
        <v>311</v>
      </c>
      <c r="L1075">
        <v>388</v>
      </c>
      <c r="M1075">
        <v>218</v>
      </c>
      <c r="N1075">
        <v>318</v>
      </c>
      <c r="O1075">
        <v>4</v>
      </c>
      <c r="P1075">
        <v>23</v>
      </c>
      <c r="Q1075">
        <v>3</v>
      </c>
      <c r="R1075">
        <v>37</v>
      </c>
      <c r="S1075">
        <v>217</v>
      </c>
      <c r="T1075" t="s">
        <v>31</v>
      </c>
      <c r="U1075" t="s">
        <v>31</v>
      </c>
      <c r="V1075" t="s">
        <v>31</v>
      </c>
      <c r="W1075" t="s">
        <v>31</v>
      </c>
      <c r="X1075" t="s">
        <v>31</v>
      </c>
      <c r="Y1075" t="s">
        <v>31</v>
      </c>
    </row>
    <row r="1076" spans="1:25" hidden="1">
      <c r="A1076" t="s">
        <v>25</v>
      </c>
      <c r="B1076" t="s">
        <v>26</v>
      </c>
      <c r="C1076" t="s">
        <v>49</v>
      </c>
      <c r="D1076" s="1">
        <v>43240</v>
      </c>
      <c r="E1076" s="2">
        <v>0.64583333333333337</v>
      </c>
      <c r="F1076" t="s">
        <v>28</v>
      </c>
      <c r="G1076" t="s">
        <v>37</v>
      </c>
      <c r="H1076">
        <v>2</v>
      </c>
      <c r="I1076">
        <v>0</v>
      </c>
      <c r="J1076" t="s">
        <v>34</v>
      </c>
      <c r="K1076">
        <v>136</v>
      </c>
      <c r="L1076">
        <v>569</v>
      </c>
      <c r="M1076">
        <v>798</v>
      </c>
      <c r="N1076">
        <v>15</v>
      </c>
      <c r="O1076">
        <v>575</v>
      </c>
      <c r="P1076">
        <v>85</v>
      </c>
      <c r="Q1076">
        <v>136</v>
      </c>
      <c r="R1076">
        <v>535</v>
      </c>
      <c r="S1076">
        <v>708</v>
      </c>
      <c r="T1076" t="s">
        <v>31</v>
      </c>
      <c r="U1076" t="s">
        <v>31</v>
      </c>
      <c r="V1076" t="s">
        <v>31</v>
      </c>
      <c r="W1076" t="s">
        <v>31</v>
      </c>
      <c r="X1076" t="s">
        <v>31</v>
      </c>
      <c r="Y1076" t="s">
        <v>31</v>
      </c>
    </row>
    <row r="1077" spans="1:25" hidden="1">
      <c r="A1077" t="s">
        <v>25</v>
      </c>
      <c r="B1077" t="s">
        <v>26</v>
      </c>
      <c r="C1077" t="s">
        <v>49</v>
      </c>
      <c r="D1077" s="1">
        <v>43247</v>
      </c>
      <c r="E1077" s="2">
        <v>0.6875</v>
      </c>
      <c r="F1077" t="s">
        <v>39</v>
      </c>
      <c r="G1077" t="s">
        <v>35</v>
      </c>
      <c r="H1077">
        <v>0</v>
      </c>
      <c r="I1077">
        <v>0</v>
      </c>
      <c r="J1077" t="s">
        <v>41</v>
      </c>
      <c r="K1077">
        <v>321</v>
      </c>
      <c r="L1077">
        <v>405</v>
      </c>
      <c r="M1077">
        <v>209</v>
      </c>
      <c r="N1077">
        <v>345</v>
      </c>
      <c r="O1077">
        <v>41</v>
      </c>
      <c r="P1077">
        <v>22</v>
      </c>
      <c r="Q1077">
        <v>318</v>
      </c>
      <c r="R1077">
        <v>379</v>
      </c>
      <c r="S1077">
        <v>206</v>
      </c>
      <c r="T1077" t="s">
        <v>31</v>
      </c>
      <c r="U1077" t="s">
        <v>31</v>
      </c>
      <c r="V1077" t="s">
        <v>31</v>
      </c>
      <c r="W1077" t="s">
        <v>31</v>
      </c>
      <c r="X1077" t="s">
        <v>31</v>
      </c>
      <c r="Y1077" t="s">
        <v>31</v>
      </c>
    </row>
    <row r="1078" spans="1:25" hidden="1">
      <c r="A1078" t="s">
        <v>25</v>
      </c>
      <c r="B1078" t="s">
        <v>26</v>
      </c>
      <c r="C1078" t="s">
        <v>49</v>
      </c>
      <c r="D1078" s="1">
        <v>43247</v>
      </c>
      <c r="E1078" s="2">
        <v>0.6875</v>
      </c>
      <c r="F1078" t="s">
        <v>37</v>
      </c>
      <c r="G1078" t="s">
        <v>48</v>
      </c>
      <c r="H1078">
        <v>0</v>
      </c>
      <c r="I1078">
        <v>2</v>
      </c>
      <c r="J1078" t="s">
        <v>30</v>
      </c>
      <c r="K1078">
        <v>203</v>
      </c>
      <c r="L1078">
        <v>379</v>
      </c>
      <c r="M1078">
        <v>358</v>
      </c>
      <c r="N1078">
        <v>21</v>
      </c>
      <c r="O1078">
        <v>394</v>
      </c>
      <c r="P1078">
        <v>362</v>
      </c>
      <c r="Q1078">
        <v>199</v>
      </c>
      <c r="R1078">
        <v>369</v>
      </c>
      <c r="S1078">
        <v>343</v>
      </c>
      <c r="T1078" t="s">
        <v>31</v>
      </c>
      <c r="U1078" t="s">
        <v>31</v>
      </c>
      <c r="V1078" t="s">
        <v>31</v>
      </c>
      <c r="W1078" t="s">
        <v>31</v>
      </c>
      <c r="X1078" t="s">
        <v>31</v>
      </c>
      <c r="Y1078" t="s">
        <v>31</v>
      </c>
    </row>
    <row r="1079" spans="1:25" hidden="1">
      <c r="A1079" t="s">
        <v>25</v>
      </c>
      <c r="B1079" t="s">
        <v>26</v>
      </c>
      <c r="C1079" t="s">
        <v>49</v>
      </c>
      <c r="D1079" s="1">
        <v>43247</v>
      </c>
      <c r="E1079" s="2">
        <v>0.6875</v>
      </c>
      <c r="F1079" t="s">
        <v>45</v>
      </c>
      <c r="G1079" t="s">
        <v>28</v>
      </c>
      <c r="H1079">
        <v>0</v>
      </c>
      <c r="I1079">
        <v>0</v>
      </c>
      <c r="J1079" t="s">
        <v>41</v>
      </c>
      <c r="K1079">
        <v>296</v>
      </c>
      <c r="L1079">
        <v>378</v>
      </c>
      <c r="M1079">
        <v>229</v>
      </c>
      <c r="N1079">
        <v>329</v>
      </c>
      <c r="O1079">
        <v>4</v>
      </c>
      <c r="P1079">
        <v>236</v>
      </c>
      <c r="Q1079">
        <v>291</v>
      </c>
      <c r="R1079">
        <v>362</v>
      </c>
      <c r="S1079">
        <v>225</v>
      </c>
      <c r="T1079" t="s">
        <v>31</v>
      </c>
      <c r="U1079" t="s">
        <v>31</v>
      </c>
      <c r="V1079" t="s">
        <v>31</v>
      </c>
      <c r="W1079" t="s">
        <v>31</v>
      </c>
      <c r="X1079" t="s">
        <v>31</v>
      </c>
      <c r="Y1079" t="s">
        <v>31</v>
      </c>
    </row>
    <row r="1080" spans="1:25" hidden="1">
      <c r="A1080" t="s">
        <v>25</v>
      </c>
      <c r="B1080" t="s">
        <v>26</v>
      </c>
      <c r="C1080" t="s">
        <v>49</v>
      </c>
      <c r="D1080" s="1">
        <v>43247</v>
      </c>
      <c r="E1080" s="2">
        <v>0.6875</v>
      </c>
      <c r="F1080" t="s">
        <v>40</v>
      </c>
      <c r="G1080" t="s">
        <v>29</v>
      </c>
      <c r="H1080">
        <v>4</v>
      </c>
      <c r="I1080">
        <v>0</v>
      </c>
      <c r="J1080" t="s">
        <v>34</v>
      </c>
      <c r="K1080">
        <v>593</v>
      </c>
      <c r="L1080">
        <v>518</v>
      </c>
      <c r="M1080">
        <v>148</v>
      </c>
      <c r="N1080">
        <v>65</v>
      </c>
      <c r="O1080">
        <v>525</v>
      </c>
      <c r="P1080">
        <v>15</v>
      </c>
      <c r="Q1080">
        <v>582</v>
      </c>
      <c r="R1080">
        <v>48</v>
      </c>
      <c r="S1080">
        <v>146</v>
      </c>
      <c r="T1080" t="s">
        <v>31</v>
      </c>
      <c r="U1080" t="s">
        <v>31</v>
      </c>
      <c r="V1080" t="s">
        <v>31</v>
      </c>
      <c r="W1080" t="s">
        <v>31</v>
      </c>
      <c r="X1080" t="s">
        <v>31</v>
      </c>
      <c r="Y1080" t="s">
        <v>31</v>
      </c>
    </row>
    <row r="1081" spans="1:25" hidden="1">
      <c r="A1081" t="s">
        <v>25</v>
      </c>
      <c r="B1081" t="s">
        <v>26</v>
      </c>
      <c r="C1081" t="s">
        <v>49</v>
      </c>
      <c r="D1081" s="1">
        <v>43247</v>
      </c>
      <c r="E1081" s="2">
        <v>0.6875</v>
      </c>
      <c r="F1081" t="s">
        <v>32</v>
      </c>
      <c r="G1081" t="s">
        <v>50</v>
      </c>
      <c r="H1081">
        <v>2</v>
      </c>
      <c r="I1081">
        <v>1</v>
      </c>
      <c r="J1081" t="s">
        <v>34</v>
      </c>
      <c r="K1081">
        <v>299</v>
      </c>
      <c r="L1081">
        <v>373</v>
      </c>
      <c r="M1081">
        <v>23</v>
      </c>
      <c r="N1081">
        <v>306</v>
      </c>
      <c r="O1081">
        <v>38</v>
      </c>
      <c r="P1081">
        <v>255</v>
      </c>
      <c r="Q1081">
        <v>292</v>
      </c>
      <c r="R1081">
        <v>356</v>
      </c>
      <c r="S1081">
        <v>227</v>
      </c>
      <c r="T1081" t="s">
        <v>31</v>
      </c>
      <c r="U1081" t="s">
        <v>31</v>
      </c>
      <c r="V1081" t="s">
        <v>31</v>
      </c>
      <c r="W1081" t="s">
        <v>31</v>
      </c>
      <c r="X1081" t="s">
        <v>31</v>
      </c>
      <c r="Y1081" t="s">
        <v>31</v>
      </c>
    </row>
    <row r="1082" spans="1:25" hidden="1">
      <c r="A1082" t="s">
        <v>25</v>
      </c>
      <c r="B1082" t="s">
        <v>26</v>
      </c>
      <c r="C1082" t="s">
        <v>49</v>
      </c>
      <c r="D1082" s="1">
        <v>43251</v>
      </c>
      <c r="E1082" s="2">
        <v>0.72916666666666663</v>
      </c>
      <c r="F1082" t="s">
        <v>33</v>
      </c>
      <c r="G1082" t="s">
        <v>48</v>
      </c>
      <c r="H1082">
        <v>0</v>
      </c>
      <c r="I1082">
        <v>2</v>
      </c>
      <c r="J1082" t="s">
        <v>30</v>
      </c>
      <c r="K1082">
        <v>26</v>
      </c>
      <c r="L1082">
        <v>34</v>
      </c>
      <c r="M1082">
        <v>279</v>
      </c>
      <c r="N1082">
        <v>276</v>
      </c>
      <c r="O1082">
        <v>34</v>
      </c>
      <c r="P1082">
        <v>288</v>
      </c>
      <c r="Q1082">
        <v>255</v>
      </c>
      <c r="R1082">
        <v>317</v>
      </c>
      <c r="S1082">
        <v>273</v>
      </c>
      <c r="T1082" t="s">
        <v>31</v>
      </c>
      <c r="U1082" t="s">
        <v>31</v>
      </c>
      <c r="V1082" t="s">
        <v>31</v>
      </c>
      <c r="W1082" t="s">
        <v>31</v>
      </c>
      <c r="X1082" t="s">
        <v>31</v>
      </c>
      <c r="Y1082" t="s">
        <v>31</v>
      </c>
    </row>
    <row r="1083" spans="1:25" hidden="1">
      <c r="A1083" t="s">
        <v>25</v>
      </c>
      <c r="B1083" t="s">
        <v>26</v>
      </c>
      <c r="C1083" t="s">
        <v>49</v>
      </c>
      <c r="D1083" s="1">
        <v>43254</v>
      </c>
      <c r="E1083" s="2">
        <v>0.60416666666666663</v>
      </c>
      <c r="F1083" t="s">
        <v>48</v>
      </c>
      <c r="G1083" t="s">
        <v>33</v>
      </c>
      <c r="H1083">
        <v>1</v>
      </c>
      <c r="I1083">
        <v>1</v>
      </c>
      <c r="J1083" t="s">
        <v>41</v>
      </c>
      <c r="K1083">
        <v>205</v>
      </c>
      <c r="L1083">
        <v>353</v>
      </c>
      <c r="M1083">
        <v>377</v>
      </c>
      <c r="N1083">
        <v>211</v>
      </c>
      <c r="O1083">
        <v>356</v>
      </c>
      <c r="P1083">
        <v>396</v>
      </c>
      <c r="Q1083">
        <v>201</v>
      </c>
      <c r="R1083">
        <v>334</v>
      </c>
      <c r="S1083">
        <v>364</v>
      </c>
      <c r="T1083" t="s">
        <v>31</v>
      </c>
      <c r="U1083" t="s">
        <v>31</v>
      </c>
      <c r="V1083" t="s">
        <v>31</v>
      </c>
      <c r="W1083" t="s">
        <v>31</v>
      </c>
      <c r="X1083" t="s">
        <v>31</v>
      </c>
      <c r="Y1083" t="s">
        <v>31</v>
      </c>
    </row>
    <row r="1084" spans="1:25" hidden="1">
      <c r="A1084" t="s">
        <v>25</v>
      </c>
      <c r="B1084" t="s">
        <v>26</v>
      </c>
      <c r="C1084" t="s">
        <v>51</v>
      </c>
      <c r="D1084" s="1">
        <v>43308</v>
      </c>
      <c r="E1084" s="2">
        <v>0.82291666666666663</v>
      </c>
      <c r="F1084" t="s">
        <v>40</v>
      </c>
      <c r="G1084" t="s">
        <v>36</v>
      </c>
      <c r="H1084">
        <v>2</v>
      </c>
      <c r="I1084">
        <v>1</v>
      </c>
      <c r="J1084" t="s">
        <v>34</v>
      </c>
      <c r="K1084">
        <v>162</v>
      </c>
      <c r="L1084">
        <v>404</v>
      </c>
      <c r="M1084">
        <v>592</v>
      </c>
      <c r="N1084">
        <v>165</v>
      </c>
      <c r="O1084">
        <v>425</v>
      </c>
      <c r="P1084">
        <v>61</v>
      </c>
      <c r="Q1084">
        <v>159</v>
      </c>
      <c r="R1084">
        <v>401</v>
      </c>
      <c r="S1084">
        <v>531</v>
      </c>
      <c r="T1084" t="s">
        <v>31</v>
      </c>
      <c r="U1084" t="s">
        <v>31</v>
      </c>
      <c r="V1084" t="s">
        <v>31</v>
      </c>
      <c r="W1084" t="s">
        <v>31</v>
      </c>
      <c r="X1084" t="s">
        <v>31</v>
      </c>
      <c r="Y1084" t="s">
        <v>31</v>
      </c>
    </row>
    <row r="1085" spans="1:25" hidden="1">
      <c r="A1085" t="s">
        <v>25</v>
      </c>
      <c r="B1085" t="s">
        <v>26</v>
      </c>
      <c r="C1085" t="s">
        <v>51</v>
      </c>
      <c r="D1085" s="1">
        <v>43309</v>
      </c>
      <c r="E1085" s="2">
        <v>0.66666666666666663</v>
      </c>
      <c r="F1085" t="s">
        <v>45</v>
      </c>
      <c r="G1085" t="s">
        <v>32</v>
      </c>
      <c r="H1085">
        <v>2</v>
      </c>
      <c r="I1085">
        <v>3</v>
      </c>
      <c r="J1085" t="s">
        <v>30</v>
      </c>
      <c r="K1085">
        <v>241</v>
      </c>
      <c r="L1085">
        <v>338</v>
      </c>
      <c r="M1085">
        <v>31</v>
      </c>
      <c r="N1085">
        <v>26</v>
      </c>
      <c r="O1085">
        <v>344</v>
      </c>
      <c r="P1085">
        <v>318</v>
      </c>
      <c r="Q1085">
        <v>238</v>
      </c>
      <c r="R1085">
        <v>327</v>
      </c>
      <c r="S1085">
        <v>294</v>
      </c>
      <c r="T1085" t="s">
        <v>31</v>
      </c>
      <c r="U1085" t="s">
        <v>31</v>
      </c>
      <c r="V1085" t="s">
        <v>31</v>
      </c>
      <c r="W1085" t="s">
        <v>31</v>
      </c>
      <c r="X1085" t="s">
        <v>31</v>
      </c>
      <c r="Y1085" t="s">
        <v>31</v>
      </c>
    </row>
    <row r="1086" spans="1:25" hidden="1">
      <c r="A1086" t="s">
        <v>25</v>
      </c>
      <c r="B1086" t="s">
        <v>26</v>
      </c>
      <c r="C1086" t="s">
        <v>51</v>
      </c>
      <c r="D1086" s="1">
        <v>43309</v>
      </c>
      <c r="E1086" s="2">
        <v>0.66666666666666663</v>
      </c>
      <c r="F1086" t="s">
        <v>28</v>
      </c>
      <c r="G1086" t="s">
        <v>52</v>
      </c>
      <c r="H1086">
        <v>3</v>
      </c>
      <c r="I1086">
        <v>2</v>
      </c>
      <c r="J1086" t="s">
        <v>34</v>
      </c>
      <c r="K1086">
        <v>153</v>
      </c>
      <c r="L1086">
        <v>421</v>
      </c>
      <c r="M1086">
        <v>701</v>
      </c>
      <c r="N1086">
        <v>16</v>
      </c>
      <c r="O1086">
        <v>444</v>
      </c>
      <c r="P1086">
        <v>701</v>
      </c>
      <c r="Q1086">
        <v>15</v>
      </c>
      <c r="R1086">
        <v>424</v>
      </c>
      <c r="S1086">
        <v>617</v>
      </c>
      <c r="T1086" t="s">
        <v>31</v>
      </c>
      <c r="U1086" t="s">
        <v>31</v>
      </c>
      <c r="V1086" t="s">
        <v>31</v>
      </c>
      <c r="W1086" t="s">
        <v>31</v>
      </c>
      <c r="X1086" t="s">
        <v>31</v>
      </c>
      <c r="Y1086" t="s">
        <v>31</v>
      </c>
    </row>
    <row r="1087" spans="1:25" hidden="1">
      <c r="A1087" t="s">
        <v>25</v>
      </c>
      <c r="B1087" t="s">
        <v>26</v>
      </c>
      <c r="C1087" t="s">
        <v>51</v>
      </c>
      <c r="D1087" s="1">
        <v>43310</v>
      </c>
      <c r="E1087" s="2">
        <v>0.66666666666666663</v>
      </c>
      <c r="F1087" t="s">
        <v>37</v>
      </c>
      <c r="G1087" t="s">
        <v>35</v>
      </c>
      <c r="H1087">
        <v>0</v>
      </c>
      <c r="I1087">
        <v>3</v>
      </c>
      <c r="J1087" t="s">
        <v>30</v>
      </c>
      <c r="K1087">
        <v>719</v>
      </c>
      <c r="L1087">
        <v>52</v>
      </c>
      <c r="M1087">
        <v>143</v>
      </c>
      <c r="N1087">
        <v>8</v>
      </c>
      <c r="O1087">
        <v>531</v>
      </c>
      <c r="P1087">
        <v>153</v>
      </c>
      <c r="Q1087">
        <v>684</v>
      </c>
      <c r="R1087">
        <v>489</v>
      </c>
      <c r="S1087">
        <v>14</v>
      </c>
      <c r="T1087" t="s">
        <v>31</v>
      </c>
      <c r="U1087" t="s">
        <v>31</v>
      </c>
      <c r="V1087" t="s">
        <v>31</v>
      </c>
      <c r="W1087" t="s">
        <v>31</v>
      </c>
      <c r="X1087" t="s">
        <v>31</v>
      </c>
      <c r="Y1087" t="s">
        <v>31</v>
      </c>
    </row>
    <row r="1088" spans="1:25" hidden="1">
      <c r="A1088" t="s">
        <v>25</v>
      </c>
      <c r="B1088" t="s">
        <v>26</v>
      </c>
      <c r="C1088" t="s">
        <v>51</v>
      </c>
      <c r="D1088" s="1">
        <v>43310</v>
      </c>
      <c r="E1088" s="2">
        <v>0.66666666666666663</v>
      </c>
      <c r="F1088" t="s">
        <v>29</v>
      </c>
      <c r="G1088" t="s">
        <v>50</v>
      </c>
      <c r="H1088">
        <v>3</v>
      </c>
      <c r="I1088">
        <v>1</v>
      </c>
      <c r="J1088" t="s">
        <v>34</v>
      </c>
      <c r="K1088">
        <v>152</v>
      </c>
      <c r="L1088">
        <v>393</v>
      </c>
      <c r="M1088">
        <v>824</v>
      </c>
      <c r="N1088">
        <v>152</v>
      </c>
      <c r="O1088">
        <v>45</v>
      </c>
      <c r="P1088">
        <v>875</v>
      </c>
      <c r="Q1088">
        <v>146</v>
      </c>
      <c r="R1088">
        <v>42</v>
      </c>
      <c r="S1088">
        <v>715</v>
      </c>
      <c r="T1088" t="s">
        <v>31</v>
      </c>
      <c r="U1088" t="s">
        <v>31</v>
      </c>
      <c r="V1088" t="s">
        <v>31</v>
      </c>
      <c r="W1088" t="s">
        <v>31</v>
      </c>
      <c r="X1088" t="s">
        <v>31</v>
      </c>
      <c r="Y1088" t="s">
        <v>31</v>
      </c>
    </row>
    <row r="1089" spans="1:25" hidden="1">
      <c r="A1089" t="s">
        <v>25</v>
      </c>
      <c r="B1089" t="s">
        <v>26</v>
      </c>
      <c r="C1089" t="s">
        <v>51</v>
      </c>
      <c r="D1089" s="1">
        <v>43310</v>
      </c>
      <c r="E1089" s="2">
        <v>0.66666666666666663</v>
      </c>
      <c r="F1089" t="s">
        <v>48</v>
      </c>
      <c r="G1089" t="s">
        <v>39</v>
      </c>
      <c r="H1089">
        <v>4</v>
      </c>
      <c r="I1089">
        <v>3</v>
      </c>
      <c r="J1089" t="s">
        <v>34</v>
      </c>
      <c r="K1089">
        <v>28</v>
      </c>
      <c r="L1089">
        <v>337</v>
      </c>
      <c r="M1089">
        <v>264</v>
      </c>
      <c r="N1089">
        <v>282</v>
      </c>
      <c r="O1089">
        <v>34</v>
      </c>
      <c r="P1089">
        <v>285</v>
      </c>
      <c r="Q1089">
        <v>27</v>
      </c>
      <c r="R1089">
        <v>32</v>
      </c>
      <c r="S1089">
        <v>261</v>
      </c>
      <c r="T1089" t="s">
        <v>31</v>
      </c>
      <c r="U1089" t="s">
        <v>31</v>
      </c>
      <c r="V1089" t="s">
        <v>31</v>
      </c>
      <c r="W1089" t="s">
        <v>31</v>
      </c>
      <c r="X1089" t="s">
        <v>31</v>
      </c>
      <c r="Y1089" t="s">
        <v>31</v>
      </c>
    </row>
    <row r="1090" spans="1:25" hidden="1">
      <c r="A1090" t="s">
        <v>25</v>
      </c>
      <c r="B1090" t="s">
        <v>26</v>
      </c>
      <c r="C1090" t="s">
        <v>51</v>
      </c>
      <c r="D1090" s="1">
        <v>43316</v>
      </c>
      <c r="E1090" s="2">
        <v>0.66666666666666663</v>
      </c>
      <c r="F1090" t="s">
        <v>32</v>
      </c>
      <c r="G1090" t="s">
        <v>29</v>
      </c>
      <c r="H1090">
        <v>0</v>
      </c>
      <c r="I1090">
        <v>2</v>
      </c>
      <c r="J1090" t="s">
        <v>30</v>
      </c>
      <c r="K1090">
        <v>698</v>
      </c>
      <c r="L1090">
        <v>43</v>
      </c>
      <c r="M1090">
        <v>152</v>
      </c>
      <c r="N1090">
        <v>7</v>
      </c>
      <c r="O1090">
        <v>464</v>
      </c>
      <c r="P1090">
        <v>152</v>
      </c>
      <c r="Q1090">
        <v>624</v>
      </c>
      <c r="R1090">
        <v>434</v>
      </c>
      <c r="S1090">
        <v>148</v>
      </c>
      <c r="T1090" t="s">
        <v>31</v>
      </c>
      <c r="U1090" t="s">
        <v>31</v>
      </c>
      <c r="V1090" t="s">
        <v>31</v>
      </c>
      <c r="W1090" t="s">
        <v>31</v>
      </c>
      <c r="X1090" t="s">
        <v>31</v>
      </c>
      <c r="Y1090" t="s">
        <v>31</v>
      </c>
    </row>
    <row r="1091" spans="1:25" hidden="1">
      <c r="A1091" t="s">
        <v>25</v>
      </c>
      <c r="B1091" t="s">
        <v>26</v>
      </c>
      <c r="C1091" t="s">
        <v>51</v>
      </c>
      <c r="D1091" s="1">
        <v>43316</v>
      </c>
      <c r="E1091" s="2">
        <v>0.66666666666666663</v>
      </c>
      <c r="F1091" t="s">
        <v>35</v>
      </c>
      <c r="G1091" t="s">
        <v>45</v>
      </c>
      <c r="H1091">
        <v>1</v>
      </c>
      <c r="I1091">
        <v>1</v>
      </c>
      <c r="J1091" t="s">
        <v>41</v>
      </c>
      <c r="K1091">
        <v>134</v>
      </c>
      <c r="L1091">
        <v>567</v>
      </c>
      <c r="M1091">
        <v>903</v>
      </c>
      <c r="N1091">
        <v>136</v>
      </c>
      <c r="O1091">
        <v>594</v>
      </c>
      <c r="P1091">
        <v>105</v>
      </c>
      <c r="Q1091">
        <v>131</v>
      </c>
      <c r="R1091">
        <v>526</v>
      </c>
      <c r="S1091">
        <v>878</v>
      </c>
      <c r="T1091" t="s">
        <v>31</v>
      </c>
      <c r="U1091" t="s">
        <v>31</v>
      </c>
      <c r="V1091" t="s">
        <v>31</v>
      </c>
      <c r="W1091" t="s">
        <v>31</v>
      </c>
      <c r="X1091" t="s">
        <v>31</v>
      </c>
      <c r="Y1091" t="s">
        <v>31</v>
      </c>
    </row>
    <row r="1092" spans="1:25" hidden="1">
      <c r="A1092" t="s">
        <v>25</v>
      </c>
      <c r="B1092" t="s">
        <v>26</v>
      </c>
      <c r="C1092" t="s">
        <v>51</v>
      </c>
      <c r="D1092" s="1">
        <v>43316</v>
      </c>
      <c r="E1092" s="2">
        <v>0.66666666666666663</v>
      </c>
      <c r="F1092" t="s">
        <v>36</v>
      </c>
      <c r="G1092" t="s">
        <v>28</v>
      </c>
      <c r="H1092">
        <v>2</v>
      </c>
      <c r="I1092">
        <v>3</v>
      </c>
      <c r="J1092" t="s">
        <v>30</v>
      </c>
      <c r="K1092">
        <v>37</v>
      </c>
      <c r="L1092">
        <v>37</v>
      </c>
      <c r="M1092">
        <v>203</v>
      </c>
      <c r="N1092">
        <v>38</v>
      </c>
      <c r="O1092">
        <v>37</v>
      </c>
      <c r="P1092">
        <v>22</v>
      </c>
      <c r="Q1092">
        <v>357</v>
      </c>
      <c r="R1092">
        <v>347</v>
      </c>
      <c r="S1092">
        <v>201</v>
      </c>
      <c r="T1092" t="s">
        <v>31</v>
      </c>
      <c r="U1092" t="s">
        <v>31</v>
      </c>
      <c r="V1092" t="s">
        <v>31</v>
      </c>
      <c r="W1092" t="s">
        <v>31</v>
      </c>
      <c r="X1092" t="s">
        <v>31</v>
      </c>
      <c r="Y1092" t="s">
        <v>31</v>
      </c>
    </row>
    <row r="1093" spans="1:25" hidden="1">
      <c r="A1093" t="s">
        <v>25</v>
      </c>
      <c r="B1093" t="s">
        <v>26</v>
      </c>
      <c r="C1093" t="s">
        <v>51</v>
      </c>
      <c r="D1093" s="1">
        <v>43317</v>
      </c>
      <c r="E1093" s="2">
        <v>0.66666666666666663</v>
      </c>
      <c r="F1093" t="s">
        <v>39</v>
      </c>
      <c r="G1093" t="s">
        <v>40</v>
      </c>
      <c r="H1093">
        <v>1</v>
      </c>
      <c r="I1093">
        <v>0</v>
      </c>
      <c r="J1093" t="s">
        <v>34</v>
      </c>
      <c r="K1093">
        <v>299</v>
      </c>
      <c r="L1093">
        <v>373</v>
      </c>
      <c r="M1093">
        <v>232</v>
      </c>
      <c r="N1093">
        <v>36</v>
      </c>
      <c r="O1093">
        <v>373</v>
      </c>
      <c r="P1093">
        <v>239</v>
      </c>
      <c r="Q1093">
        <v>296</v>
      </c>
      <c r="R1093">
        <v>349</v>
      </c>
      <c r="S1093">
        <v>228</v>
      </c>
      <c r="T1093" t="s">
        <v>31</v>
      </c>
      <c r="U1093" t="s">
        <v>31</v>
      </c>
      <c r="V1093" t="s">
        <v>31</v>
      </c>
      <c r="W1093" t="s">
        <v>31</v>
      </c>
      <c r="X1093" t="s">
        <v>31</v>
      </c>
      <c r="Y1093" t="s">
        <v>31</v>
      </c>
    </row>
    <row r="1094" spans="1:25" hidden="1">
      <c r="A1094" t="s">
        <v>25</v>
      </c>
      <c r="B1094" t="s">
        <v>26</v>
      </c>
      <c r="C1094" t="s">
        <v>51</v>
      </c>
      <c r="D1094" s="1">
        <v>43317</v>
      </c>
      <c r="E1094" s="2">
        <v>0.66666666666666663</v>
      </c>
      <c r="F1094" t="s">
        <v>52</v>
      </c>
      <c r="G1094" t="s">
        <v>37</v>
      </c>
      <c r="H1094">
        <v>0</v>
      </c>
      <c r="I1094">
        <v>1</v>
      </c>
      <c r="J1094" t="s">
        <v>30</v>
      </c>
      <c r="K1094">
        <v>201</v>
      </c>
      <c r="L1094">
        <v>394</v>
      </c>
      <c r="M1094">
        <v>356</v>
      </c>
      <c r="N1094">
        <v>203</v>
      </c>
      <c r="O1094">
        <v>399</v>
      </c>
      <c r="P1094">
        <v>395</v>
      </c>
      <c r="Q1094">
        <v>196</v>
      </c>
      <c r="R1094">
        <v>371</v>
      </c>
      <c r="S1094">
        <v>353</v>
      </c>
      <c r="T1094" t="s">
        <v>31</v>
      </c>
      <c r="U1094" t="s">
        <v>31</v>
      </c>
      <c r="V1094" t="s">
        <v>31</v>
      </c>
      <c r="W1094" t="s">
        <v>31</v>
      </c>
      <c r="X1094" t="s">
        <v>31</v>
      </c>
      <c r="Y1094" t="s">
        <v>31</v>
      </c>
    </row>
    <row r="1095" spans="1:25" hidden="1">
      <c r="A1095" t="s">
        <v>25</v>
      </c>
      <c r="B1095" t="s">
        <v>26</v>
      </c>
      <c r="C1095" t="s">
        <v>51</v>
      </c>
      <c r="D1095" s="1">
        <v>43317</v>
      </c>
      <c r="E1095" s="2">
        <v>0.66666666666666663</v>
      </c>
      <c r="F1095" t="s">
        <v>50</v>
      </c>
      <c r="G1095" t="s">
        <v>48</v>
      </c>
      <c r="H1095">
        <v>0</v>
      </c>
      <c r="I1095">
        <v>0</v>
      </c>
      <c r="J1095" t="s">
        <v>41</v>
      </c>
      <c r="K1095">
        <v>16</v>
      </c>
      <c r="L1095">
        <v>397</v>
      </c>
      <c r="M1095">
        <v>637</v>
      </c>
      <c r="N1095">
        <v>167</v>
      </c>
      <c r="O1095">
        <v>423</v>
      </c>
      <c r="P1095">
        <v>727</v>
      </c>
      <c r="Q1095">
        <v>156</v>
      </c>
      <c r="R1095">
        <v>397</v>
      </c>
      <c r="S1095">
        <v>583</v>
      </c>
      <c r="T1095" t="s">
        <v>31</v>
      </c>
      <c r="U1095" t="s">
        <v>31</v>
      </c>
      <c r="V1095" t="s">
        <v>31</v>
      </c>
      <c r="W1095" t="s">
        <v>31</v>
      </c>
      <c r="X1095" t="s">
        <v>31</v>
      </c>
      <c r="Y1095" t="s">
        <v>31</v>
      </c>
    </row>
    <row r="1096" spans="1:25" hidden="1">
      <c r="A1096" t="s">
        <v>25</v>
      </c>
      <c r="B1096" t="s">
        <v>26</v>
      </c>
      <c r="C1096" t="s">
        <v>51</v>
      </c>
      <c r="D1096" s="1">
        <v>43323</v>
      </c>
      <c r="E1096" s="2">
        <v>0.66666666666666663</v>
      </c>
      <c r="F1096" t="s">
        <v>45</v>
      </c>
      <c r="G1096" t="s">
        <v>36</v>
      </c>
      <c r="H1096">
        <v>1</v>
      </c>
      <c r="I1096">
        <v>2</v>
      </c>
      <c r="J1096" t="s">
        <v>30</v>
      </c>
      <c r="K1096">
        <v>203</v>
      </c>
      <c r="L1096">
        <v>358</v>
      </c>
      <c r="M1096">
        <v>382</v>
      </c>
      <c r="N1096">
        <v>206</v>
      </c>
      <c r="O1096">
        <v>36</v>
      </c>
      <c r="P1096">
        <v>388</v>
      </c>
      <c r="Q1096">
        <v>2</v>
      </c>
      <c r="R1096">
        <v>346</v>
      </c>
      <c r="S1096">
        <v>365</v>
      </c>
      <c r="T1096" t="s">
        <v>31</v>
      </c>
      <c r="U1096" t="s">
        <v>31</v>
      </c>
      <c r="V1096" t="s">
        <v>31</v>
      </c>
      <c r="W1096" t="s">
        <v>31</v>
      </c>
      <c r="X1096" t="s">
        <v>31</v>
      </c>
      <c r="Y1096" t="s">
        <v>31</v>
      </c>
    </row>
    <row r="1097" spans="1:25" hidden="1">
      <c r="A1097" t="s">
        <v>25</v>
      </c>
      <c r="B1097" t="s">
        <v>26</v>
      </c>
      <c r="C1097" t="s">
        <v>51</v>
      </c>
      <c r="D1097" s="1">
        <v>43323</v>
      </c>
      <c r="E1097" s="2">
        <v>0.66666666666666663</v>
      </c>
      <c r="F1097" t="s">
        <v>52</v>
      </c>
      <c r="G1097" t="s">
        <v>32</v>
      </c>
      <c r="H1097">
        <v>4</v>
      </c>
      <c r="I1097">
        <v>2</v>
      </c>
      <c r="J1097" t="s">
        <v>34</v>
      </c>
      <c r="K1097">
        <v>307</v>
      </c>
      <c r="L1097">
        <v>37</v>
      </c>
      <c r="M1097">
        <v>229</v>
      </c>
      <c r="N1097">
        <v>33</v>
      </c>
      <c r="O1097">
        <v>37</v>
      </c>
      <c r="P1097">
        <v>239</v>
      </c>
      <c r="Q1097">
        <v>3</v>
      </c>
      <c r="R1097">
        <v>345</v>
      </c>
      <c r="S1097">
        <v>226</v>
      </c>
      <c r="T1097" t="s">
        <v>31</v>
      </c>
      <c r="U1097" t="s">
        <v>31</v>
      </c>
      <c r="V1097" t="s">
        <v>31</v>
      </c>
      <c r="W1097" t="s">
        <v>31</v>
      </c>
      <c r="X1097" t="s">
        <v>31</v>
      </c>
      <c r="Y1097" t="s">
        <v>31</v>
      </c>
    </row>
    <row r="1098" spans="1:25" hidden="1">
      <c r="A1098" t="s">
        <v>25</v>
      </c>
      <c r="B1098" t="s">
        <v>26</v>
      </c>
      <c r="C1098" t="s">
        <v>51</v>
      </c>
      <c r="D1098" s="1">
        <v>43323</v>
      </c>
      <c r="E1098" s="2">
        <v>0.66666666666666663</v>
      </c>
      <c r="F1098" t="s">
        <v>29</v>
      </c>
      <c r="G1098" t="s">
        <v>40</v>
      </c>
      <c r="H1098">
        <v>2</v>
      </c>
      <c r="I1098">
        <v>0</v>
      </c>
      <c r="J1098" t="s">
        <v>34</v>
      </c>
      <c r="K1098">
        <v>125</v>
      </c>
      <c r="L1098">
        <v>641</v>
      </c>
      <c r="M1098">
        <v>1332</v>
      </c>
      <c r="N1098">
        <v>135</v>
      </c>
      <c r="O1098">
        <v>644</v>
      </c>
      <c r="P1098">
        <v>1337</v>
      </c>
      <c r="Q1098">
        <v>126</v>
      </c>
      <c r="R1098">
        <v>576</v>
      </c>
      <c r="S1098">
        <v>1111</v>
      </c>
      <c r="T1098" t="s">
        <v>31</v>
      </c>
      <c r="U1098" t="s">
        <v>31</v>
      </c>
      <c r="V1098" t="s">
        <v>31</v>
      </c>
      <c r="W1098" t="s">
        <v>31</v>
      </c>
      <c r="X1098" t="s">
        <v>31</v>
      </c>
      <c r="Y1098" t="s">
        <v>31</v>
      </c>
    </row>
    <row r="1099" spans="1:25" hidden="1">
      <c r="A1099" t="s">
        <v>25</v>
      </c>
      <c r="B1099" t="s">
        <v>26</v>
      </c>
      <c r="C1099" t="s">
        <v>51</v>
      </c>
      <c r="D1099" s="1">
        <v>43324</v>
      </c>
      <c r="E1099" s="2">
        <v>0.66666666666666663</v>
      </c>
      <c r="F1099" t="s">
        <v>37</v>
      </c>
      <c r="G1099" t="s">
        <v>50</v>
      </c>
      <c r="H1099">
        <v>0</v>
      </c>
      <c r="I1099">
        <v>1</v>
      </c>
      <c r="J1099" t="s">
        <v>30</v>
      </c>
      <c r="K1099">
        <v>362</v>
      </c>
      <c r="L1099">
        <v>346</v>
      </c>
      <c r="M1099">
        <v>214</v>
      </c>
      <c r="N1099">
        <v>39</v>
      </c>
      <c r="O1099">
        <v>354</v>
      </c>
      <c r="P1099">
        <v>215</v>
      </c>
      <c r="Q1099">
        <v>349</v>
      </c>
      <c r="R1099">
        <v>341</v>
      </c>
      <c r="S1099">
        <v>207</v>
      </c>
      <c r="T1099" t="s">
        <v>31</v>
      </c>
      <c r="U1099" t="s">
        <v>31</v>
      </c>
      <c r="V1099" t="s">
        <v>31</v>
      </c>
      <c r="W1099" t="s">
        <v>31</v>
      </c>
      <c r="X1099" t="s">
        <v>31</v>
      </c>
      <c r="Y1099" t="s">
        <v>31</v>
      </c>
    </row>
    <row r="1100" spans="1:25" hidden="1">
      <c r="A1100" t="s">
        <v>25</v>
      </c>
      <c r="B1100" t="s">
        <v>26</v>
      </c>
      <c r="C1100" t="s">
        <v>51</v>
      </c>
      <c r="D1100" s="1">
        <v>43324</v>
      </c>
      <c r="E1100" s="2">
        <v>0.66666666666666663</v>
      </c>
      <c r="F1100" t="s">
        <v>35</v>
      </c>
      <c r="G1100" t="s">
        <v>39</v>
      </c>
      <c r="H1100">
        <v>0</v>
      </c>
      <c r="I1100">
        <v>0</v>
      </c>
      <c r="J1100" t="s">
        <v>41</v>
      </c>
      <c r="K1100">
        <v>149</v>
      </c>
      <c r="L1100">
        <v>462</v>
      </c>
      <c r="M1100">
        <v>689</v>
      </c>
      <c r="N1100">
        <v>154</v>
      </c>
      <c r="O1100">
        <v>462</v>
      </c>
      <c r="P1100">
        <v>75</v>
      </c>
      <c r="Q1100">
        <v>148</v>
      </c>
      <c r="R1100">
        <v>434</v>
      </c>
      <c r="S1100">
        <v>639</v>
      </c>
      <c r="T1100" t="s">
        <v>31</v>
      </c>
      <c r="U1100" t="s">
        <v>31</v>
      </c>
      <c r="V1100" t="s">
        <v>31</v>
      </c>
      <c r="W1100" t="s">
        <v>31</v>
      </c>
      <c r="X1100" t="s">
        <v>31</v>
      </c>
      <c r="Y1100" t="s">
        <v>31</v>
      </c>
    </row>
    <row r="1101" spans="1:25" hidden="1">
      <c r="A1101" t="s">
        <v>25</v>
      </c>
      <c r="B1101" t="s">
        <v>26</v>
      </c>
      <c r="C1101" t="s">
        <v>51</v>
      </c>
      <c r="D1101" s="1">
        <v>43324</v>
      </c>
      <c r="E1101" s="2">
        <v>0.66666666666666663</v>
      </c>
      <c r="F1101" t="s">
        <v>48</v>
      </c>
      <c r="G1101" t="s">
        <v>28</v>
      </c>
      <c r="H1101">
        <v>2</v>
      </c>
      <c r="I1101">
        <v>0</v>
      </c>
      <c r="J1101" t="s">
        <v>34</v>
      </c>
      <c r="K1101">
        <v>38</v>
      </c>
      <c r="L1101">
        <v>348</v>
      </c>
      <c r="M1101">
        <v>207</v>
      </c>
      <c r="N1101">
        <v>38</v>
      </c>
      <c r="O1101">
        <v>361</v>
      </c>
      <c r="P1101">
        <v>215</v>
      </c>
      <c r="Q1101">
        <v>35</v>
      </c>
      <c r="R1101">
        <v>346</v>
      </c>
      <c r="S1101">
        <v>205</v>
      </c>
      <c r="T1101" t="s">
        <v>31</v>
      </c>
      <c r="U1101" t="s">
        <v>31</v>
      </c>
      <c r="V1101" t="s">
        <v>31</v>
      </c>
      <c r="W1101" t="s">
        <v>31</v>
      </c>
      <c r="X1101" t="s">
        <v>31</v>
      </c>
      <c r="Y1101" t="s">
        <v>31</v>
      </c>
    </row>
    <row r="1102" spans="1:25" hidden="1">
      <c r="A1102" t="s">
        <v>25</v>
      </c>
      <c r="B1102" t="s">
        <v>26</v>
      </c>
      <c r="C1102" t="s">
        <v>51</v>
      </c>
      <c r="D1102" s="1">
        <v>43330</v>
      </c>
      <c r="E1102" s="2">
        <v>0.66666666666666663</v>
      </c>
      <c r="F1102" t="s">
        <v>32</v>
      </c>
      <c r="G1102" t="s">
        <v>39</v>
      </c>
      <c r="H1102">
        <v>0</v>
      </c>
      <c r="I1102">
        <v>6</v>
      </c>
      <c r="J1102" t="s">
        <v>30</v>
      </c>
      <c r="K1102">
        <v>225</v>
      </c>
      <c r="L1102">
        <v>361</v>
      </c>
      <c r="M1102">
        <v>32</v>
      </c>
      <c r="N1102">
        <v>243</v>
      </c>
      <c r="O1102">
        <v>362</v>
      </c>
      <c r="P1102">
        <v>325</v>
      </c>
      <c r="Q1102">
        <v>228</v>
      </c>
      <c r="R1102">
        <v>34</v>
      </c>
      <c r="S1102">
        <v>302</v>
      </c>
      <c r="T1102" t="s">
        <v>31</v>
      </c>
      <c r="U1102" t="s">
        <v>31</v>
      </c>
      <c r="V1102" t="s">
        <v>31</v>
      </c>
      <c r="W1102" t="s">
        <v>31</v>
      </c>
      <c r="X1102" t="s">
        <v>31</v>
      </c>
      <c r="Y1102" t="s">
        <v>31</v>
      </c>
    </row>
    <row r="1103" spans="1:25" hidden="1">
      <c r="A1103" t="s">
        <v>25</v>
      </c>
      <c r="B1103" t="s">
        <v>26</v>
      </c>
      <c r="C1103" t="s">
        <v>51</v>
      </c>
      <c r="D1103" s="1">
        <v>43330</v>
      </c>
      <c r="E1103" s="2">
        <v>0.66666666666666663</v>
      </c>
      <c r="F1103" t="s">
        <v>29</v>
      </c>
      <c r="G1103" t="s">
        <v>52</v>
      </c>
      <c r="H1103">
        <v>2</v>
      </c>
      <c r="I1103">
        <v>0</v>
      </c>
      <c r="J1103" t="s">
        <v>34</v>
      </c>
      <c r="K1103">
        <v>122</v>
      </c>
      <c r="L1103">
        <v>717</v>
      </c>
      <c r="M1103">
        <v>136</v>
      </c>
      <c r="N1103">
        <v>124</v>
      </c>
      <c r="O1103">
        <v>72</v>
      </c>
      <c r="P1103">
        <v>1572</v>
      </c>
      <c r="Q1103">
        <v>121</v>
      </c>
      <c r="R1103">
        <v>656</v>
      </c>
      <c r="S1103">
        <v>121</v>
      </c>
      <c r="T1103" t="s">
        <v>31</v>
      </c>
      <c r="U1103" t="s">
        <v>31</v>
      </c>
      <c r="V1103" t="s">
        <v>31</v>
      </c>
      <c r="W1103" t="s">
        <v>31</v>
      </c>
      <c r="X1103" t="s">
        <v>31</v>
      </c>
      <c r="Y1103" t="s">
        <v>31</v>
      </c>
    </row>
    <row r="1104" spans="1:25" hidden="1">
      <c r="A1104" t="s">
        <v>25</v>
      </c>
      <c r="B1104" t="s">
        <v>26</v>
      </c>
      <c r="C1104" t="s">
        <v>51</v>
      </c>
      <c r="D1104" s="1">
        <v>43330</v>
      </c>
      <c r="E1104" s="2">
        <v>0.66666666666666663</v>
      </c>
      <c r="F1104" t="s">
        <v>36</v>
      </c>
      <c r="G1104" t="s">
        <v>48</v>
      </c>
      <c r="H1104">
        <v>0</v>
      </c>
      <c r="I1104">
        <v>2</v>
      </c>
      <c r="J1104" t="s">
        <v>30</v>
      </c>
      <c r="K1104">
        <v>211</v>
      </c>
      <c r="L1104">
        <v>347</v>
      </c>
      <c r="M1104">
        <v>368</v>
      </c>
      <c r="N1104">
        <v>211</v>
      </c>
      <c r="O1104">
        <v>37</v>
      </c>
      <c r="P1104">
        <v>45</v>
      </c>
      <c r="Q1104">
        <v>196</v>
      </c>
      <c r="R1104">
        <v>35</v>
      </c>
      <c r="S1104">
        <v>374</v>
      </c>
      <c r="T1104" t="s">
        <v>31</v>
      </c>
      <c r="U1104" t="s">
        <v>31</v>
      </c>
      <c r="V1104" t="s">
        <v>31</v>
      </c>
      <c r="W1104" t="s">
        <v>31</v>
      </c>
      <c r="X1104" t="s">
        <v>31</v>
      </c>
      <c r="Y1104" t="s">
        <v>31</v>
      </c>
    </row>
    <row r="1105" spans="1:25" hidden="1">
      <c r="A1105" t="s">
        <v>25</v>
      </c>
      <c r="B1105" t="s">
        <v>26</v>
      </c>
      <c r="C1105" t="s">
        <v>51</v>
      </c>
      <c r="D1105" s="1">
        <v>43331</v>
      </c>
      <c r="E1105" s="2">
        <v>0.66666666666666663</v>
      </c>
      <c r="F1105" t="s">
        <v>40</v>
      </c>
      <c r="G1105" t="s">
        <v>37</v>
      </c>
      <c r="H1105">
        <v>4</v>
      </c>
      <c r="I1105">
        <v>0</v>
      </c>
      <c r="J1105" t="s">
        <v>34</v>
      </c>
      <c r="K1105">
        <v>145</v>
      </c>
      <c r="L1105">
        <v>49</v>
      </c>
      <c r="M1105">
        <v>72</v>
      </c>
      <c r="N1105">
        <v>15</v>
      </c>
      <c r="O1105">
        <v>516</v>
      </c>
      <c r="P1105">
        <v>75</v>
      </c>
      <c r="Q1105">
        <v>142</v>
      </c>
      <c r="R1105">
        <v>474</v>
      </c>
      <c r="S1105">
        <v>673</v>
      </c>
      <c r="T1105" t="s">
        <v>31</v>
      </c>
      <c r="U1105" t="s">
        <v>31</v>
      </c>
      <c r="V1105" t="s">
        <v>31</v>
      </c>
      <c r="W1105" t="s">
        <v>31</v>
      </c>
      <c r="X1105" t="s">
        <v>31</v>
      </c>
      <c r="Y1105" t="s">
        <v>31</v>
      </c>
    </row>
    <row r="1106" spans="1:25" hidden="1">
      <c r="A1106" t="s">
        <v>25</v>
      </c>
      <c r="B1106" t="s">
        <v>26</v>
      </c>
      <c r="C1106" t="s">
        <v>51</v>
      </c>
      <c r="D1106" s="1">
        <v>43331</v>
      </c>
      <c r="E1106" s="2">
        <v>0.66666666666666663</v>
      </c>
      <c r="F1106" t="s">
        <v>50</v>
      </c>
      <c r="G1106" t="s">
        <v>35</v>
      </c>
      <c r="H1106">
        <v>2</v>
      </c>
      <c r="I1106">
        <v>1</v>
      </c>
      <c r="J1106" t="s">
        <v>34</v>
      </c>
      <c r="K1106">
        <v>207</v>
      </c>
      <c r="L1106">
        <v>354</v>
      </c>
      <c r="M1106">
        <v>374</v>
      </c>
      <c r="N1106">
        <v>24</v>
      </c>
      <c r="O1106">
        <v>355</v>
      </c>
      <c r="P1106">
        <v>374</v>
      </c>
      <c r="Q1106">
        <v>214</v>
      </c>
      <c r="R1106">
        <v>336</v>
      </c>
      <c r="S1106">
        <v>336</v>
      </c>
      <c r="T1106" t="s">
        <v>31</v>
      </c>
      <c r="U1106" t="s">
        <v>31</v>
      </c>
      <c r="V1106" t="s">
        <v>31</v>
      </c>
      <c r="W1106" t="s">
        <v>31</v>
      </c>
      <c r="X1106" t="s">
        <v>31</v>
      </c>
      <c r="Y1106" t="s">
        <v>31</v>
      </c>
    </row>
    <row r="1107" spans="1:25" hidden="1">
      <c r="A1107" t="s">
        <v>25</v>
      </c>
      <c r="B1107" t="s">
        <v>26</v>
      </c>
      <c r="C1107" t="s">
        <v>51</v>
      </c>
      <c r="D1107" s="1">
        <v>43331</v>
      </c>
      <c r="E1107" s="2">
        <v>0.66666666666666663</v>
      </c>
      <c r="F1107" t="s">
        <v>28</v>
      </c>
      <c r="G1107" t="s">
        <v>45</v>
      </c>
      <c r="H1107">
        <v>1</v>
      </c>
      <c r="I1107">
        <v>1</v>
      </c>
      <c r="J1107" t="s">
        <v>41</v>
      </c>
      <c r="K1107">
        <v>169</v>
      </c>
      <c r="L1107">
        <v>398</v>
      </c>
      <c r="M1107">
        <v>519</v>
      </c>
      <c r="N1107">
        <v>17</v>
      </c>
      <c r="O1107">
        <v>42</v>
      </c>
      <c r="P1107">
        <v>534</v>
      </c>
      <c r="Q1107">
        <v>165</v>
      </c>
      <c r="R1107">
        <v>394</v>
      </c>
      <c r="S1107">
        <v>493</v>
      </c>
      <c r="T1107" t="s">
        <v>31</v>
      </c>
      <c r="U1107" t="s">
        <v>31</v>
      </c>
      <c r="V1107" t="s">
        <v>31</v>
      </c>
      <c r="W1107" t="s">
        <v>31</v>
      </c>
      <c r="X1107" t="s">
        <v>31</v>
      </c>
      <c r="Y1107" t="s">
        <v>31</v>
      </c>
    </row>
    <row r="1108" spans="1:25" hidden="1">
      <c r="A1108" t="s">
        <v>25</v>
      </c>
      <c r="B1108" t="s">
        <v>26</v>
      </c>
      <c r="C1108" t="s">
        <v>51</v>
      </c>
      <c r="D1108" s="1">
        <v>43337</v>
      </c>
      <c r="E1108" s="2">
        <v>0.66666666666666663</v>
      </c>
      <c r="F1108" t="s">
        <v>39</v>
      </c>
      <c r="G1108" t="s">
        <v>28</v>
      </c>
      <c r="H1108">
        <v>1</v>
      </c>
      <c r="I1108">
        <v>1</v>
      </c>
      <c r="J1108" t="s">
        <v>41</v>
      </c>
      <c r="K1108">
        <v>271</v>
      </c>
      <c r="L1108">
        <v>348</v>
      </c>
      <c r="M1108">
        <v>267</v>
      </c>
      <c r="N1108">
        <v>276</v>
      </c>
      <c r="O1108">
        <v>35</v>
      </c>
      <c r="P1108">
        <v>276</v>
      </c>
      <c r="Q1108">
        <v>264</v>
      </c>
      <c r="R1108">
        <v>333</v>
      </c>
      <c r="S1108">
        <v>26</v>
      </c>
      <c r="T1108" t="s">
        <v>31</v>
      </c>
      <c r="U1108" t="s">
        <v>31</v>
      </c>
      <c r="V1108" t="s">
        <v>31</v>
      </c>
      <c r="W1108" t="s">
        <v>31</v>
      </c>
      <c r="X1108" t="s">
        <v>31</v>
      </c>
      <c r="Y1108" t="s">
        <v>31</v>
      </c>
    </row>
    <row r="1109" spans="1:25" hidden="1">
      <c r="A1109" t="s">
        <v>25</v>
      </c>
      <c r="B1109" t="s">
        <v>26</v>
      </c>
      <c r="C1109" t="s">
        <v>51</v>
      </c>
      <c r="D1109" s="1">
        <v>43337</v>
      </c>
      <c r="E1109" s="2">
        <v>0.66666666666666663</v>
      </c>
      <c r="F1109" t="s">
        <v>45</v>
      </c>
      <c r="G1109" t="s">
        <v>29</v>
      </c>
      <c r="H1109">
        <v>2</v>
      </c>
      <c r="I1109">
        <v>3</v>
      </c>
      <c r="J1109" t="s">
        <v>30</v>
      </c>
      <c r="K1109">
        <v>739</v>
      </c>
      <c r="L1109">
        <v>416</v>
      </c>
      <c r="M1109">
        <v>152</v>
      </c>
      <c r="N1109">
        <v>753</v>
      </c>
      <c r="O1109">
        <v>42</v>
      </c>
      <c r="P1109">
        <v>17</v>
      </c>
      <c r="Q1109">
        <v>646</v>
      </c>
      <c r="R1109">
        <v>395</v>
      </c>
      <c r="S1109">
        <v>153</v>
      </c>
      <c r="T1109" t="s">
        <v>31</v>
      </c>
      <c r="U1109" t="s">
        <v>31</v>
      </c>
      <c r="V1109" t="s">
        <v>31</v>
      </c>
      <c r="W1109" t="s">
        <v>31</v>
      </c>
      <c r="X1109" t="s">
        <v>31</v>
      </c>
      <c r="Y1109" t="s">
        <v>31</v>
      </c>
    </row>
    <row r="1110" spans="1:25" hidden="1">
      <c r="A1110" t="s">
        <v>25</v>
      </c>
      <c r="B1110" t="s">
        <v>26</v>
      </c>
      <c r="C1110" t="s">
        <v>51</v>
      </c>
      <c r="D1110" s="1">
        <v>43337</v>
      </c>
      <c r="E1110" s="2">
        <v>0.66666666666666663</v>
      </c>
      <c r="F1110" t="s">
        <v>48</v>
      </c>
      <c r="G1110" t="s">
        <v>40</v>
      </c>
      <c r="H1110">
        <v>0</v>
      </c>
      <c r="I1110">
        <v>0</v>
      </c>
      <c r="J1110" t="s">
        <v>41</v>
      </c>
      <c r="K1110">
        <v>349</v>
      </c>
      <c r="L1110">
        <v>377</v>
      </c>
      <c r="M1110">
        <v>208</v>
      </c>
      <c r="N1110">
        <v>352</v>
      </c>
      <c r="O1110">
        <v>378</v>
      </c>
      <c r="P1110">
        <v>23</v>
      </c>
      <c r="Q1110">
        <v>337</v>
      </c>
      <c r="R1110">
        <v>356</v>
      </c>
      <c r="S1110">
        <v>206</v>
      </c>
      <c r="T1110" t="s">
        <v>31</v>
      </c>
      <c r="U1110" t="s">
        <v>31</v>
      </c>
      <c r="V1110" t="s">
        <v>31</v>
      </c>
      <c r="W1110" t="s">
        <v>31</v>
      </c>
      <c r="X1110" t="s">
        <v>31</v>
      </c>
      <c r="Y1110" t="s">
        <v>31</v>
      </c>
    </row>
    <row r="1111" spans="1:25" hidden="1">
      <c r="A1111" t="s">
        <v>25</v>
      </c>
      <c r="B1111" t="s">
        <v>26</v>
      </c>
      <c r="C1111" t="s">
        <v>51</v>
      </c>
      <c r="D1111" s="1">
        <v>43338</v>
      </c>
      <c r="E1111" s="2">
        <v>0.66666666666666663</v>
      </c>
      <c r="F1111" t="s">
        <v>37</v>
      </c>
      <c r="G1111" t="s">
        <v>32</v>
      </c>
      <c r="H1111">
        <v>0</v>
      </c>
      <c r="I1111">
        <v>0</v>
      </c>
      <c r="J1111" t="s">
        <v>41</v>
      </c>
      <c r="K1111">
        <v>301</v>
      </c>
      <c r="L1111">
        <v>382</v>
      </c>
      <c r="M1111">
        <v>228</v>
      </c>
      <c r="N1111">
        <v>33</v>
      </c>
      <c r="O1111">
        <v>382</v>
      </c>
      <c r="P1111">
        <v>228</v>
      </c>
      <c r="Q1111">
        <v>306</v>
      </c>
      <c r="R1111">
        <v>365</v>
      </c>
      <c r="S1111">
        <v>217</v>
      </c>
      <c r="T1111" t="s">
        <v>31</v>
      </c>
      <c r="U1111" t="s">
        <v>31</v>
      </c>
      <c r="V1111" t="s">
        <v>31</v>
      </c>
      <c r="W1111" t="s">
        <v>31</v>
      </c>
      <c r="X1111" t="s">
        <v>31</v>
      </c>
      <c r="Y1111" t="s">
        <v>31</v>
      </c>
    </row>
    <row r="1112" spans="1:25" hidden="1">
      <c r="A1112" t="s">
        <v>25</v>
      </c>
      <c r="B1112" t="s">
        <v>26</v>
      </c>
      <c r="C1112" t="s">
        <v>51</v>
      </c>
      <c r="D1112" s="1">
        <v>43338</v>
      </c>
      <c r="E1112" s="2">
        <v>0.66666666666666663</v>
      </c>
      <c r="F1112" t="s">
        <v>52</v>
      </c>
      <c r="G1112" t="s">
        <v>50</v>
      </c>
      <c r="H1112">
        <v>0</v>
      </c>
      <c r="I1112">
        <v>1</v>
      </c>
      <c r="J1112" t="s">
        <v>30</v>
      </c>
      <c r="K1112">
        <v>431</v>
      </c>
      <c r="L1112">
        <v>389</v>
      </c>
      <c r="M1112">
        <v>184</v>
      </c>
      <c r="N1112">
        <v>44</v>
      </c>
      <c r="O1112">
        <v>389</v>
      </c>
      <c r="P1112">
        <v>193</v>
      </c>
      <c r="Q1112">
        <v>406</v>
      </c>
      <c r="R1112">
        <v>368</v>
      </c>
      <c r="S1112">
        <v>184</v>
      </c>
      <c r="T1112" t="s">
        <v>31</v>
      </c>
      <c r="U1112" t="s">
        <v>31</v>
      </c>
      <c r="V1112" t="s">
        <v>31</v>
      </c>
      <c r="W1112" t="s">
        <v>31</v>
      </c>
      <c r="X1112" t="s">
        <v>31</v>
      </c>
      <c r="Y1112" t="s">
        <v>31</v>
      </c>
    </row>
    <row r="1113" spans="1:25" hidden="1">
      <c r="A1113" t="s">
        <v>25</v>
      </c>
      <c r="B1113" t="s">
        <v>26</v>
      </c>
      <c r="C1113" t="s">
        <v>51</v>
      </c>
      <c r="D1113" s="1">
        <v>43338</v>
      </c>
      <c r="E1113" s="2">
        <v>0.66666666666666663</v>
      </c>
      <c r="F1113" t="s">
        <v>35</v>
      </c>
      <c r="G1113" t="s">
        <v>36</v>
      </c>
      <c r="H1113">
        <v>2</v>
      </c>
      <c r="I1113">
        <v>1</v>
      </c>
      <c r="J1113" t="s">
        <v>34</v>
      </c>
      <c r="K1113">
        <v>147</v>
      </c>
      <c r="L1113">
        <v>492</v>
      </c>
      <c r="M1113">
        <v>676</v>
      </c>
      <c r="N1113">
        <v>152</v>
      </c>
      <c r="O1113">
        <v>492</v>
      </c>
      <c r="P1113">
        <v>692</v>
      </c>
      <c r="Q1113">
        <v>146</v>
      </c>
      <c r="R1113">
        <v>46</v>
      </c>
      <c r="S1113">
        <v>623</v>
      </c>
      <c r="T1113" t="s">
        <v>31</v>
      </c>
      <c r="U1113" t="s">
        <v>31</v>
      </c>
      <c r="V1113" t="s">
        <v>31</v>
      </c>
      <c r="W1113" t="s">
        <v>31</v>
      </c>
      <c r="X1113" t="s">
        <v>31</v>
      </c>
      <c r="Y1113" t="s">
        <v>31</v>
      </c>
    </row>
    <row r="1114" spans="1:25" hidden="1">
      <c r="A1114" t="s">
        <v>25</v>
      </c>
      <c r="B1114" t="s">
        <v>26</v>
      </c>
      <c r="C1114" t="s">
        <v>51</v>
      </c>
      <c r="D1114" s="1">
        <v>43344</v>
      </c>
      <c r="E1114" s="2">
        <v>0.66666666666666663</v>
      </c>
      <c r="F1114" t="s">
        <v>45</v>
      </c>
      <c r="G1114" t="s">
        <v>48</v>
      </c>
      <c r="H1114">
        <v>1</v>
      </c>
      <c r="I1114">
        <v>2</v>
      </c>
      <c r="J1114" t="s">
        <v>30</v>
      </c>
      <c r="K1114">
        <v>211</v>
      </c>
      <c r="L1114">
        <v>364</v>
      </c>
      <c r="M1114">
        <v>352</v>
      </c>
      <c r="N1114">
        <v>228</v>
      </c>
      <c r="O1114">
        <v>364</v>
      </c>
      <c r="P1114">
        <v>36</v>
      </c>
      <c r="Q1114">
        <v>21</v>
      </c>
      <c r="R1114">
        <v>344</v>
      </c>
      <c r="S1114">
        <v>339</v>
      </c>
      <c r="T1114" t="s">
        <v>31</v>
      </c>
      <c r="U1114" t="s">
        <v>31</v>
      </c>
      <c r="V1114" t="s">
        <v>31</v>
      </c>
      <c r="W1114" t="s">
        <v>31</v>
      </c>
      <c r="X1114" t="s">
        <v>31</v>
      </c>
      <c r="Y1114" t="s">
        <v>31</v>
      </c>
    </row>
    <row r="1115" spans="1:25" hidden="1">
      <c r="A1115" t="s">
        <v>25</v>
      </c>
      <c r="B1115" t="s">
        <v>26</v>
      </c>
      <c r="C1115" t="s">
        <v>51</v>
      </c>
      <c r="D1115" s="1">
        <v>43344</v>
      </c>
      <c r="E1115" s="2">
        <v>0.66666666666666663</v>
      </c>
      <c r="F1115" t="s">
        <v>40</v>
      </c>
      <c r="G1115" t="s">
        <v>32</v>
      </c>
      <c r="H1115">
        <v>2</v>
      </c>
      <c r="I1115">
        <v>1</v>
      </c>
      <c r="J1115" t="s">
        <v>34</v>
      </c>
      <c r="K1115">
        <v>178</v>
      </c>
      <c r="L1115">
        <v>411</v>
      </c>
      <c r="M1115">
        <v>439</v>
      </c>
      <c r="N1115">
        <v>18</v>
      </c>
      <c r="O1115">
        <v>424</v>
      </c>
      <c r="P1115">
        <v>49</v>
      </c>
      <c r="Q1115">
        <v>173</v>
      </c>
      <c r="R1115">
        <v>396</v>
      </c>
      <c r="S1115">
        <v>434</v>
      </c>
      <c r="T1115" t="s">
        <v>31</v>
      </c>
      <c r="U1115" t="s">
        <v>31</v>
      </c>
      <c r="V1115" t="s">
        <v>31</v>
      </c>
      <c r="W1115" t="s">
        <v>31</v>
      </c>
      <c r="X1115" t="s">
        <v>31</v>
      </c>
      <c r="Y1115" t="s">
        <v>31</v>
      </c>
    </row>
    <row r="1116" spans="1:25" hidden="1">
      <c r="A1116" t="s">
        <v>25</v>
      </c>
      <c r="B1116" t="s">
        <v>26</v>
      </c>
      <c r="C1116" t="s">
        <v>51</v>
      </c>
      <c r="D1116" s="1">
        <v>43344</v>
      </c>
      <c r="E1116" s="2">
        <v>0.66666666666666663</v>
      </c>
      <c r="F1116" t="s">
        <v>36</v>
      </c>
      <c r="G1116" t="s">
        <v>52</v>
      </c>
      <c r="H1116">
        <v>2</v>
      </c>
      <c r="I1116">
        <v>1</v>
      </c>
      <c r="J1116" t="s">
        <v>34</v>
      </c>
      <c r="K1116">
        <v>197</v>
      </c>
      <c r="L1116">
        <v>399</v>
      </c>
      <c r="M1116">
        <v>363</v>
      </c>
      <c r="N1116">
        <v>206</v>
      </c>
      <c r="O1116">
        <v>399</v>
      </c>
      <c r="P1116">
        <v>4</v>
      </c>
      <c r="Q1116">
        <v>195</v>
      </c>
      <c r="R1116">
        <v>37</v>
      </c>
      <c r="S1116">
        <v>361</v>
      </c>
      <c r="T1116" t="s">
        <v>31</v>
      </c>
      <c r="U1116" t="s">
        <v>31</v>
      </c>
      <c r="V1116" t="s">
        <v>31</v>
      </c>
      <c r="W1116" t="s">
        <v>31</v>
      </c>
      <c r="X1116" t="s">
        <v>31</v>
      </c>
      <c r="Y1116" t="s">
        <v>31</v>
      </c>
    </row>
    <row r="1117" spans="1:25" hidden="1">
      <c r="A1117" t="s">
        <v>25</v>
      </c>
      <c r="B1117" t="s">
        <v>26</v>
      </c>
      <c r="C1117" t="s">
        <v>51</v>
      </c>
      <c r="D1117" s="1">
        <v>43345</v>
      </c>
      <c r="E1117" s="2">
        <v>0.66666666666666663</v>
      </c>
      <c r="F1117" t="s">
        <v>50</v>
      </c>
      <c r="G1117" t="s">
        <v>39</v>
      </c>
      <c r="H1117">
        <v>2</v>
      </c>
      <c r="I1117">
        <v>0</v>
      </c>
      <c r="J1117" t="s">
        <v>34</v>
      </c>
      <c r="K1117">
        <v>163</v>
      </c>
      <c r="L1117">
        <v>378</v>
      </c>
      <c r="M1117">
        <v>642</v>
      </c>
      <c r="N1117">
        <v>172</v>
      </c>
      <c r="O1117">
        <v>388</v>
      </c>
      <c r="P1117">
        <v>645</v>
      </c>
      <c r="Q1117">
        <v>163</v>
      </c>
      <c r="R1117">
        <v>368</v>
      </c>
      <c r="S1117">
        <v>567</v>
      </c>
      <c r="T1117" t="s">
        <v>31</v>
      </c>
      <c r="U1117" t="s">
        <v>31</v>
      </c>
      <c r="V1117" t="s">
        <v>31</v>
      </c>
      <c r="W1117" t="s">
        <v>31</v>
      </c>
      <c r="X1117" t="s">
        <v>31</v>
      </c>
      <c r="Y1117" t="s">
        <v>31</v>
      </c>
    </row>
    <row r="1118" spans="1:25" hidden="1">
      <c r="A1118" t="s">
        <v>25</v>
      </c>
      <c r="B1118" t="s">
        <v>26</v>
      </c>
      <c r="C1118" t="s">
        <v>51</v>
      </c>
      <c r="D1118" s="1">
        <v>43345</v>
      </c>
      <c r="E1118" s="2">
        <v>0.66666666666666663</v>
      </c>
      <c r="F1118" t="s">
        <v>29</v>
      </c>
      <c r="G1118" t="s">
        <v>37</v>
      </c>
      <c r="H1118">
        <v>3</v>
      </c>
      <c r="I1118">
        <v>1</v>
      </c>
      <c r="J1118" t="s">
        <v>34</v>
      </c>
      <c r="K1118">
        <v>113</v>
      </c>
      <c r="L1118">
        <v>952</v>
      </c>
      <c r="M1118">
        <v>2148</v>
      </c>
      <c r="N1118">
        <v>116</v>
      </c>
      <c r="O1118">
        <v>98</v>
      </c>
      <c r="P1118">
        <v>276</v>
      </c>
      <c r="Q1118">
        <v>112</v>
      </c>
      <c r="R1118">
        <v>863</v>
      </c>
      <c r="S1118">
        <v>1881</v>
      </c>
      <c r="T1118" t="s">
        <v>31</v>
      </c>
      <c r="U1118" t="s">
        <v>31</v>
      </c>
      <c r="V1118" t="s">
        <v>31</v>
      </c>
      <c r="W1118" t="s">
        <v>31</v>
      </c>
      <c r="X1118" t="s">
        <v>31</v>
      </c>
      <c r="Y1118" t="s">
        <v>31</v>
      </c>
    </row>
    <row r="1119" spans="1:25" hidden="1">
      <c r="A1119" t="s">
        <v>25</v>
      </c>
      <c r="B1119" t="s">
        <v>26</v>
      </c>
      <c r="C1119" t="s">
        <v>51</v>
      </c>
      <c r="D1119" s="1">
        <v>43345</v>
      </c>
      <c r="E1119" s="2">
        <v>0.66666666666666663</v>
      </c>
      <c r="F1119" t="s">
        <v>28</v>
      </c>
      <c r="G1119" t="s">
        <v>35</v>
      </c>
      <c r="H1119">
        <v>1</v>
      </c>
      <c r="I1119">
        <v>1</v>
      </c>
      <c r="J1119" t="s">
        <v>41</v>
      </c>
      <c r="K1119">
        <v>252</v>
      </c>
      <c r="L1119">
        <v>358</v>
      </c>
      <c r="M1119">
        <v>28</v>
      </c>
      <c r="N1119">
        <v>256</v>
      </c>
      <c r="O1119">
        <v>36</v>
      </c>
      <c r="P1119">
        <v>3</v>
      </c>
      <c r="Q1119">
        <v>24</v>
      </c>
      <c r="R1119">
        <v>347</v>
      </c>
      <c r="S1119">
        <v>279</v>
      </c>
      <c r="T1119" t="s">
        <v>31</v>
      </c>
      <c r="U1119" t="s">
        <v>31</v>
      </c>
      <c r="V1119" t="s">
        <v>31</v>
      </c>
      <c r="W1119" t="s">
        <v>31</v>
      </c>
      <c r="X1119" t="s">
        <v>31</v>
      </c>
      <c r="Y1119" t="s">
        <v>31</v>
      </c>
    </row>
    <row r="1120" spans="1:25" hidden="1">
      <c r="A1120" t="s">
        <v>25</v>
      </c>
      <c r="B1120" t="s">
        <v>26</v>
      </c>
      <c r="C1120" t="s">
        <v>51</v>
      </c>
      <c r="D1120" s="1">
        <v>43358</v>
      </c>
      <c r="E1120" s="2">
        <v>0.66666666666666663</v>
      </c>
      <c r="F1120" t="s">
        <v>37</v>
      </c>
      <c r="G1120" t="s">
        <v>28</v>
      </c>
      <c r="H1120">
        <v>2</v>
      </c>
      <c r="I1120">
        <v>3</v>
      </c>
      <c r="J1120" t="s">
        <v>30</v>
      </c>
      <c r="K1120">
        <v>434</v>
      </c>
      <c r="L1120">
        <v>388</v>
      </c>
      <c r="M1120">
        <v>183</v>
      </c>
      <c r="N1120">
        <v>44</v>
      </c>
      <c r="O1120">
        <v>4</v>
      </c>
      <c r="P1120">
        <v>186</v>
      </c>
      <c r="Q1120">
        <v>419</v>
      </c>
      <c r="R1120">
        <v>38</v>
      </c>
      <c r="S1120">
        <v>179</v>
      </c>
      <c r="T1120" t="s">
        <v>31</v>
      </c>
      <c r="U1120" t="s">
        <v>31</v>
      </c>
      <c r="V1120" t="s">
        <v>31</v>
      </c>
      <c r="W1120" t="s">
        <v>31</v>
      </c>
      <c r="X1120" t="s">
        <v>31</v>
      </c>
      <c r="Y1120" t="s">
        <v>31</v>
      </c>
    </row>
    <row r="1121" spans="1:25" hidden="1">
      <c r="A1121" t="s">
        <v>25</v>
      </c>
      <c r="B1121" t="s">
        <v>26</v>
      </c>
      <c r="C1121" t="s">
        <v>51</v>
      </c>
      <c r="D1121" s="1">
        <v>43358</v>
      </c>
      <c r="E1121" s="2">
        <v>0.66666666666666663</v>
      </c>
      <c r="F1121" t="s">
        <v>52</v>
      </c>
      <c r="G1121" t="s">
        <v>45</v>
      </c>
      <c r="H1121">
        <v>2</v>
      </c>
      <c r="I1121">
        <v>1</v>
      </c>
      <c r="J1121" t="s">
        <v>34</v>
      </c>
      <c r="K1121">
        <v>226</v>
      </c>
      <c r="L1121">
        <v>364</v>
      </c>
      <c r="M1121">
        <v>317</v>
      </c>
      <c r="N1121">
        <v>255</v>
      </c>
      <c r="O1121">
        <v>37</v>
      </c>
      <c r="P1121">
        <v>32</v>
      </c>
      <c r="Q1121">
        <v>224</v>
      </c>
      <c r="R1121">
        <v>349</v>
      </c>
      <c r="S1121">
        <v>303</v>
      </c>
      <c r="T1121" t="s">
        <v>31</v>
      </c>
      <c r="U1121" t="s">
        <v>31</v>
      </c>
      <c r="V1121" t="s">
        <v>31</v>
      </c>
      <c r="W1121" t="s">
        <v>31</v>
      </c>
      <c r="X1121" t="s">
        <v>31</v>
      </c>
      <c r="Y1121" t="s">
        <v>31</v>
      </c>
    </row>
    <row r="1122" spans="1:25" hidden="1">
      <c r="A1122" t="s">
        <v>25</v>
      </c>
      <c r="B1122" t="s">
        <v>26</v>
      </c>
      <c r="C1122" t="s">
        <v>51</v>
      </c>
      <c r="D1122" s="1">
        <v>43358</v>
      </c>
      <c r="E1122" s="2">
        <v>0.66666666666666663</v>
      </c>
      <c r="F1122" t="s">
        <v>48</v>
      </c>
      <c r="G1122" t="s">
        <v>29</v>
      </c>
      <c r="H1122">
        <v>1</v>
      </c>
      <c r="I1122">
        <v>3</v>
      </c>
      <c r="J1122" t="s">
        <v>30</v>
      </c>
      <c r="K1122">
        <v>999</v>
      </c>
      <c r="L1122">
        <v>545</v>
      </c>
      <c r="M1122">
        <v>133</v>
      </c>
      <c r="N1122">
        <v>105</v>
      </c>
      <c r="O1122">
        <v>57</v>
      </c>
      <c r="P1122">
        <v>14</v>
      </c>
      <c r="Q1122">
        <v>918</v>
      </c>
      <c r="R1122">
        <v>512</v>
      </c>
      <c r="S1122">
        <v>132</v>
      </c>
      <c r="T1122" t="s">
        <v>31</v>
      </c>
      <c r="U1122" t="s">
        <v>31</v>
      </c>
      <c r="V1122" t="s">
        <v>31</v>
      </c>
      <c r="W1122" t="s">
        <v>31</v>
      </c>
      <c r="X1122" t="s">
        <v>31</v>
      </c>
      <c r="Y1122" t="s">
        <v>31</v>
      </c>
    </row>
    <row r="1123" spans="1:25" hidden="1">
      <c r="A1123" t="s">
        <v>25</v>
      </c>
      <c r="B1123" t="s">
        <v>26</v>
      </c>
      <c r="C1123" t="s">
        <v>51</v>
      </c>
      <c r="D1123" s="1">
        <v>43359</v>
      </c>
      <c r="E1123" s="2">
        <v>0.5625</v>
      </c>
      <c r="F1123" t="s">
        <v>39</v>
      </c>
      <c r="G1123" t="s">
        <v>36</v>
      </c>
      <c r="H1123">
        <v>3</v>
      </c>
      <c r="I1123">
        <v>1</v>
      </c>
      <c r="J1123" t="s">
        <v>34</v>
      </c>
      <c r="K1123">
        <v>188</v>
      </c>
      <c r="L1123">
        <v>365</v>
      </c>
      <c r="M1123">
        <v>443</v>
      </c>
      <c r="N1123">
        <v>197</v>
      </c>
      <c r="O1123">
        <v>368</v>
      </c>
      <c r="P1123">
        <v>445</v>
      </c>
      <c r="Q1123">
        <v>188</v>
      </c>
      <c r="R1123">
        <v>35</v>
      </c>
      <c r="S1123">
        <v>41</v>
      </c>
      <c r="T1123" t="s">
        <v>31</v>
      </c>
      <c r="U1123" t="s">
        <v>31</v>
      </c>
      <c r="V1123" t="s">
        <v>31</v>
      </c>
      <c r="W1123" t="s">
        <v>31</v>
      </c>
      <c r="X1123" t="s">
        <v>31</v>
      </c>
      <c r="Y1123" t="s">
        <v>31</v>
      </c>
    </row>
    <row r="1124" spans="1:25" hidden="1">
      <c r="A1124" t="s">
        <v>25</v>
      </c>
      <c r="B1124" t="s">
        <v>26</v>
      </c>
      <c r="C1124" t="s">
        <v>51</v>
      </c>
      <c r="D1124" s="1">
        <v>43359</v>
      </c>
      <c r="E1124" s="2">
        <v>0.5625</v>
      </c>
      <c r="F1124" t="s">
        <v>32</v>
      </c>
      <c r="G1124" t="s">
        <v>50</v>
      </c>
      <c r="H1124">
        <v>1</v>
      </c>
      <c r="I1124">
        <v>3</v>
      </c>
      <c r="J1124" t="s">
        <v>30</v>
      </c>
      <c r="K1124">
        <v>336</v>
      </c>
      <c r="L1124">
        <v>336</v>
      </c>
      <c r="M1124">
        <v>228</v>
      </c>
      <c r="N1124">
        <v>34</v>
      </c>
      <c r="O1124">
        <v>338</v>
      </c>
      <c r="P1124">
        <v>233</v>
      </c>
      <c r="Q1124">
        <v>324</v>
      </c>
      <c r="R1124">
        <v>326</v>
      </c>
      <c r="S1124">
        <v>224</v>
      </c>
      <c r="T1124" t="s">
        <v>31</v>
      </c>
      <c r="U1124" t="s">
        <v>31</v>
      </c>
      <c r="V1124" t="s">
        <v>31</v>
      </c>
      <c r="W1124" t="s">
        <v>31</v>
      </c>
      <c r="X1124" t="s">
        <v>31</v>
      </c>
      <c r="Y1124" t="s">
        <v>31</v>
      </c>
    </row>
    <row r="1125" spans="1:25" hidden="1">
      <c r="A1125" t="s">
        <v>25</v>
      </c>
      <c r="B1125" t="s">
        <v>26</v>
      </c>
      <c r="C1125" t="s">
        <v>51</v>
      </c>
      <c r="D1125" s="1">
        <v>43359</v>
      </c>
      <c r="E1125" s="2">
        <v>0.66666666666666663</v>
      </c>
      <c r="F1125" t="s">
        <v>35</v>
      </c>
      <c r="G1125" t="s">
        <v>40</v>
      </c>
      <c r="H1125">
        <v>0</v>
      </c>
      <c r="I1125">
        <v>1</v>
      </c>
      <c r="J1125" t="s">
        <v>30</v>
      </c>
      <c r="K1125">
        <v>208</v>
      </c>
      <c r="L1125">
        <v>356</v>
      </c>
      <c r="M1125">
        <v>369</v>
      </c>
      <c r="N1125">
        <v>21</v>
      </c>
      <c r="O1125">
        <v>375</v>
      </c>
      <c r="P1125">
        <v>4</v>
      </c>
      <c r="Q1125">
        <v>199</v>
      </c>
      <c r="R1125">
        <v>357</v>
      </c>
      <c r="S1125">
        <v>361</v>
      </c>
      <c r="T1125" t="s">
        <v>31</v>
      </c>
      <c r="U1125" t="s">
        <v>31</v>
      </c>
      <c r="V1125" t="s">
        <v>31</v>
      </c>
      <c r="W1125" t="s">
        <v>31</v>
      </c>
      <c r="X1125" t="s">
        <v>31</v>
      </c>
      <c r="Y1125" t="s">
        <v>31</v>
      </c>
    </row>
    <row r="1126" spans="1:25" hidden="1">
      <c r="A1126" t="s">
        <v>25</v>
      </c>
      <c r="B1126" t="s">
        <v>26</v>
      </c>
      <c r="C1126" t="s">
        <v>51</v>
      </c>
      <c r="D1126" s="1">
        <v>43365</v>
      </c>
      <c r="E1126" s="2">
        <v>0.66666666666666663</v>
      </c>
      <c r="F1126" t="s">
        <v>45</v>
      </c>
      <c r="G1126" t="s">
        <v>39</v>
      </c>
      <c r="H1126">
        <v>0</v>
      </c>
      <c r="I1126">
        <v>1</v>
      </c>
      <c r="J1126" t="s">
        <v>30</v>
      </c>
      <c r="K1126">
        <v>296</v>
      </c>
      <c r="L1126">
        <v>338</v>
      </c>
      <c r="M1126">
        <v>248</v>
      </c>
      <c r="N1126">
        <v>3</v>
      </c>
      <c r="O1126">
        <v>34</v>
      </c>
      <c r="P1126">
        <v>261</v>
      </c>
      <c r="Q1126">
        <v>286</v>
      </c>
      <c r="R1126">
        <v>326</v>
      </c>
      <c r="S1126">
        <v>246</v>
      </c>
      <c r="T1126" t="s">
        <v>31</v>
      </c>
      <c r="U1126" t="s">
        <v>31</v>
      </c>
      <c r="V1126" t="s">
        <v>31</v>
      </c>
      <c r="W1126" t="s">
        <v>31</v>
      </c>
      <c r="X1126" t="s">
        <v>31</v>
      </c>
      <c r="Y1126" t="s">
        <v>31</v>
      </c>
    </row>
    <row r="1127" spans="1:25" hidden="1">
      <c r="A1127" t="s">
        <v>25</v>
      </c>
      <c r="B1127" t="s">
        <v>26</v>
      </c>
      <c r="C1127" t="s">
        <v>51</v>
      </c>
      <c r="D1127" s="1">
        <v>43365</v>
      </c>
      <c r="E1127" s="2">
        <v>0.66666666666666663</v>
      </c>
      <c r="F1127" t="s">
        <v>48</v>
      </c>
      <c r="G1127" t="s">
        <v>52</v>
      </c>
      <c r="H1127">
        <v>3</v>
      </c>
      <c r="I1127">
        <v>0</v>
      </c>
      <c r="J1127" t="s">
        <v>34</v>
      </c>
      <c r="K1127">
        <v>236</v>
      </c>
      <c r="L1127">
        <v>356</v>
      </c>
      <c r="M1127">
        <v>301</v>
      </c>
      <c r="N1127">
        <v>238</v>
      </c>
      <c r="O1127">
        <v>37</v>
      </c>
      <c r="P1127">
        <v>345</v>
      </c>
      <c r="Q1127">
        <v>223</v>
      </c>
      <c r="R1127">
        <v>349</v>
      </c>
      <c r="S1127">
        <v>307</v>
      </c>
      <c r="T1127" t="s">
        <v>31</v>
      </c>
      <c r="U1127" t="s">
        <v>31</v>
      </c>
      <c r="V1127" t="s">
        <v>31</v>
      </c>
      <c r="W1127" t="s">
        <v>31</v>
      </c>
      <c r="X1127" t="s">
        <v>31</v>
      </c>
      <c r="Y1127" t="s">
        <v>31</v>
      </c>
    </row>
    <row r="1128" spans="1:25" hidden="1">
      <c r="A1128" t="s">
        <v>25</v>
      </c>
      <c r="B1128" t="s">
        <v>26</v>
      </c>
      <c r="C1128" t="s">
        <v>51</v>
      </c>
      <c r="D1128" s="1">
        <v>43365</v>
      </c>
      <c r="E1128" s="2">
        <v>0.66666666666666663</v>
      </c>
      <c r="F1128" t="s">
        <v>28</v>
      </c>
      <c r="G1128" t="s">
        <v>32</v>
      </c>
      <c r="H1128">
        <v>1</v>
      </c>
      <c r="I1128">
        <v>2</v>
      </c>
      <c r="J1128" t="s">
        <v>30</v>
      </c>
      <c r="K1128">
        <v>19</v>
      </c>
      <c r="L1128">
        <v>346</v>
      </c>
      <c r="M1128">
        <v>45</v>
      </c>
      <c r="N1128">
        <v>196</v>
      </c>
      <c r="O1128">
        <v>375</v>
      </c>
      <c r="P1128">
        <v>472</v>
      </c>
      <c r="Q1128">
        <v>186</v>
      </c>
      <c r="R1128">
        <v>352</v>
      </c>
      <c r="S1128">
        <v>422</v>
      </c>
      <c r="T1128" t="s">
        <v>31</v>
      </c>
      <c r="U1128" t="s">
        <v>31</v>
      </c>
      <c r="V1128" t="s">
        <v>31</v>
      </c>
      <c r="W1128" t="s">
        <v>31</v>
      </c>
      <c r="X1128" t="s">
        <v>31</v>
      </c>
      <c r="Y1128" t="s">
        <v>31</v>
      </c>
    </row>
    <row r="1129" spans="1:25" hidden="1">
      <c r="A1129" t="s">
        <v>25</v>
      </c>
      <c r="B1129" t="s">
        <v>26</v>
      </c>
      <c r="C1129" t="s">
        <v>51</v>
      </c>
      <c r="D1129" s="1">
        <v>43366</v>
      </c>
      <c r="E1129" s="2">
        <v>0.5625</v>
      </c>
      <c r="F1129" t="s">
        <v>40</v>
      </c>
      <c r="G1129" t="s">
        <v>50</v>
      </c>
      <c r="H1129">
        <v>0</v>
      </c>
      <c r="I1129">
        <v>3</v>
      </c>
      <c r="J1129" t="s">
        <v>30</v>
      </c>
      <c r="K1129">
        <v>261</v>
      </c>
      <c r="L1129">
        <v>333</v>
      </c>
      <c r="M1129">
        <v>283</v>
      </c>
      <c r="N1129">
        <v>27</v>
      </c>
      <c r="O1129">
        <v>338</v>
      </c>
      <c r="P1129">
        <v>284</v>
      </c>
      <c r="Q1129">
        <v>257</v>
      </c>
      <c r="R1129">
        <v>325</v>
      </c>
      <c r="S1129">
        <v>273</v>
      </c>
      <c r="T1129" t="s">
        <v>31</v>
      </c>
      <c r="U1129" t="s">
        <v>31</v>
      </c>
      <c r="V1129" t="s">
        <v>31</v>
      </c>
      <c r="W1129" t="s">
        <v>31</v>
      </c>
      <c r="X1129" t="s">
        <v>31</v>
      </c>
      <c r="Y1129" t="s">
        <v>31</v>
      </c>
    </row>
    <row r="1130" spans="1:25" hidden="1">
      <c r="A1130" t="s">
        <v>25</v>
      </c>
      <c r="B1130" t="s">
        <v>26</v>
      </c>
      <c r="C1130" t="s">
        <v>51</v>
      </c>
      <c r="D1130" s="1">
        <v>43366</v>
      </c>
      <c r="E1130" s="2">
        <v>0.5625</v>
      </c>
      <c r="F1130" t="s">
        <v>36</v>
      </c>
      <c r="G1130" t="s">
        <v>37</v>
      </c>
      <c r="H1130">
        <v>1</v>
      </c>
      <c r="I1130">
        <v>3</v>
      </c>
      <c r="J1130" t="s">
        <v>30</v>
      </c>
      <c r="K1130">
        <v>189</v>
      </c>
      <c r="L1130">
        <v>392</v>
      </c>
      <c r="M1130">
        <v>396</v>
      </c>
      <c r="N1130">
        <v>191</v>
      </c>
      <c r="O1130">
        <v>404</v>
      </c>
      <c r="P1130">
        <v>434</v>
      </c>
      <c r="Q1130">
        <v>183</v>
      </c>
      <c r="R1130">
        <v>381</v>
      </c>
      <c r="S1130">
        <v>399</v>
      </c>
      <c r="T1130" t="s">
        <v>31</v>
      </c>
      <c r="U1130" t="s">
        <v>31</v>
      </c>
      <c r="V1130" t="s">
        <v>31</v>
      </c>
      <c r="W1130" t="s">
        <v>31</v>
      </c>
      <c r="X1130" t="s">
        <v>31</v>
      </c>
      <c r="Y1130" t="s">
        <v>31</v>
      </c>
    </row>
    <row r="1131" spans="1:25" hidden="1">
      <c r="A1131" t="s">
        <v>25</v>
      </c>
      <c r="B1131" t="s">
        <v>26</v>
      </c>
      <c r="C1131" t="s">
        <v>51</v>
      </c>
      <c r="D1131" s="1">
        <v>43366</v>
      </c>
      <c r="E1131" s="2">
        <v>0.66666666666666663</v>
      </c>
      <c r="F1131" t="s">
        <v>29</v>
      </c>
      <c r="G1131" t="s">
        <v>35</v>
      </c>
      <c r="H1131">
        <v>2</v>
      </c>
      <c r="I1131">
        <v>1</v>
      </c>
      <c r="J1131" t="s">
        <v>34</v>
      </c>
      <c r="K1131">
        <v>12</v>
      </c>
      <c r="L1131">
        <v>698</v>
      </c>
      <c r="M1131">
        <v>1521</v>
      </c>
      <c r="N1131">
        <v>15</v>
      </c>
      <c r="O1131">
        <v>784</v>
      </c>
      <c r="P1131">
        <v>18</v>
      </c>
      <c r="Q1131">
        <v>121</v>
      </c>
      <c r="R1131">
        <v>673</v>
      </c>
      <c r="S1131">
        <v>1289</v>
      </c>
      <c r="T1131" t="s">
        <v>31</v>
      </c>
      <c r="U1131" t="s">
        <v>31</v>
      </c>
      <c r="V1131" t="s">
        <v>31</v>
      </c>
      <c r="W1131" t="s">
        <v>31</v>
      </c>
      <c r="X1131" t="s">
        <v>31</v>
      </c>
      <c r="Y1131" t="s">
        <v>31</v>
      </c>
    </row>
    <row r="1132" spans="1:25" hidden="1">
      <c r="A1132" t="s">
        <v>25</v>
      </c>
      <c r="B1132" t="s">
        <v>26</v>
      </c>
      <c r="C1132" t="s">
        <v>51</v>
      </c>
      <c r="D1132" s="1">
        <v>43372</v>
      </c>
      <c r="E1132" s="2">
        <v>0.66666666666666663</v>
      </c>
      <c r="F1132" t="s">
        <v>39</v>
      </c>
      <c r="G1132" t="s">
        <v>29</v>
      </c>
      <c r="H1132">
        <v>1</v>
      </c>
      <c r="I1132">
        <v>4</v>
      </c>
      <c r="J1132" t="s">
        <v>30</v>
      </c>
      <c r="K1132">
        <v>767</v>
      </c>
      <c r="L1132">
        <v>458</v>
      </c>
      <c r="M1132">
        <v>145</v>
      </c>
      <c r="N1132">
        <v>784</v>
      </c>
      <c r="O1132">
        <v>525</v>
      </c>
      <c r="P1132">
        <v>151</v>
      </c>
      <c r="Q1132">
        <v>693</v>
      </c>
      <c r="R1132">
        <v>457</v>
      </c>
      <c r="S1132">
        <v>143</v>
      </c>
      <c r="T1132" t="s">
        <v>31</v>
      </c>
      <c r="U1132" t="s">
        <v>31</v>
      </c>
      <c r="V1132" t="s">
        <v>31</v>
      </c>
      <c r="W1132" t="s">
        <v>31</v>
      </c>
      <c r="X1132" t="s">
        <v>31</v>
      </c>
      <c r="Y1132" t="s">
        <v>31</v>
      </c>
    </row>
    <row r="1133" spans="1:25" hidden="1">
      <c r="A1133" t="s">
        <v>25</v>
      </c>
      <c r="B1133" t="s">
        <v>26</v>
      </c>
      <c r="C1133" t="s">
        <v>51</v>
      </c>
      <c r="D1133" s="1">
        <v>43372</v>
      </c>
      <c r="E1133" s="2">
        <v>0.66666666666666663</v>
      </c>
      <c r="F1133" t="s">
        <v>37</v>
      </c>
      <c r="G1133" t="s">
        <v>45</v>
      </c>
      <c r="H1133">
        <v>2</v>
      </c>
      <c r="I1133">
        <v>4</v>
      </c>
      <c r="J1133" t="s">
        <v>30</v>
      </c>
      <c r="K1133">
        <v>265</v>
      </c>
      <c r="L1133">
        <v>364</v>
      </c>
      <c r="M1133">
        <v>264</v>
      </c>
      <c r="N1133">
        <v>277</v>
      </c>
      <c r="O1133">
        <v>364</v>
      </c>
      <c r="P1133">
        <v>3</v>
      </c>
      <c r="Q1133">
        <v>261</v>
      </c>
      <c r="R1133">
        <v>341</v>
      </c>
      <c r="S1133">
        <v>259</v>
      </c>
      <c r="T1133" t="s">
        <v>31</v>
      </c>
      <c r="U1133" t="s">
        <v>31</v>
      </c>
      <c r="V1133" t="s">
        <v>31</v>
      </c>
      <c r="W1133" t="s">
        <v>31</v>
      </c>
      <c r="X1133" t="s">
        <v>31</v>
      </c>
      <c r="Y1133" t="s">
        <v>31</v>
      </c>
    </row>
    <row r="1134" spans="1:25" hidden="1">
      <c r="A1134" t="s">
        <v>25</v>
      </c>
      <c r="B1134" t="s">
        <v>26</v>
      </c>
      <c r="C1134" t="s">
        <v>51</v>
      </c>
      <c r="D1134" s="1">
        <v>43372</v>
      </c>
      <c r="E1134" s="2">
        <v>0.66666666666666663</v>
      </c>
      <c r="F1134" t="s">
        <v>35</v>
      </c>
      <c r="G1134" t="s">
        <v>48</v>
      </c>
      <c r="H1134">
        <v>0</v>
      </c>
      <c r="I1134">
        <v>2</v>
      </c>
      <c r="J1134" t="s">
        <v>30</v>
      </c>
      <c r="K1134">
        <v>15</v>
      </c>
      <c r="L1134">
        <v>478</v>
      </c>
      <c r="M1134">
        <v>616</v>
      </c>
      <c r="N1134">
        <v>165</v>
      </c>
      <c r="O1134">
        <v>503</v>
      </c>
      <c r="P1134">
        <v>7</v>
      </c>
      <c r="Q1134">
        <v>15</v>
      </c>
      <c r="R1134">
        <v>45</v>
      </c>
      <c r="S1134">
        <v>581</v>
      </c>
      <c r="T1134" t="s">
        <v>31</v>
      </c>
      <c r="U1134" t="s">
        <v>31</v>
      </c>
      <c r="V1134" t="s">
        <v>31</v>
      </c>
      <c r="W1134" t="s">
        <v>31</v>
      </c>
      <c r="X1134" t="s">
        <v>31</v>
      </c>
      <c r="Y1134" t="s">
        <v>31</v>
      </c>
    </row>
    <row r="1135" spans="1:25" hidden="1">
      <c r="A1135" t="s">
        <v>25</v>
      </c>
      <c r="B1135" t="s">
        <v>26</v>
      </c>
      <c r="C1135" t="s">
        <v>51</v>
      </c>
      <c r="D1135" s="1">
        <v>43373</v>
      </c>
      <c r="E1135" s="2">
        <v>0.5625</v>
      </c>
      <c r="F1135" t="s">
        <v>52</v>
      </c>
      <c r="G1135" t="s">
        <v>40</v>
      </c>
      <c r="H1135">
        <v>0</v>
      </c>
      <c r="I1135">
        <v>1</v>
      </c>
      <c r="J1135" t="s">
        <v>30</v>
      </c>
      <c r="K1135">
        <v>336</v>
      </c>
      <c r="L1135">
        <v>375</v>
      </c>
      <c r="M1135">
        <v>214</v>
      </c>
      <c r="N1135">
        <v>36</v>
      </c>
      <c r="O1135">
        <v>375</v>
      </c>
      <c r="P1135">
        <v>22</v>
      </c>
      <c r="Q1135">
        <v>325</v>
      </c>
      <c r="R1135">
        <v>354</v>
      </c>
      <c r="S1135">
        <v>212</v>
      </c>
      <c r="T1135" t="s">
        <v>31</v>
      </c>
      <c r="U1135" t="s">
        <v>31</v>
      </c>
      <c r="V1135" t="s">
        <v>31</v>
      </c>
      <c r="W1135" t="s">
        <v>31</v>
      </c>
      <c r="X1135" t="s">
        <v>31</v>
      </c>
      <c r="Y1135" t="s">
        <v>31</v>
      </c>
    </row>
    <row r="1136" spans="1:25" hidden="1">
      <c r="A1136" t="s">
        <v>25</v>
      </c>
      <c r="B1136" t="s">
        <v>26</v>
      </c>
      <c r="C1136" t="s">
        <v>51</v>
      </c>
      <c r="D1136" s="1">
        <v>43373</v>
      </c>
      <c r="E1136" s="2">
        <v>0.5625</v>
      </c>
      <c r="F1136" t="s">
        <v>32</v>
      </c>
      <c r="G1136" t="s">
        <v>36</v>
      </c>
      <c r="H1136">
        <v>2</v>
      </c>
      <c r="I1136">
        <v>1</v>
      </c>
      <c r="J1136" t="s">
        <v>34</v>
      </c>
      <c r="K1136">
        <v>194</v>
      </c>
      <c r="L1136">
        <v>397</v>
      </c>
      <c r="M1136">
        <v>374</v>
      </c>
      <c r="N1136">
        <v>198</v>
      </c>
      <c r="O1136">
        <v>397</v>
      </c>
      <c r="P1136">
        <v>39</v>
      </c>
      <c r="Q1136">
        <v>191</v>
      </c>
      <c r="R1136">
        <v>372</v>
      </c>
      <c r="S1136">
        <v>369</v>
      </c>
      <c r="T1136" t="s">
        <v>31</v>
      </c>
      <c r="U1136" t="s">
        <v>31</v>
      </c>
      <c r="V1136" t="s">
        <v>31</v>
      </c>
      <c r="W1136" t="s">
        <v>31</v>
      </c>
      <c r="X1136" t="s">
        <v>31</v>
      </c>
      <c r="Y1136" t="s">
        <v>31</v>
      </c>
    </row>
    <row r="1137" spans="1:25" hidden="1">
      <c r="A1137" t="s">
        <v>25</v>
      </c>
      <c r="B1137" t="s">
        <v>26</v>
      </c>
      <c r="C1137" t="s">
        <v>51</v>
      </c>
      <c r="D1137" s="1">
        <v>43373</v>
      </c>
      <c r="E1137" s="2">
        <v>0.66666666666666663</v>
      </c>
      <c r="F1137" t="s">
        <v>50</v>
      </c>
      <c r="G1137" t="s">
        <v>28</v>
      </c>
      <c r="H1137">
        <v>0</v>
      </c>
      <c r="I1137">
        <v>0</v>
      </c>
      <c r="J1137" t="s">
        <v>41</v>
      </c>
      <c r="K1137">
        <v>193</v>
      </c>
      <c r="L1137">
        <v>373</v>
      </c>
      <c r="M1137">
        <v>407</v>
      </c>
      <c r="N1137">
        <v>194</v>
      </c>
      <c r="O1137">
        <v>38</v>
      </c>
      <c r="P1137">
        <v>47</v>
      </c>
      <c r="Q1137">
        <v>183</v>
      </c>
      <c r="R1137">
        <v>359</v>
      </c>
      <c r="S1137">
        <v>422</v>
      </c>
      <c r="T1137" t="s">
        <v>31</v>
      </c>
      <c r="U1137" t="s">
        <v>31</v>
      </c>
      <c r="V1137" t="s">
        <v>31</v>
      </c>
      <c r="W1137" t="s">
        <v>31</v>
      </c>
      <c r="X1137" t="s">
        <v>31</v>
      </c>
      <c r="Y1137" t="s">
        <v>31</v>
      </c>
    </row>
    <row r="1138" spans="1:25" hidden="1">
      <c r="A1138" t="s">
        <v>25</v>
      </c>
      <c r="B1138" t="s">
        <v>26</v>
      </c>
      <c r="C1138" t="s">
        <v>51</v>
      </c>
      <c r="D1138" s="1">
        <v>43379</v>
      </c>
      <c r="E1138" s="2">
        <v>0.66666666666666663</v>
      </c>
      <c r="F1138" t="s">
        <v>39</v>
      </c>
      <c r="G1138" t="s">
        <v>52</v>
      </c>
      <c r="H1138">
        <v>3</v>
      </c>
      <c r="I1138">
        <v>4</v>
      </c>
      <c r="J1138" t="s">
        <v>30</v>
      </c>
      <c r="K1138">
        <v>169</v>
      </c>
      <c r="L1138">
        <v>414</v>
      </c>
      <c r="M1138">
        <v>491</v>
      </c>
      <c r="N1138">
        <v>177</v>
      </c>
      <c r="O1138">
        <v>414</v>
      </c>
      <c r="P1138">
        <v>55</v>
      </c>
      <c r="Q1138">
        <v>169</v>
      </c>
      <c r="R1138">
        <v>392</v>
      </c>
      <c r="S1138">
        <v>465</v>
      </c>
      <c r="T1138" t="s">
        <v>31</v>
      </c>
      <c r="U1138" t="s">
        <v>31</v>
      </c>
      <c r="V1138" t="s">
        <v>31</v>
      </c>
      <c r="W1138" t="s">
        <v>31</v>
      </c>
      <c r="X1138" t="s">
        <v>31</v>
      </c>
      <c r="Y1138" t="s">
        <v>31</v>
      </c>
    </row>
    <row r="1139" spans="1:25" hidden="1">
      <c r="A1139" t="s">
        <v>25</v>
      </c>
      <c r="B1139" t="s">
        <v>26</v>
      </c>
      <c r="C1139" t="s">
        <v>51</v>
      </c>
      <c r="D1139" s="1">
        <v>43379</v>
      </c>
      <c r="E1139" s="2">
        <v>0.66666666666666663</v>
      </c>
      <c r="F1139" t="s">
        <v>45</v>
      </c>
      <c r="G1139" t="s">
        <v>40</v>
      </c>
      <c r="H1139">
        <v>2</v>
      </c>
      <c r="I1139">
        <v>0</v>
      </c>
      <c r="J1139" t="s">
        <v>34</v>
      </c>
      <c r="K1139">
        <v>327</v>
      </c>
      <c r="L1139">
        <v>336</v>
      </c>
      <c r="M1139">
        <v>234</v>
      </c>
      <c r="N1139">
        <v>337</v>
      </c>
      <c r="O1139">
        <v>35</v>
      </c>
      <c r="P1139">
        <v>235</v>
      </c>
      <c r="Q1139">
        <v>313</v>
      </c>
      <c r="R1139">
        <v>336</v>
      </c>
      <c r="S1139">
        <v>225</v>
      </c>
      <c r="T1139" t="s">
        <v>31</v>
      </c>
      <c r="U1139" t="s">
        <v>31</v>
      </c>
      <c r="V1139" t="s">
        <v>31</v>
      </c>
      <c r="W1139" t="s">
        <v>31</v>
      </c>
      <c r="X1139" t="s">
        <v>31</v>
      </c>
      <c r="Y1139" t="s">
        <v>31</v>
      </c>
    </row>
    <row r="1140" spans="1:25" hidden="1">
      <c r="A1140" t="s">
        <v>25</v>
      </c>
      <c r="B1140" t="s">
        <v>26</v>
      </c>
      <c r="C1140" t="s">
        <v>51</v>
      </c>
      <c r="D1140" s="1">
        <v>43379</v>
      </c>
      <c r="E1140" s="2">
        <v>0.66666666666666663</v>
      </c>
      <c r="F1140" t="s">
        <v>48</v>
      </c>
      <c r="G1140" t="s">
        <v>37</v>
      </c>
      <c r="H1140">
        <v>0</v>
      </c>
      <c r="I1140">
        <v>0</v>
      </c>
      <c r="J1140" t="s">
        <v>41</v>
      </c>
      <c r="K1140">
        <v>192</v>
      </c>
      <c r="L1140">
        <v>383</v>
      </c>
      <c r="M1140">
        <v>4</v>
      </c>
      <c r="N1140">
        <v>195</v>
      </c>
      <c r="O1140">
        <v>402</v>
      </c>
      <c r="P1140">
        <v>448</v>
      </c>
      <c r="Q1140">
        <v>185</v>
      </c>
      <c r="R1140">
        <v>372</v>
      </c>
      <c r="S1140">
        <v>392</v>
      </c>
      <c r="T1140" t="s">
        <v>31</v>
      </c>
      <c r="U1140" t="s">
        <v>31</v>
      </c>
      <c r="V1140" t="s">
        <v>31</v>
      </c>
      <c r="W1140" t="s">
        <v>31</v>
      </c>
      <c r="X1140" t="s">
        <v>31</v>
      </c>
      <c r="Y1140" t="s">
        <v>31</v>
      </c>
    </row>
    <row r="1141" spans="1:25" hidden="1">
      <c r="A1141" t="s">
        <v>25</v>
      </c>
      <c r="B1141" t="s">
        <v>26</v>
      </c>
      <c r="C1141" t="s">
        <v>51</v>
      </c>
      <c r="D1141" s="1">
        <v>43380</v>
      </c>
      <c r="E1141" s="2">
        <v>0.5625</v>
      </c>
      <c r="F1141" t="s">
        <v>35</v>
      </c>
      <c r="G1141" t="s">
        <v>32</v>
      </c>
      <c r="H1141">
        <v>1</v>
      </c>
      <c r="I1141">
        <v>0</v>
      </c>
      <c r="J1141" t="s">
        <v>34</v>
      </c>
      <c r="K1141">
        <v>168</v>
      </c>
      <c r="L1141">
        <v>398</v>
      </c>
      <c r="M1141">
        <v>532</v>
      </c>
      <c r="N1141">
        <v>177</v>
      </c>
      <c r="O1141">
        <v>41</v>
      </c>
      <c r="P1141">
        <v>55</v>
      </c>
      <c r="Q1141">
        <v>167</v>
      </c>
      <c r="R1141">
        <v>392</v>
      </c>
      <c r="S1141">
        <v>484</v>
      </c>
      <c r="T1141" t="s">
        <v>31</v>
      </c>
      <c r="U1141" t="s">
        <v>31</v>
      </c>
      <c r="V1141" t="s">
        <v>31</v>
      </c>
      <c r="W1141" t="s">
        <v>31</v>
      </c>
      <c r="X1141" t="s">
        <v>31</v>
      </c>
      <c r="Y1141" t="s">
        <v>31</v>
      </c>
    </row>
    <row r="1142" spans="1:25" hidden="1">
      <c r="A1142" t="s">
        <v>25</v>
      </c>
      <c r="B1142" t="s">
        <v>26</v>
      </c>
      <c r="C1142" t="s">
        <v>51</v>
      </c>
      <c r="D1142" s="1">
        <v>43380</v>
      </c>
      <c r="E1142" s="2">
        <v>0.5625</v>
      </c>
      <c r="F1142" t="s">
        <v>36</v>
      </c>
      <c r="G1142" t="s">
        <v>50</v>
      </c>
      <c r="H1142">
        <v>1</v>
      </c>
      <c r="I1142">
        <v>0</v>
      </c>
      <c r="J1142" t="s">
        <v>34</v>
      </c>
      <c r="K1142">
        <v>499</v>
      </c>
      <c r="L1142">
        <v>449</v>
      </c>
      <c r="M1142">
        <v>163</v>
      </c>
      <c r="N1142">
        <v>525</v>
      </c>
      <c r="O1142">
        <v>449</v>
      </c>
      <c r="P1142">
        <v>172</v>
      </c>
      <c r="Q1142">
        <v>491</v>
      </c>
      <c r="R1142">
        <v>411</v>
      </c>
      <c r="S1142">
        <v>163</v>
      </c>
      <c r="T1142" t="s">
        <v>31</v>
      </c>
      <c r="U1142" t="s">
        <v>31</v>
      </c>
      <c r="V1142" t="s">
        <v>31</v>
      </c>
      <c r="W1142" t="s">
        <v>31</v>
      </c>
      <c r="X1142" t="s">
        <v>31</v>
      </c>
      <c r="Y1142" t="s">
        <v>31</v>
      </c>
    </row>
    <row r="1143" spans="1:25" hidden="1">
      <c r="A1143" t="s">
        <v>25</v>
      </c>
      <c r="B1143" t="s">
        <v>26</v>
      </c>
      <c r="C1143" t="s">
        <v>51</v>
      </c>
      <c r="D1143" s="1">
        <v>43380</v>
      </c>
      <c r="E1143" s="2">
        <v>0.66666666666666663</v>
      </c>
      <c r="F1143" t="s">
        <v>28</v>
      </c>
      <c r="G1143" t="s">
        <v>29</v>
      </c>
      <c r="H1143">
        <v>1</v>
      </c>
      <c r="I1143">
        <v>2</v>
      </c>
      <c r="J1143" t="s">
        <v>30</v>
      </c>
      <c r="K1143">
        <v>578</v>
      </c>
      <c r="L1143">
        <v>439</v>
      </c>
      <c r="M1143">
        <v>157</v>
      </c>
      <c r="N1143">
        <v>65</v>
      </c>
      <c r="O1143">
        <v>44</v>
      </c>
      <c r="P1143">
        <v>161</v>
      </c>
      <c r="Q1143">
        <v>582</v>
      </c>
      <c r="R1143">
        <v>422</v>
      </c>
      <c r="S1143">
        <v>153</v>
      </c>
      <c r="T1143" t="s">
        <v>31</v>
      </c>
      <c r="U1143" t="s">
        <v>31</v>
      </c>
      <c r="V1143" t="s">
        <v>31</v>
      </c>
      <c r="W1143" t="s">
        <v>31</v>
      </c>
      <c r="X1143" t="s">
        <v>31</v>
      </c>
      <c r="Y1143" t="s">
        <v>31</v>
      </c>
    </row>
    <row r="1144" spans="1:25" hidden="1">
      <c r="A1144" t="s">
        <v>25</v>
      </c>
      <c r="B1144" t="s">
        <v>26</v>
      </c>
      <c r="C1144" t="s">
        <v>51</v>
      </c>
      <c r="D1144" s="1">
        <v>43393</v>
      </c>
      <c r="E1144" s="2">
        <v>0.66666666666666663</v>
      </c>
      <c r="F1144" t="s">
        <v>52</v>
      </c>
      <c r="G1144" t="s">
        <v>35</v>
      </c>
      <c r="H1144">
        <v>3</v>
      </c>
      <c r="I1144">
        <v>0</v>
      </c>
      <c r="J1144" t="s">
        <v>34</v>
      </c>
      <c r="K1144">
        <v>528</v>
      </c>
      <c r="L1144">
        <v>491</v>
      </c>
      <c r="M1144">
        <v>155</v>
      </c>
      <c r="N1144">
        <v>6</v>
      </c>
      <c r="O1144">
        <v>491</v>
      </c>
      <c r="P1144">
        <v>167</v>
      </c>
      <c r="Q1144">
        <v>508</v>
      </c>
      <c r="R1144">
        <v>449</v>
      </c>
      <c r="S1144">
        <v>156</v>
      </c>
      <c r="T1144" t="s">
        <v>31</v>
      </c>
      <c r="U1144" t="s">
        <v>31</v>
      </c>
      <c r="V1144" t="s">
        <v>31</v>
      </c>
      <c r="W1144" t="s">
        <v>31</v>
      </c>
      <c r="X1144" t="s">
        <v>31</v>
      </c>
      <c r="Y1144" t="s">
        <v>31</v>
      </c>
    </row>
    <row r="1145" spans="1:25" hidden="1">
      <c r="A1145" t="s">
        <v>25</v>
      </c>
      <c r="B1145" t="s">
        <v>26</v>
      </c>
      <c r="C1145" t="s">
        <v>51</v>
      </c>
      <c r="D1145" s="1">
        <v>43393</v>
      </c>
      <c r="E1145" s="2">
        <v>0.66666666666666663</v>
      </c>
      <c r="F1145" t="s">
        <v>50</v>
      </c>
      <c r="G1145" t="s">
        <v>45</v>
      </c>
      <c r="H1145">
        <v>1</v>
      </c>
      <c r="I1145">
        <v>1</v>
      </c>
      <c r="J1145" t="s">
        <v>41</v>
      </c>
      <c r="K1145">
        <v>141</v>
      </c>
      <c r="L1145">
        <v>478</v>
      </c>
      <c r="M1145">
        <v>812</v>
      </c>
      <c r="N1145">
        <v>142</v>
      </c>
      <c r="O1145">
        <v>5</v>
      </c>
      <c r="P1145">
        <v>9</v>
      </c>
      <c r="Q1145">
        <v>139</v>
      </c>
      <c r="R1145">
        <v>464</v>
      </c>
      <c r="S1145">
        <v>783</v>
      </c>
      <c r="T1145" t="s">
        <v>31</v>
      </c>
      <c r="U1145" t="s">
        <v>31</v>
      </c>
      <c r="V1145" t="s">
        <v>31</v>
      </c>
      <c r="W1145" t="s">
        <v>31</v>
      </c>
      <c r="X1145" t="s">
        <v>31</v>
      </c>
      <c r="Y1145" t="s">
        <v>31</v>
      </c>
    </row>
    <row r="1146" spans="1:25" hidden="1">
      <c r="A1146" t="s">
        <v>25</v>
      </c>
      <c r="B1146" t="s">
        <v>26</v>
      </c>
      <c r="C1146" t="s">
        <v>51</v>
      </c>
      <c r="D1146" s="1">
        <v>43393</v>
      </c>
      <c r="E1146" s="2">
        <v>0.66666666666666663</v>
      </c>
      <c r="F1146" t="s">
        <v>29</v>
      </c>
      <c r="G1146" t="s">
        <v>36</v>
      </c>
      <c r="H1146">
        <v>1</v>
      </c>
      <c r="I1146">
        <v>1</v>
      </c>
      <c r="J1146" t="s">
        <v>41</v>
      </c>
      <c r="K1146">
        <v>111</v>
      </c>
      <c r="L1146">
        <v>1023</v>
      </c>
      <c r="M1146">
        <v>2357</v>
      </c>
      <c r="N1146">
        <v>115</v>
      </c>
      <c r="O1146">
        <v>124</v>
      </c>
      <c r="P1146">
        <v>3235</v>
      </c>
      <c r="Q1146">
        <v>11</v>
      </c>
      <c r="R1146">
        <v>936</v>
      </c>
      <c r="S1146">
        <v>2132</v>
      </c>
      <c r="T1146" t="s">
        <v>31</v>
      </c>
      <c r="U1146" t="s">
        <v>31</v>
      </c>
      <c r="V1146" t="s">
        <v>31</v>
      </c>
      <c r="W1146" t="s">
        <v>31</v>
      </c>
      <c r="X1146" t="s">
        <v>31</v>
      </c>
      <c r="Y1146" t="s">
        <v>31</v>
      </c>
    </row>
    <row r="1147" spans="1:25" hidden="1">
      <c r="A1147" t="s">
        <v>25</v>
      </c>
      <c r="B1147" t="s">
        <v>26</v>
      </c>
      <c r="C1147" t="s">
        <v>51</v>
      </c>
      <c r="D1147" s="1">
        <v>43394</v>
      </c>
      <c r="E1147" s="2">
        <v>0.5625</v>
      </c>
      <c r="F1147" t="s">
        <v>37</v>
      </c>
      <c r="G1147" t="s">
        <v>39</v>
      </c>
      <c r="H1147">
        <v>0</v>
      </c>
      <c r="I1147">
        <v>0</v>
      </c>
      <c r="J1147" t="s">
        <v>41</v>
      </c>
      <c r="K1147">
        <v>357</v>
      </c>
      <c r="L1147">
        <v>392</v>
      </c>
      <c r="M1147">
        <v>201</v>
      </c>
      <c r="N1147">
        <v>38</v>
      </c>
      <c r="O1147">
        <v>392</v>
      </c>
      <c r="P1147">
        <v>204</v>
      </c>
      <c r="Q1147">
        <v>351</v>
      </c>
      <c r="R1147">
        <v>368</v>
      </c>
      <c r="S1147">
        <v>198</v>
      </c>
      <c r="T1147" t="s">
        <v>31</v>
      </c>
      <c r="U1147" t="s">
        <v>31</v>
      </c>
      <c r="V1147" t="s">
        <v>31</v>
      </c>
      <c r="W1147" t="s">
        <v>31</v>
      </c>
      <c r="X1147" t="s">
        <v>31</v>
      </c>
      <c r="Y1147" t="s">
        <v>31</v>
      </c>
    </row>
    <row r="1148" spans="1:25" hidden="1">
      <c r="A1148" t="s">
        <v>25</v>
      </c>
      <c r="B1148" t="s">
        <v>26</v>
      </c>
      <c r="C1148" t="s">
        <v>51</v>
      </c>
      <c r="D1148" s="1">
        <v>43394</v>
      </c>
      <c r="E1148" s="2">
        <v>0.5625</v>
      </c>
      <c r="F1148" t="s">
        <v>32</v>
      </c>
      <c r="G1148" t="s">
        <v>48</v>
      </c>
      <c r="H1148">
        <v>2</v>
      </c>
      <c r="I1148">
        <v>0</v>
      </c>
      <c r="J1148" t="s">
        <v>34</v>
      </c>
      <c r="K1148">
        <v>209</v>
      </c>
      <c r="L1148">
        <v>358</v>
      </c>
      <c r="M1148">
        <v>364</v>
      </c>
      <c r="N1148">
        <v>224</v>
      </c>
      <c r="O1148">
        <v>36</v>
      </c>
      <c r="P1148">
        <v>364</v>
      </c>
      <c r="Q1148">
        <v>209</v>
      </c>
      <c r="R1148">
        <v>345</v>
      </c>
      <c r="S1148">
        <v>338</v>
      </c>
      <c r="T1148" t="s">
        <v>31</v>
      </c>
      <c r="U1148" t="s">
        <v>31</v>
      </c>
      <c r="V1148" t="s">
        <v>31</v>
      </c>
      <c r="W1148" t="s">
        <v>31</v>
      </c>
      <c r="X1148" t="s">
        <v>31</v>
      </c>
      <c r="Y1148" t="s">
        <v>31</v>
      </c>
    </row>
    <row r="1149" spans="1:25" hidden="1">
      <c r="A1149" t="s">
        <v>25</v>
      </c>
      <c r="B1149" t="s">
        <v>26</v>
      </c>
      <c r="C1149" t="s">
        <v>51</v>
      </c>
      <c r="D1149" s="1">
        <v>43394</v>
      </c>
      <c r="E1149" s="2">
        <v>0.66666666666666663</v>
      </c>
      <c r="F1149" t="s">
        <v>40</v>
      </c>
      <c r="G1149" t="s">
        <v>28</v>
      </c>
      <c r="H1149">
        <v>1</v>
      </c>
      <c r="I1149">
        <v>1</v>
      </c>
      <c r="J1149" t="s">
        <v>41</v>
      </c>
      <c r="K1149">
        <v>244</v>
      </c>
      <c r="L1149">
        <v>35</v>
      </c>
      <c r="M1149">
        <v>298</v>
      </c>
      <c r="N1149">
        <v>248</v>
      </c>
      <c r="O1149">
        <v>35</v>
      </c>
      <c r="P1149">
        <v>31</v>
      </c>
      <c r="Q1149">
        <v>236</v>
      </c>
      <c r="R1149">
        <v>338</v>
      </c>
      <c r="S1149">
        <v>292</v>
      </c>
      <c r="T1149" t="s">
        <v>31</v>
      </c>
      <c r="U1149" t="s">
        <v>31</v>
      </c>
      <c r="V1149" t="s">
        <v>31</v>
      </c>
      <c r="W1149" t="s">
        <v>31</v>
      </c>
      <c r="X1149" t="s">
        <v>31</v>
      </c>
      <c r="Y1149" t="s">
        <v>31</v>
      </c>
    </row>
    <row r="1150" spans="1:25" hidden="1">
      <c r="A1150" t="s">
        <v>25</v>
      </c>
      <c r="B1150" t="s">
        <v>26</v>
      </c>
      <c r="C1150" t="s">
        <v>51</v>
      </c>
      <c r="D1150" s="1">
        <v>43400</v>
      </c>
      <c r="E1150" s="2">
        <v>0.66666666666666663</v>
      </c>
      <c r="F1150" t="s">
        <v>52</v>
      </c>
      <c r="G1150" t="s">
        <v>28</v>
      </c>
      <c r="H1150">
        <v>2</v>
      </c>
      <c r="I1150">
        <v>0</v>
      </c>
      <c r="J1150" t="s">
        <v>34</v>
      </c>
      <c r="K1150">
        <v>404</v>
      </c>
      <c r="L1150">
        <v>388</v>
      </c>
      <c r="M1150">
        <v>189</v>
      </c>
      <c r="N1150">
        <v>404</v>
      </c>
      <c r="O1150">
        <v>395</v>
      </c>
      <c r="P1150">
        <v>2</v>
      </c>
      <c r="Q1150">
        <v>378</v>
      </c>
      <c r="R1150">
        <v>371</v>
      </c>
      <c r="S1150">
        <v>189</v>
      </c>
      <c r="T1150" t="s">
        <v>31</v>
      </c>
      <c r="U1150" t="s">
        <v>31</v>
      </c>
      <c r="V1150" t="s">
        <v>31</v>
      </c>
      <c r="W1150" t="s">
        <v>31</v>
      </c>
      <c r="X1150" t="s">
        <v>31</v>
      </c>
      <c r="Y1150" t="s">
        <v>31</v>
      </c>
    </row>
    <row r="1151" spans="1:25" hidden="1">
      <c r="A1151" t="s">
        <v>25</v>
      </c>
      <c r="B1151" t="s">
        <v>26</v>
      </c>
      <c r="C1151" t="s">
        <v>51</v>
      </c>
      <c r="D1151" s="1">
        <v>43400</v>
      </c>
      <c r="E1151" s="2">
        <v>0.66666666666666663</v>
      </c>
      <c r="F1151" t="s">
        <v>32</v>
      </c>
      <c r="G1151" t="s">
        <v>45</v>
      </c>
      <c r="H1151">
        <v>1</v>
      </c>
      <c r="I1151">
        <v>1</v>
      </c>
      <c r="J1151" t="s">
        <v>41</v>
      </c>
      <c r="K1151">
        <v>193</v>
      </c>
      <c r="L1151">
        <v>379</v>
      </c>
      <c r="M1151">
        <v>401</v>
      </c>
      <c r="N1151">
        <v>198</v>
      </c>
      <c r="O1151">
        <v>38</v>
      </c>
      <c r="P1151">
        <v>404</v>
      </c>
      <c r="Q1151">
        <v>19</v>
      </c>
      <c r="R1151">
        <v>363</v>
      </c>
      <c r="S1151">
        <v>384</v>
      </c>
      <c r="T1151" t="s">
        <v>31</v>
      </c>
      <c r="U1151" t="s">
        <v>31</v>
      </c>
      <c r="V1151" t="s">
        <v>31</v>
      </c>
      <c r="W1151" t="s">
        <v>31</v>
      </c>
      <c r="X1151" t="s">
        <v>31</v>
      </c>
      <c r="Y1151" t="s">
        <v>31</v>
      </c>
    </row>
    <row r="1152" spans="1:25" hidden="1">
      <c r="A1152" t="s">
        <v>25</v>
      </c>
      <c r="B1152" t="s">
        <v>26</v>
      </c>
      <c r="C1152" t="s">
        <v>51</v>
      </c>
      <c r="D1152" s="1">
        <v>43400</v>
      </c>
      <c r="E1152" s="2">
        <v>0.66666666666666663</v>
      </c>
      <c r="F1152" t="s">
        <v>36</v>
      </c>
      <c r="G1152" t="s">
        <v>40</v>
      </c>
      <c r="H1152">
        <v>0</v>
      </c>
      <c r="I1152">
        <v>0</v>
      </c>
      <c r="J1152" t="s">
        <v>41</v>
      </c>
      <c r="K1152">
        <v>316</v>
      </c>
      <c r="L1152">
        <v>348</v>
      </c>
      <c r="M1152">
        <v>234</v>
      </c>
      <c r="N1152">
        <v>316</v>
      </c>
      <c r="O1152">
        <v>357</v>
      </c>
      <c r="P1152">
        <v>238</v>
      </c>
      <c r="Q1152">
        <v>303</v>
      </c>
      <c r="R1152">
        <v>34</v>
      </c>
      <c r="S1152">
        <v>228</v>
      </c>
      <c r="T1152" t="s">
        <v>31</v>
      </c>
      <c r="U1152" t="s">
        <v>31</v>
      </c>
      <c r="V1152" t="s">
        <v>31</v>
      </c>
      <c r="W1152" t="s">
        <v>31</v>
      </c>
      <c r="X1152" t="s">
        <v>31</v>
      </c>
      <c r="Y1152" t="s">
        <v>31</v>
      </c>
    </row>
    <row r="1153" spans="1:25" hidden="1">
      <c r="A1153" t="s">
        <v>25</v>
      </c>
      <c r="B1153" t="s">
        <v>26</v>
      </c>
      <c r="C1153" t="s">
        <v>51</v>
      </c>
      <c r="D1153" s="1">
        <v>43401</v>
      </c>
      <c r="E1153" s="2">
        <v>0.5625</v>
      </c>
      <c r="F1153" t="s">
        <v>39</v>
      </c>
      <c r="G1153" t="s">
        <v>48</v>
      </c>
      <c r="H1153">
        <v>1</v>
      </c>
      <c r="I1153">
        <v>0</v>
      </c>
      <c r="J1153" t="s">
        <v>34</v>
      </c>
      <c r="K1153">
        <v>172</v>
      </c>
      <c r="L1153">
        <v>389</v>
      </c>
      <c r="M1153">
        <v>506</v>
      </c>
      <c r="N1153">
        <v>175</v>
      </c>
      <c r="O1153">
        <v>415</v>
      </c>
      <c r="P1153">
        <v>506</v>
      </c>
      <c r="Q1153">
        <v>17</v>
      </c>
      <c r="R1153">
        <v>381</v>
      </c>
      <c r="S1153">
        <v>475</v>
      </c>
      <c r="T1153" t="s">
        <v>31</v>
      </c>
      <c r="U1153" t="s">
        <v>31</v>
      </c>
      <c r="V1153" t="s">
        <v>31</v>
      </c>
      <c r="W1153" t="s">
        <v>31</v>
      </c>
      <c r="X1153" t="s">
        <v>31</v>
      </c>
      <c r="Y1153" t="s">
        <v>31</v>
      </c>
    </row>
    <row r="1154" spans="1:25" hidden="1">
      <c r="A1154" t="s">
        <v>25</v>
      </c>
      <c r="B1154" t="s">
        <v>26</v>
      </c>
      <c r="C1154" t="s">
        <v>51</v>
      </c>
      <c r="D1154" s="1">
        <v>43401</v>
      </c>
      <c r="E1154" s="2">
        <v>0.5625</v>
      </c>
      <c r="F1154" t="s">
        <v>35</v>
      </c>
      <c r="G1154" t="s">
        <v>37</v>
      </c>
      <c r="H1154">
        <v>2</v>
      </c>
      <c r="I1154">
        <v>0</v>
      </c>
      <c r="J1154" t="s">
        <v>34</v>
      </c>
      <c r="K1154">
        <v>135</v>
      </c>
      <c r="L1154">
        <v>565</v>
      </c>
      <c r="M1154">
        <v>79</v>
      </c>
      <c r="N1154">
        <v>145</v>
      </c>
      <c r="O1154">
        <v>605</v>
      </c>
      <c r="P1154">
        <v>95</v>
      </c>
      <c r="Q1154">
        <v>131</v>
      </c>
      <c r="R1154">
        <v>553</v>
      </c>
      <c r="S1154">
        <v>845</v>
      </c>
      <c r="T1154" t="s">
        <v>31</v>
      </c>
      <c r="U1154" t="s">
        <v>31</v>
      </c>
      <c r="V1154" t="s">
        <v>31</v>
      </c>
      <c r="W1154" t="s">
        <v>31</v>
      </c>
      <c r="X1154" t="s">
        <v>31</v>
      </c>
      <c r="Y1154" t="s">
        <v>31</v>
      </c>
    </row>
    <row r="1155" spans="1:25" hidden="1">
      <c r="A1155" t="s">
        <v>25</v>
      </c>
      <c r="B1155" t="s">
        <v>26</v>
      </c>
      <c r="C1155" t="s">
        <v>51</v>
      </c>
      <c r="D1155" s="1">
        <v>43401</v>
      </c>
      <c r="E1155" s="2">
        <v>0.66666666666666663</v>
      </c>
      <c r="F1155" t="s">
        <v>50</v>
      </c>
      <c r="G1155" t="s">
        <v>29</v>
      </c>
      <c r="H1155">
        <v>3</v>
      </c>
      <c r="I1155">
        <v>3</v>
      </c>
      <c r="J1155" t="s">
        <v>41</v>
      </c>
      <c r="K1155">
        <v>472</v>
      </c>
      <c r="L1155">
        <v>366</v>
      </c>
      <c r="M1155">
        <v>182</v>
      </c>
      <c r="N1155">
        <v>475</v>
      </c>
      <c r="O1155">
        <v>375</v>
      </c>
      <c r="P1155">
        <v>184</v>
      </c>
      <c r="Q1155">
        <v>446</v>
      </c>
      <c r="R1155">
        <v>355</v>
      </c>
      <c r="S1155">
        <v>179</v>
      </c>
      <c r="T1155" t="s">
        <v>31</v>
      </c>
      <c r="U1155" t="s">
        <v>31</v>
      </c>
      <c r="V1155" t="s">
        <v>31</v>
      </c>
      <c r="W1155" t="s">
        <v>31</v>
      </c>
      <c r="X1155" t="s">
        <v>31</v>
      </c>
      <c r="Y1155" t="s">
        <v>31</v>
      </c>
    </row>
    <row r="1156" spans="1:25" hidden="1">
      <c r="A1156" t="s">
        <v>25</v>
      </c>
      <c r="B1156" t="s">
        <v>26</v>
      </c>
      <c r="C1156" t="s">
        <v>51</v>
      </c>
      <c r="D1156" s="1">
        <v>43407</v>
      </c>
      <c r="E1156" s="2">
        <v>0.66666666666666663</v>
      </c>
      <c r="F1156" t="s">
        <v>37</v>
      </c>
      <c r="G1156" t="s">
        <v>52</v>
      </c>
      <c r="H1156">
        <v>2</v>
      </c>
      <c r="I1156">
        <v>3</v>
      </c>
      <c r="J1156" t="s">
        <v>30</v>
      </c>
      <c r="K1156">
        <v>282</v>
      </c>
      <c r="L1156">
        <v>366</v>
      </c>
      <c r="M1156">
        <v>248</v>
      </c>
      <c r="N1156">
        <v>3</v>
      </c>
      <c r="O1156">
        <v>374</v>
      </c>
      <c r="P1156">
        <v>251</v>
      </c>
      <c r="Q1156">
        <v>276</v>
      </c>
      <c r="R1156">
        <v>352</v>
      </c>
      <c r="S1156">
        <v>24</v>
      </c>
      <c r="T1156" t="s">
        <v>31</v>
      </c>
      <c r="U1156" t="s">
        <v>31</v>
      </c>
      <c r="V1156" t="s">
        <v>31</v>
      </c>
      <c r="W1156" t="s">
        <v>31</v>
      </c>
      <c r="X1156" t="s">
        <v>31</v>
      </c>
      <c r="Y1156" t="s">
        <v>31</v>
      </c>
    </row>
    <row r="1157" spans="1:25" hidden="1">
      <c r="A1157" t="s">
        <v>25</v>
      </c>
      <c r="B1157" t="s">
        <v>26</v>
      </c>
      <c r="C1157" t="s">
        <v>51</v>
      </c>
      <c r="D1157" s="1">
        <v>43407</v>
      </c>
      <c r="E1157" s="2">
        <v>0.66666666666666663</v>
      </c>
      <c r="F1157" t="s">
        <v>48</v>
      </c>
      <c r="G1157" t="s">
        <v>50</v>
      </c>
      <c r="H1157">
        <v>2</v>
      </c>
      <c r="I1157">
        <v>2</v>
      </c>
      <c r="J1157" t="s">
        <v>41</v>
      </c>
      <c r="K1157">
        <v>519</v>
      </c>
      <c r="L1157">
        <v>417</v>
      </c>
      <c r="M1157">
        <v>165</v>
      </c>
      <c r="N1157">
        <v>55</v>
      </c>
      <c r="O1157">
        <v>417</v>
      </c>
      <c r="P1157">
        <v>169</v>
      </c>
      <c r="Q1157">
        <v>507</v>
      </c>
      <c r="R1157">
        <v>393</v>
      </c>
      <c r="S1157">
        <v>163</v>
      </c>
      <c r="T1157" t="s">
        <v>31</v>
      </c>
      <c r="U1157" t="s">
        <v>31</v>
      </c>
      <c r="V1157" t="s">
        <v>31</v>
      </c>
      <c r="W1157" t="s">
        <v>31</v>
      </c>
      <c r="X1157" t="s">
        <v>31</v>
      </c>
      <c r="Y1157" t="s">
        <v>31</v>
      </c>
    </row>
    <row r="1158" spans="1:25" hidden="1">
      <c r="A1158" t="s">
        <v>25</v>
      </c>
      <c r="B1158" t="s">
        <v>26</v>
      </c>
      <c r="C1158" t="s">
        <v>51</v>
      </c>
      <c r="D1158" s="1">
        <v>43407</v>
      </c>
      <c r="E1158" s="2">
        <v>0.66666666666666663</v>
      </c>
      <c r="F1158" t="s">
        <v>28</v>
      </c>
      <c r="G1158" t="s">
        <v>36</v>
      </c>
      <c r="H1158">
        <v>1</v>
      </c>
      <c r="I1158">
        <v>1</v>
      </c>
      <c r="J1158" t="s">
        <v>41</v>
      </c>
      <c r="K1158">
        <v>154</v>
      </c>
      <c r="L1158">
        <v>44</v>
      </c>
      <c r="M1158">
        <v>622</v>
      </c>
      <c r="N1158">
        <v>156</v>
      </c>
      <c r="O1158">
        <v>44</v>
      </c>
      <c r="P1158">
        <v>625</v>
      </c>
      <c r="Q1158">
        <v>153</v>
      </c>
      <c r="R1158">
        <v>421</v>
      </c>
      <c r="S1158">
        <v>582</v>
      </c>
      <c r="T1158" t="s">
        <v>31</v>
      </c>
      <c r="U1158" t="s">
        <v>31</v>
      </c>
      <c r="V1158" t="s">
        <v>31</v>
      </c>
      <c r="W1158" t="s">
        <v>31</v>
      </c>
      <c r="X1158" t="s">
        <v>31</v>
      </c>
      <c r="Y1158" t="s">
        <v>31</v>
      </c>
    </row>
    <row r="1159" spans="1:25" hidden="1">
      <c r="A1159" t="s">
        <v>25</v>
      </c>
      <c r="B1159" t="s">
        <v>26</v>
      </c>
      <c r="C1159" t="s">
        <v>51</v>
      </c>
      <c r="D1159" s="1">
        <v>43408</v>
      </c>
      <c r="E1159" s="2">
        <v>0.5625</v>
      </c>
      <c r="F1159" t="s">
        <v>40</v>
      </c>
      <c r="G1159" t="s">
        <v>39</v>
      </c>
      <c r="H1159">
        <v>2</v>
      </c>
      <c r="I1159">
        <v>3</v>
      </c>
      <c r="J1159" t="s">
        <v>30</v>
      </c>
      <c r="K1159">
        <v>236</v>
      </c>
      <c r="L1159">
        <v>329</v>
      </c>
      <c r="M1159">
        <v>331</v>
      </c>
      <c r="N1159">
        <v>236</v>
      </c>
      <c r="O1159">
        <v>335</v>
      </c>
      <c r="P1159">
        <v>34</v>
      </c>
      <c r="Q1159">
        <v>227</v>
      </c>
      <c r="R1159">
        <v>323</v>
      </c>
      <c r="S1159">
        <v>317</v>
      </c>
      <c r="T1159" t="s">
        <v>31</v>
      </c>
      <c r="U1159" t="s">
        <v>31</v>
      </c>
      <c r="V1159" t="s">
        <v>31</v>
      </c>
      <c r="W1159" t="s">
        <v>31</v>
      </c>
      <c r="X1159" t="s">
        <v>31</v>
      </c>
      <c r="Y1159" t="s">
        <v>31</v>
      </c>
    </row>
    <row r="1160" spans="1:25" hidden="1">
      <c r="A1160" t="s">
        <v>25</v>
      </c>
      <c r="B1160" t="s">
        <v>26</v>
      </c>
      <c r="C1160" t="s">
        <v>51</v>
      </c>
      <c r="D1160" s="1">
        <v>43408</v>
      </c>
      <c r="E1160" s="2">
        <v>0.5625</v>
      </c>
      <c r="F1160" t="s">
        <v>29</v>
      </c>
      <c r="G1160" t="s">
        <v>32</v>
      </c>
      <c r="H1160">
        <v>2</v>
      </c>
      <c r="I1160">
        <v>1</v>
      </c>
      <c r="J1160" t="s">
        <v>34</v>
      </c>
      <c r="K1160">
        <v>115</v>
      </c>
      <c r="L1160">
        <v>794</v>
      </c>
      <c r="M1160">
        <v>2001</v>
      </c>
      <c r="N1160">
        <v>12</v>
      </c>
      <c r="O1160">
        <v>804</v>
      </c>
      <c r="P1160">
        <v>2001</v>
      </c>
      <c r="Q1160">
        <v>115</v>
      </c>
      <c r="R1160">
        <v>739</v>
      </c>
      <c r="S1160">
        <v>1622</v>
      </c>
      <c r="T1160" t="s">
        <v>31</v>
      </c>
      <c r="U1160" t="s">
        <v>31</v>
      </c>
      <c r="V1160" t="s">
        <v>31</v>
      </c>
      <c r="W1160" t="s">
        <v>31</v>
      </c>
      <c r="X1160" t="s">
        <v>31</v>
      </c>
      <c r="Y1160" t="s">
        <v>31</v>
      </c>
    </row>
    <row r="1161" spans="1:25" hidden="1">
      <c r="A1161" t="s">
        <v>25</v>
      </c>
      <c r="B1161" t="s">
        <v>26</v>
      </c>
      <c r="C1161" t="s">
        <v>51</v>
      </c>
      <c r="D1161" s="1">
        <v>43408</v>
      </c>
      <c r="E1161" s="2">
        <v>0.66666666666666663</v>
      </c>
      <c r="F1161" t="s">
        <v>45</v>
      </c>
      <c r="G1161" t="s">
        <v>35</v>
      </c>
      <c r="H1161">
        <v>2</v>
      </c>
      <c r="I1161">
        <v>2</v>
      </c>
      <c r="J1161" t="s">
        <v>41</v>
      </c>
      <c r="K1161">
        <v>383</v>
      </c>
      <c r="L1161">
        <v>375</v>
      </c>
      <c r="M1161">
        <v>198</v>
      </c>
      <c r="N1161">
        <v>383</v>
      </c>
      <c r="O1161">
        <v>375</v>
      </c>
      <c r="P1161">
        <v>208</v>
      </c>
      <c r="Q1161">
        <v>36</v>
      </c>
      <c r="R1161">
        <v>357</v>
      </c>
      <c r="S1161">
        <v>198</v>
      </c>
      <c r="T1161" t="s">
        <v>31</v>
      </c>
      <c r="U1161" t="s">
        <v>31</v>
      </c>
      <c r="V1161" t="s">
        <v>31</v>
      </c>
      <c r="W1161" t="s">
        <v>31</v>
      </c>
      <c r="X1161" t="s">
        <v>31</v>
      </c>
      <c r="Y1161" t="s">
        <v>31</v>
      </c>
    </row>
    <row r="1162" spans="1:25" hidden="1">
      <c r="A1162" t="s">
        <v>25</v>
      </c>
      <c r="B1162" t="s">
        <v>26</v>
      </c>
      <c r="C1162" t="s">
        <v>51</v>
      </c>
      <c r="D1162" s="1">
        <v>43414</v>
      </c>
      <c r="E1162" s="2">
        <v>0.66666666666666663</v>
      </c>
      <c r="F1162" t="s">
        <v>50</v>
      </c>
      <c r="G1162" t="s">
        <v>37</v>
      </c>
      <c r="H1162">
        <v>5</v>
      </c>
      <c r="I1162">
        <v>1</v>
      </c>
      <c r="J1162" t="s">
        <v>34</v>
      </c>
      <c r="K1162">
        <v>13</v>
      </c>
      <c r="L1162">
        <v>55</v>
      </c>
      <c r="M1162">
        <v>1066</v>
      </c>
      <c r="N1162">
        <v>133</v>
      </c>
      <c r="O1162">
        <v>6</v>
      </c>
      <c r="P1162">
        <v>115</v>
      </c>
      <c r="Q1162">
        <v>128</v>
      </c>
      <c r="R1162">
        <v>547</v>
      </c>
      <c r="S1162">
        <v>977</v>
      </c>
      <c r="T1162" t="s">
        <v>31</v>
      </c>
      <c r="U1162" t="s">
        <v>31</v>
      </c>
      <c r="V1162" t="s">
        <v>31</v>
      </c>
      <c r="W1162" t="s">
        <v>31</v>
      </c>
      <c r="X1162" t="s">
        <v>31</v>
      </c>
      <c r="Y1162" t="s">
        <v>31</v>
      </c>
    </row>
    <row r="1163" spans="1:25" hidden="1">
      <c r="A1163" t="s">
        <v>25</v>
      </c>
      <c r="B1163" t="s">
        <v>26</v>
      </c>
      <c r="C1163" t="s">
        <v>51</v>
      </c>
      <c r="D1163" s="1">
        <v>43414</v>
      </c>
      <c r="E1163" s="2">
        <v>0.66666666666666663</v>
      </c>
      <c r="F1163" t="s">
        <v>28</v>
      </c>
      <c r="G1163" t="s">
        <v>48</v>
      </c>
      <c r="H1163">
        <v>0</v>
      </c>
      <c r="I1163">
        <v>0</v>
      </c>
      <c r="J1163" t="s">
        <v>41</v>
      </c>
      <c r="K1163">
        <v>163</v>
      </c>
      <c r="L1163">
        <v>38</v>
      </c>
      <c r="M1163">
        <v>629</v>
      </c>
      <c r="N1163">
        <v>166</v>
      </c>
      <c r="O1163">
        <v>4</v>
      </c>
      <c r="P1163">
        <v>629</v>
      </c>
      <c r="Q1163">
        <v>16</v>
      </c>
      <c r="R1163">
        <v>383</v>
      </c>
      <c r="S1163">
        <v>559</v>
      </c>
      <c r="T1163" t="s">
        <v>31</v>
      </c>
      <c r="U1163" t="s">
        <v>31</v>
      </c>
      <c r="V1163" t="s">
        <v>31</v>
      </c>
      <c r="W1163" t="s">
        <v>31</v>
      </c>
      <c r="X1163" t="s">
        <v>31</v>
      </c>
      <c r="Y1163" t="s">
        <v>31</v>
      </c>
    </row>
    <row r="1164" spans="1:25" hidden="1">
      <c r="A1164" t="s">
        <v>25</v>
      </c>
      <c r="B1164" t="s">
        <v>26</v>
      </c>
      <c r="C1164" t="s">
        <v>51</v>
      </c>
      <c r="D1164" s="1">
        <v>43414</v>
      </c>
      <c r="E1164" s="2">
        <v>0.66666666666666663</v>
      </c>
      <c r="F1164" t="s">
        <v>36</v>
      </c>
      <c r="G1164" t="s">
        <v>45</v>
      </c>
      <c r="H1164">
        <v>1</v>
      </c>
      <c r="I1164">
        <v>0</v>
      </c>
      <c r="J1164" t="s">
        <v>34</v>
      </c>
      <c r="K1164">
        <v>264</v>
      </c>
      <c r="L1164">
        <v>333</v>
      </c>
      <c r="M1164">
        <v>285</v>
      </c>
      <c r="N1164">
        <v>268</v>
      </c>
      <c r="O1164">
        <v>34</v>
      </c>
      <c r="P1164">
        <v>287</v>
      </c>
      <c r="Q1164">
        <v>256</v>
      </c>
      <c r="R1164">
        <v>326</v>
      </c>
      <c r="S1164">
        <v>273</v>
      </c>
      <c r="T1164" t="s">
        <v>31</v>
      </c>
      <c r="U1164" t="s">
        <v>31</v>
      </c>
      <c r="V1164" t="s">
        <v>31</v>
      </c>
      <c r="W1164" t="s">
        <v>31</v>
      </c>
      <c r="X1164" t="s">
        <v>31</v>
      </c>
      <c r="Y1164" t="s">
        <v>31</v>
      </c>
    </row>
    <row r="1165" spans="1:25" hidden="1">
      <c r="A1165" t="s">
        <v>25</v>
      </c>
      <c r="B1165" t="s">
        <v>26</v>
      </c>
      <c r="C1165" t="s">
        <v>51</v>
      </c>
      <c r="D1165" s="1">
        <v>43415</v>
      </c>
      <c r="E1165" s="2">
        <v>0.5625</v>
      </c>
      <c r="F1165" t="s">
        <v>39</v>
      </c>
      <c r="G1165" t="s">
        <v>35</v>
      </c>
      <c r="H1165">
        <v>3</v>
      </c>
      <c r="I1165">
        <v>1</v>
      </c>
      <c r="J1165" t="s">
        <v>34</v>
      </c>
      <c r="K1165">
        <v>259</v>
      </c>
      <c r="L1165">
        <v>359</v>
      </c>
      <c r="M1165">
        <v>274</v>
      </c>
      <c r="N1165">
        <v>266</v>
      </c>
      <c r="O1165">
        <v>359</v>
      </c>
      <c r="P1165">
        <v>287</v>
      </c>
      <c r="Q1165">
        <v>249</v>
      </c>
      <c r="R1165">
        <v>343</v>
      </c>
      <c r="S1165">
        <v>27</v>
      </c>
      <c r="T1165" t="s">
        <v>31</v>
      </c>
      <c r="U1165" t="s">
        <v>31</v>
      </c>
      <c r="V1165" t="s">
        <v>31</v>
      </c>
      <c r="W1165" t="s">
        <v>31</v>
      </c>
      <c r="X1165" t="s">
        <v>31</v>
      </c>
      <c r="Y1165" t="s">
        <v>31</v>
      </c>
    </row>
    <row r="1166" spans="1:25" hidden="1">
      <c r="A1166" t="s">
        <v>25</v>
      </c>
      <c r="B1166" t="s">
        <v>26</v>
      </c>
      <c r="C1166" t="s">
        <v>51</v>
      </c>
      <c r="D1166" s="1">
        <v>43415</v>
      </c>
      <c r="E1166" s="2">
        <v>0.5625</v>
      </c>
      <c r="F1166" t="s">
        <v>32</v>
      </c>
      <c r="G1166" t="s">
        <v>52</v>
      </c>
      <c r="H1166">
        <v>1</v>
      </c>
      <c r="I1166">
        <v>2</v>
      </c>
      <c r="J1166" t="s">
        <v>30</v>
      </c>
      <c r="K1166">
        <v>207</v>
      </c>
      <c r="L1166">
        <v>355</v>
      </c>
      <c r="M1166">
        <v>374</v>
      </c>
      <c r="N1166">
        <v>21</v>
      </c>
      <c r="O1166">
        <v>369</v>
      </c>
      <c r="P1166">
        <v>374</v>
      </c>
      <c r="Q1166">
        <v>203</v>
      </c>
      <c r="R1166">
        <v>355</v>
      </c>
      <c r="S1166">
        <v>348</v>
      </c>
      <c r="T1166" t="s">
        <v>31</v>
      </c>
      <c r="U1166" t="s">
        <v>31</v>
      </c>
      <c r="V1166" t="s">
        <v>31</v>
      </c>
      <c r="W1166" t="s">
        <v>31</v>
      </c>
      <c r="X1166" t="s">
        <v>31</v>
      </c>
      <c r="Y1166" t="s">
        <v>31</v>
      </c>
    </row>
    <row r="1167" spans="1:25" hidden="1">
      <c r="A1167" t="s">
        <v>25</v>
      </c>
      <c r="B1167" t="s">
        <v>26</v>
      </c>
      <c r="C1167" t="s">
        <v>51</v>
      </c>
      <c r="D1167" s="1">
        <v>43415</v>
      </c>
      <c r="E1167" s="2">
        <v>0.66666666666666663</v>
      </c>
      <c r="F1167" t="s">
        <v>40</v>
      </c>
      <c r="G1167" t="s">
        <v>29</v>
      </c>
      <c r="H1167">
        <v>0</v>
      </c>
      <c r="I1167">
        <v>2</v>
      </c>
      <c r="J1167" t="s">
        <v>30</v>
      </c>
      <c r="K1167">
        <v>824</v>
      </c>
      <c r="L1167">
        <v>5</v>
      </c>
      <c r="M1167">
        <v>139</v>
      </c>
      <c r="N1167">
        <v>87</v>
      </c>
      <c r="O1167">
        <v>53</v>
      </c>
      <c r="P1167">
        <v>142</v>
      </c>
      <c r="Q1167">
        <v>79</v>
      </c>
      <c r="R1167">
        <v>489</v>
      </c>
      <c r="S1167">
        <v>136</v>
      </c>
      <c r="T1167" t="s">
        <v>31</v>
      </c>
      <c r="U1167" t="s">
        <v>31</v>
      </c>
      <c r="V1167" t="s">
        <v>31</v>
      </c>
      <c r="W1167" t="s">
        <v>31</v>
      </c>
      <c r="X1167" t="s">
        <v>31</v>
      </c>
      <c r="Y1167" t="s">
        <v>31</v>
      </c>
    </row>
    <row r="1168" spans="1:25" hidden="1">
      <c r="A1168" t="s">
        <v>25</v>
      </c>
      <c r="B1168" t="s">
        <v>26</v>
      </c>
      <c r="C1168" t="s">
        <v>51</v>
      </c>
      <c r="D1168" s="1">
        <v>43428</v>
      </c>
      <c r="E1168" s="2">
        <v>0.66666666666666663</v>
      </c>
      <c r="F1168" t="s">
        <v>39</v>
      </c>
      <c r="G1168" t="s">
        <v>32</v>
      </c>
      <c r="H1168">
        <v>2</v>
      </c>
      <c r="I1168">
        <v>2</v>
      </c>
      <c r="J1168" t="s">
        <v>41</v>
      </c>
      <c r="K1168">
        <v>181</v>
      </c>
      <c r="L1168">
        <v>389</v>
      </c>
      <c r="M1168">
        <v>444</v>
      </c>
      <c r="N1168">
        <v>186</v>
      </c>
      <c r="O1168">
        <v>39</v>
      </c>
      <c r="P1168">
        <v>462</v>
      </c>
      <c r="Q1168">
        <v>177</v>
      </c>
      <c r="R1168">
        <v>37</v>
      </c>
      <c r="S1168">
        <v>429</v>
      </c>
      <c r="T1168" t="s">
        <v>31</v>
      </c>
      <c r="U1168" t="s">
        <v>31</v>
      </c>
      <c r="V1168" t="s">
        <v>31</v>
      </c>
      <c r="W1168" t="s">
        <v>31</v>
      </c>
      <c r="X1168" t="s">
        <v>31</v>
      </c>
      <c r="Y1168" t="s">
        <v>31</v>
      </c>
    </row>
    <row r="1169" spans="1:25" hidden="1">
      <c r="A1169" t="s">
        <v>25</v>
      </c>
      <c r="B1169" t="s">
        <v>26</v>
      </c>
      <c r="C1169" t="s">
        <v>51</v>
      </c>
      <c r="D1169" s="1">
        <v>43428</v>
      </c>
      <c r="E1169" s="2">
        <v>0.66666666666666663</v>
      </c>
      <c r="F1169" t="s">
        <v>37</v>
      </c>
      <c r="G1169" t="s">
        <v>40</v>
      </c>
      <c r="H1169">
        <v>1</v>
      </c>
      <c r="I1169">
        <v>2</v>
      </c>
      <c r="J1169" t="s">
        <v>30</v>
      </c>
      <c r="K1169">
        <v>393</v>
      </c>
      <c r="L1169">
        <v>379</v>
      </c>
      <c r="M1169">
        <v>194</v>
      </c>
      <c r="N1169">
        <v>45</v>
      </c>
      <c r="O1169">
        <v>388</v>
      </c>
      <c r="P1169">
        <v>199</v>
      </c>
      <c r="Q1169">
        <v>389</v>
      </c>
      <c r="R1169">
        <v>367</v>
      </c>
      <c r="S1169">
        <v>187</v>
      </c>
      <c r="T1169" t="s">
        <v>31</v>
      </c>
      <c r="U1169" t="s">
        <v>31</v>
      </c>
      <c r="V1169" t="s">
        <v>31</v>
      </c>
      <c r="W1169" t="s">
        <v>31</v>
      </c>
      <c r="X1169" t="s">
        <v>31</v>
      </c>
      <c r="Y1169" t="s">
        <v>31</v>
      </c>
    </row>
    <row r="1170" spans="1:25" hidden="1">
      <c r="A1170" t="s">
        <v>25</v>
      </c>
      <c r="B1170" t="s">
        <v>26</v>
      </c>
      <c r="C1170" t="s">
        <v>51</v>
      </c>
      <c r="D1170" s="1">
        <v>43428</v>
      </c>
      <c r="E1170" s="2">
        <v>0.66666666666666663</v>
      </c>
      <c r="F1170" t="s">
        <v>52</v>
      </c>
      <c r="G1170" t="s">
        <v>29</v>
      </c>
      <c r="H1170">
        <v>0</v>
      </c>
      <c r="I1170">
        <v>4</v>
      </c>
      <c r="J1170" t="s">
        <v>30</v>
      </c>
      <c r="K1170">
        <v>943</v>
      </c>
      <c r="L1170">
        <v>632</v>
      </c>
      <c r="M1170">
        <v>128</v>
      </c>
      <c r="N1170">
        <v>11</v>
      </c>
      <c r="O1170">
        <v>64</v>
      </c>
      <c r="P1170">
        <v>133</v>
      </c>
      <c r="Q1170">
        <v>961</v>
      </c>
      <c r="R1170">
        <v>591</v>
      </c>
      <c r="S1170">
        <v>126</v>
      </c>
      <c r="T1170" t="s">
        <v>31</v>
      </c>
      <c r="U1170" t="s">
        <v>31</v>
      </c>
      <c r="V1170" t="s">
        <v>31</v>
      </c>
      <c r="W1170" t="s">
        <v>31</v>
      </c>
      <c r="X1170" t="s">
        <v>31</v>
      </c>
      <c r="Y1170" t="s">
        <v>31</v>
      </c>
    </row>
    <row r="1171" spans="1:25" hidden="1">
      <c r="A1171" t="s">
        <v>25</v>
      </c>
      <c r="B1171" t="s">
        <v>26</v>
      </c>
      <c r="C1171" t="s">
        <v>51</v>
      </c>
      <c r="D1171" s="1">
        <v>43429</v>
      </c>
      <c r="E1171" s="2">
        <v>0.5625</v>
      </c>
      <c r="F1171" t="s">
        <v>45</v>
      </c>
      <c r="G1171" t="s">
        <v>28</v>
      </c>
      <c r="H1171">
        <v>0</v>
      </c>
      <c r="I1171">
        <v>2</v>
      </c>
      <c r="J1171" t="s">
        <v>30</v>
      </c>
      <c r="K1171">
        <v>333</v>
      </c>
      <c r="L1171">
        <v>366</v>
      </c>
      <c r="M1171">
        <v>218</v>
      </c>
      <c r="N1171">
        <v>335</v>
      </c>
      <c r="O1171">
        <v>366</v>
      </c>
      <c r="P1171">
        <v>225</v>
      </c>
      <c r="Q1171">
        <v>318</v>
      </c>
      <c r="R1171">
        <v>345</v>
      </c>
      <c r="S1171">
        <v>216</v>
      </c>
      <c r="T1171" t="s">
        <v>31</v>
      </c>
      <c r="U1171" t="s">
        <v>31</v>
      </c>
      <c r="V1171" t="s">
        <v>31</v>
      </c>
      <c r="W1171" t="s">
        <v>31</v>
      </c>
      <c r="X1171" t="s">
        <v>31</v>
      </c>
      <c r="Y1171" t="s">
        <v>31</v>
      </c>
    </row>
    <row r="1172" spans="1:25" hidden="1">
      <c r="A1172" t="s">
        <v>25</v>
      </c>
      <c r="B1172" t="s">
        <v>26</v>
      </c>
      <c r="C1172" t="s">
        <v>51</v>
      </c>
      <c r="D1172" s="1">
        <v>43429</v>
      </c>
      <c r="E1172" s="2">
        <v>0.5625</v>
      </c>
      <c r="F1172" t="s">
        <v>48</v>
      </c>
      <c r="G1172" t="s">
        <v>36</v>
      </c>
      <c r="H1172">
        <v>2</v>
      </c>
      <c r="I1172">
        <v>0</v>
      </c>
      <c r="J1172" t="s">
        <v>34</v>
      </c>
      <c r="K1172">
        <v>214</v>
      </c>
      <c r="L1172">
        <v>362</v>
      </c>
      <c r="M1172">
        <v>346</v>
      </c>
      <c r="N1172">
        <v>217</v>
      </c>
      <c r="O1172">
        <v>362</v>
      </c>
      <c r="P1172">
        <v>36</v>
      </c>
      <c r="Q1172">
        <v>21</v>
      </c>
      <c r="R1172">
        <v>345</v>
      </c>
      <c r="S1172">
        <v>334</v>
      </c>
      <c r="T1172" t="s">
        <v>31</v>
      </c>
      <c r="U1172" t="s">
        <v>31</v>
      </c>
      <c r="V1172" t="s">
        <v>31</v>
      </c>
      <c r="W1172" t="s">
        <v>31</v>
      </c>
      <c r="X1172" t="s">
        <v>31</v>
      </c>
      <c r="Y1172" t="s">
        <v>31</v>
      </c>
    </row>
    <row r="1173" spans="1:25" hidden="1">
      <c r="A1173" t="s">
        <v>25</v>
      </c>
      <c r="B1173" t="s">
        <v>26</v>
      </c>
      <c r="C1173" t="s">
        <v>51</v>
      </c>
      <c r="D1173" s="1">
        <v>43429</v>
      </c>
      <c r="E1173" s="2">
        <v>0.66666666666666663</v>
      </c>
      <c r="F1173" t="s">
        <v>35</v>
      </c>
      <c r="G1173" t="s">
        <v>50</v>
      </c>
      <c r="H1173">
        <v>0</v>
      </c>
      <c r="I1173">
        <v>1</v>
      </c>
      <c r="J1173" t="s">
        <v>30</v>
      </c>
      <c r="K1173">
        <v>27</v>
      </c>
      <c r="L1173">
        <v>365</v>
      </c>
      <c r="M1173">
        <v>259</v>
      </c>
      <c r="N1173">
        <v>281</v>
      </c>
      <c r="O1173">
        <v>365</v>
      </c>
      <c r="P1173">
        <v>26</v>
      </c>
      <c r="Q1173">
        <v>265</v>
      </c>
      <c r="R1173">
        <v>345</v>
      </c>
      <c r="S1173">
        <v>251</v>
      </c>
      <c r="T1173" t="s">
        <v>31</v>
      </c>
      <c r="U1173" t="s">
        <v>31</v>
      </c>
      <c r="V1173" t="s">
        <v>31</v>
      </c>
      <c r="W1173" t="s">
        <v>31</v>
      </c>
      <c r="X1173" t="s">
        <v>31</v>
      </c>
      <c r="Y1173" t="s">
        <v>31</v>
      </c>
    </row>
    <row r="1174" spans="1:25" hidden="1">
      <c r="A1174" t="s">
        <v>25</v>
      </c>
      <c r="B1174" t="s">
        <v>26</v>
      </c>
      <c r="C1174" t="s">
        <v>51</v>
      </c>
      <c r="D1174" s="1">
        <v>43435</v>
      </c>
      <c r="E1174" s="2">
        <v>0.66666666666666663</v>
      </c>
      <c r="F1174" t="s">
        <v>40</v>
      </c>
      <c r="G1174" t="s">
        <v>48</v>
      </c>
      <c r="H1174">
        <v>2</v>
      </c>
      <c r="I1174">
        <v>0</v>
      </c>
      <c r="J1174" t="s">
        <v>34</v>
      </c>
      <c r="K1174">
        <v>193</v>
      </c>
      <c r="L1174">
        <v>343</v>
      </c>
      <c r="M1174">
        <v>446</v>
      </c>
      <c r="N1174">
        <v>2</v>
      </c>
      <c r="O1174">
        <v>375</v>
      </c>
      <c r="P1174">
        <v>446</v>
      </c>
      <c r="Q1174">
        <v>19</v>
      </c>
      <c r="R1174">
        <v>345</v>
      </c>
      <c r="S1174">
        <v>404</v>
      </c>
      <c r="T1174" t="s">
        <v>31</v>
      </c>
      <c r="U1174" t="s">
        <v>31</v>
      </c>
      <c r="V1174" t="s">
        <v>31</v>
      </c>
      <c r="W1174" t="s">
        <v>31</v>
      </c>
      <c r="X1174" t="s">
        <v>31</v>
      </c>
      <c r="Y1174" t="s">
        <v>31</v>
      </c>
    </row>
    <row r="1175" spans="1:25" hidden="1">
      <c r="A1175" t="s">
        <v>25</v>
      </c>
      <c r="B1175" t="s">
        <v>26</v>
      </c>
      <c r="C1175" t="s">
        <v>51</v>
      </c>
      <c r="D1175" s="1">
        <v>43435</v>
      </c>
      <c r="E1175" s="2">
        <v>0.66666666666666663</v>
      </c>
      <c r="F1175" t="s">
        <v>50</v>
      </c>
      <c r="G1175" t="s">
        <v>52</v>
      </c>
      <c r="H1175">
        <v>3</v>
      </c>
      <c r="I1175">
        <v>3</v>
      </c>
      <c r="J1175" t="s">
        <v>41</v>
      </c>
      <c r="K1175">
        <v>133</v>
      </c>
      <c r="L1175">
        <v>574</v>
      </c>
      <c r="M1175">
        <v>866</v>
      </c>
      <c r="N1175">
        <v>14</v>
      </c>
      <c r="O1175">
        <v>6</v>
      </c>
      <c r="P1175">
        <v>11</v>
      </c>
      <c r="Q1175">
        <v>129</v>
      </c>
      <c r="R1175">
        <v>564</v>
      </c>
      <c r="S1175">
        <v>895</v>
      </c>
      <c r="T1175" t="s">
        <v>31</v>
      </c>
      <c r="U1175" t="s">
        <v>31</v>
      </c>
      <c r="V1175" t="s">
        <v>31</v>
      </c>
      <c r="W1175" t="s">
        <v>31</v>
      </c>
      <c r="X1175" t="s">
        <v>31</v>
      </c>
      <c r="Y1175" t="s">
        <v>31</v>
      </c>
    </row>
    <row r="1176" spans="1:25" hidden="1">
      <c r="A1176" t="s">
        <v>25</v>
      </c>
      <c r="B1176" t="s">
        <v>26</v>
      </c>
      <c r="C1176" t="s">
        <v>51</v>
      </c>
      <c r="D1176" s="1">
        <v>43435</v>
      </c>
      <c r="E1176" s="2">
        <v>0.66666666666666663</v>
      </c>
      <c r="F1176" t="s">
        <v>32</v>
      </c>
      <c r="G1176" t="s">
        <v>37</v>
      </c>
      <c r="H1176">
        <v>2</v>
      </c>
      <c r="I1176">
        <v>2</v>
      </c>
      <c r="J1176" t="s">
        <v>41</v>
      </c>
      <c r="K1176">
        <v>167</v>
      </c>
      <c r="L1176">
        <v>406</v>
      </c>
      <c r="M1176">
        <v>527</v>
      </c>
      <c r="N1176">
        <v>171</v>
      </c>
      <c r="O1176">
        <v>406</v>
      </c>
      <c r="P1176">
        <v>6</v>
      </c>
      <c r="Q1176">
        <v>164</v>
      </c>
      <c r="R1176">
        <v>386</v>
      </c>
      <c r="S1176">
        <v>505</v>
      </c>
      <c r="T1176" t="s">
        <v>31</v>
      </c>
      <c r="U1176" t="s">
        <v>31</v>
      </c>
      <c r="V1176" t="s">
        <v>31</v>
      </c>
      <c r="W1176" t="s">
        <v>31</v>
      </c>
      <c r="X1176" t="s">
        <v>31</v>
      </c>
      <c r="Y1176" t="s">
        <v>31</v>
      </c>
    </row>
    <row r="1177" spans="1:25" hidden="1">
      <c r="A1177" t="s">
        <v>25</v>
      </c>
      <c r="B1177" t="s">
        <v>26</v>
      </c>
      <c r="C1177" t="s">
        <v>51</v>
      </c>
      <c r="D1177" s="1">
        <v>43436</v>
      </c>
      <c r="E1177" s="2">
        <v>0.5625</v>
      </c>
      <c r="F1177" t="s">
        <v>29</v>
      </c>
      <c r="G1177" t="s">
        <v>45</v>
      </c>
      <c r="H1177">
        <v>1</v>
      </c>
      <c r="I1177">
        <v>0</v>
      </c>
      <c r="J1177" t="s">
        <v>34</v>
      </c>
      <c r="K1177">
        <v>114</v>
      </c>
      <c r="L1177">
        <v>826</v>
      </c>
      <c r="M1177">
        <v>2154</v>
      </c>
      <c r="N1177">
        <v>117</v>
      </c>
      <c r="O1177">
        <v>85</v>
      </c>
      <c r="P1177">
        <v>22</v>
      </c>
      <c r="Q1177">
        <v>114</v>
      </c>
      <c r="R1177">
        <v>74</v>
      </c>
      <c r="S1177">
        <v>1751</v>
      </c>
      <c r="T1177" t="s">
        <v>31</v>
      </c>
      <c r="U1177" t="s">
        <v>31</v>
      </c>
      <c r="V1177" t="s">
        <v>31</v>
      </c>
      <c r="W1177" t="s">
        <v>31</v>
      </c>
      <c r="X1177" t="s">
        <v>31</v>
      </c>
      <c r="Y1177" t="s">
        <v>31</v>
      </c>
    </row>
    <row r="1178" spans="1:25" hidden="1">
      <c r="A1178" t="s">
        <v>25</v>
      </c>
      <c r="B1178" t="s">
        <v>26</v>
      </c>
      <c r="C1178" t="s">
        <v>51</v>
      </c>
      <c r="D1178" s="1">
        <v>43436</v>
      </c>
      <c r="E1178" s="2">
        <v>0.5625</v>
      </c>
      <c r="F1178" t="s">
        <v>36</v>
      </c>
      <c r="G1178" t="s">
        <v>35</v>
      </c>
      <c r="H1178">
        <v>0</v>
      </c>
      <c r="I1178">
        <v>1</v>
      </c>
      <c r="J1178" t="s">
        <v>30</v>
      </c>
      <c r="K1178">
        <v>396</v>
      </c>
      <c r="L1178">
        <v>39</v>
      </c>
      <c r="M1178">
        <v>191</v>
      </c>
      <c r="N1178">
        <v>4</v>
      </c>
      <c r="O1178">
        <v>39</v>
      </c>
      <c r="P1178">
        <v>2</v>
      </c>
      <c r="Q1178">
        <v>384</v>
      </c>
      <c r="R1178">
        <v>367</v>
      </c>
      <c r="S1178">
        <v>188</v>
      </c>
      <c r="T1178" t="s">
        <v>31</v>
      </c>
      <c r="U1178" t="s">
        <v>31</v>
      </c>
      <c r="V1178" t="s">
        <v>31</v>
      </c>
      <c r="W1178" t="s">
        <v>31</v>
      </c>
      <c r="X1178" t="s">
        <v>31</v>
      </c>
      <c r="Y1178" t="s">
        <v>31</v>
      </c>
    </row>
    <row r="1179" spans="1:25" hidden="1">
      <c r="A1179" t="s">
        <v>25</v>
      </c>
      <c r="B1179" t="s">
        <v>26</v>
      </c>
      <c r="C1179" t="s">
        <v>51</v>
      </c>
      <c r="D1179" s="1">
        <v>43436</v>
      </c>
      <c r="E1179" s="2">
        <v>0.66666666666666663</v>
      </c>
      <c r="F1179" t="s">
        <v>28</v>
      </c>
      <c r="G1179" t="s">
        <v>39</v>
      </c>
      <c r="H1179">
        <v>3</v>
      </c>
      <c r="I1179">
        <v>0</v>
      </c>
      <c r="J1179" t="s">
        <v>34</v>
      </c>
      <c r="K1179">
        <v>266</v>
      </c>
      <c r="L1179">
        <v>347</v>
      </c>
      <c r="M1179">
        <v>272</v>
      </c>
      <c r="N1179">
        <v>27</v>
      </c>
      <c r="O1179">
        <v>347</v>
      </c>
      <c r="P1179">
        <v>288</v>
      </c>
      <c r="Q1179">
        <v>257</v>
      </c>
      <c r="R1179">
        <v>331</v>
      </c>
      <c r="S1179">
        <v>266</v>
      </c>
      <c r="T1179" t="s">
        <v>31</v>
      </c>
      <c r="U1179" t="s">
        <v>31</v>
      </c>
      <c r="V1179" t="s">
        <v>31</v>
      </c>
      <c r="W1179" t="s">
        <v>31</v>
      </c>
      <c r="X1179" t="s">
        <v>31</v>
      </c>
      <c r="Y1179" t="s">
        <v>31</v>
      </c>
    </row>
    <row r="1180" spans="1:25" hidden="1">
      <c r="A1180" t="s">
        <v>25</v>
      </c>
      <c r="B1180" t="s">
        <v>26</v>
      </c>
      <c r="C1180" t="s">
        <v>51</v>
      </c>
      <c r="D1180" s="1">
        <v>43442</v>
      </c>
      <c r="E1180" s="2">
        <v>0.66666666666666663</v>
      </c>
      <c r="F1180" t="s">
        <v>39</v>
      </c>
      <c r="G1180" t="s">
        <v>50</v>
      </c>
      <c r="H1180">
        <v>1</v>
      </c>
      <c r="I1180">
        <v>1</v>
      </c>
      <c r="J1180" t="s">
        <v>41</v>
      </c>
      <c r="K1180">
        <v>343</v>
      </c>
      <c r="L1180">
        <v>358</v>
      </c>
      <c r="M1180">
        <v>217</v>
      </c>
      <c r="N1180">
        <v>352</v>
      </c>
      <c r="O1180">
        <v>358</v>
      </c>
      <c r="P1180">
        <v>228</v>
      </c>
      <c r="Q1180">
        <v>331</v>
      </c>
      <c r="R1180">
        <v>339</v>
      </c>
      <c r="S1180">
        <v>214</v>
      </c>
      <c r="T1180" t="s">
        <v>31</v>
      </c>
      <c r="U1180" t="s">
        <v>31</v>
      </c>
      <c r="V1180" t="s">
        <v>31</v>
      </c>
      <c r="W1180" t="s">
        <v>31</v>
      </c>
      <c r="X1180" t="s">
        <v>31</v>
      </c>
      <c r="Y1180" t="s">
        <v>31</v>
      </c>
    </row>
    <row r="1181" spans="1:25" hidden="1">
      <c r="A1181" t="s">
        <v>25</v>
      </c>
      <c r="B1181" t="s">
        <v>26</v>
      </c>
      <c r="C1181" t="s">
        <v>51</v>
      </c>
      <c r="D1181" s="1">
        <v>43442</v>
      </c>
      <c r="E1181" s="2">
        <v>0.66666666666666663</v>
      </c>
      <c r="F1181" t="s">
        <v>37</v>
      </c>
      <c r="G1181" t="s">
        <v>29</v>
      </c>
      <c r="H1181">
        <v>2</v>
      </c>
      <c r="I1181">
        <v>2</v>
      </c>
      <c r="J1181" t="s">
        <v>41</v>
      </c>
      <c r="K1181">
        <v>1578</v>
      </c>
      <c r="L1181">
        <v>869</v>
      </c>
      <c r="M1181">
        <v>116</v>
      </c>
      <c r="N1181">
        <v>29</v>
      </c>
      <c r="O1181">
        <v>92</v>
      </c>
      <c r="P1181">
        <v>122</v>
      </c>
      <c r="Q1181">
        <v>1673</v>
      </c>
      <c r="R1181">
        <v>817</v>
      </c>
      <c r="S1181">
        <v>114</v>
      </c>
      <c r="T1181" t="s">
        <v>31</v>
      </c>
      <c r="U1181" t="s">
        <v>31</v>
      </c>
      <c r="V1181" t="s">
        <v>31</v>
      </c>
      <c r="W1181" t="s">
        <v>31</v>
      </c>
      <c r="X1181" t="s">
        <v>31</v>
      </c>
      <c r="Y1181" t="s">
        <v>31</v>
      </c>
    </row>
    <row r="1182" spans="1:25" hidden="1">
      <c r="A1182" t="s">
        <v>25</v>
      </c>
      <c r="B1182" t="s">
        <v>26</v>
      </c>
      <c r="C1182" t="s">
        <v>51</v>
      </c>
      <c r="D1182" s="1">
        <v>43442</v>
      </c>
      <c r="E1182" s="2">
        <v>0.66666666666666663</v>
      </c>
      <c r="F1182" t="s">
        <v>48</v>
      </c>
      <c r="G1182" t="s">
        <v>45</v>
      </c>
      <c r="H1182">
        <v>2</v>
      </c>
      <c r="I1182">
        <v>1</v>
      </c>
      <c r="J1182" t="s">
        <v>34</v>
      </c>
      <c r="K1182">
        <v>254</v>
      </c>
      <c r="L1182">
        <v>321</v>
      </c>
      <c r="M1182">
        <v>308</v>
      </c>
      <c r="N1182">
        <v>254</v>
      </c>
      <c r="O1182">
        <v>34</v>
      </c>
      <c r="P1182">
        <v>335</v>
      </c>
      <c r="Q1182">
        <v>238</v>
      </c>
      <c r="R1182">
        <v>313</v>
      </c>
      <c r="S1182">
        <v>306</v>
      </c>
      <c r="T1182" t="s">
        <v>31</v>
      </c>
      <c r="U1182" t="s">
        <v>31</v>
      </c>
      <c r="V1182" t="s">
        <v>31</v>
      </c>
      <c r="W1182" t="s">
        <v>31</v>
      </c>
      <c r="X1182" t="s">
        <v>31</v>
      </c>
      <c r="Y1182" t="s">
        <v>31</v>
      </c>
    </row>
    <row r="1183" spans="1:25" hidden="1">
      <c r="A1183" t="s">
        <v>25</v>
      </c>
      <c r="B1183" t="s">
        <v>26</v>
      </c>
      <c r="C1183" t="s">
        <v>51</v>
      </c>
      <c r="D1183" s="1">
        <v>43443</v>
      </c>
      <c r="E1183" s="2">
        <v>0.5625</v>
      </c>
      <c r="F1183" t="s">
        <v>52</v>
      </c>
      <c r="G1183" t="s">
        <v>36</v>
      </c>
      <c r="H1183">
        <v>2</v>
      </c>
      <c r="I1183">
        <v>2</v>
      </c>
      <c r="J1183" t="s">
        <v>41</v>
      </c>
      <c r="K1183">
        <v>197</v>
      </c>
      <c r="L1183">
        <v>389</v>
      </c>
      <c r="M1183">
        <v>371</v>
      </c>
      <c r="N1183">
        <v>202</v>
      </c>
      <c r="O1183">
        <v>389</v>
      </c>
      <c r="P1183">
        <v>375</v>
      </c>
      <c r="Q1183">
        <v>195</v>
      </c>
      <c r="R1183">
        <v>368</v>
      </c>
      <c r="S1183">
        <v>357</v>
      </c>
      <c r="T1183" t="s">
        <v>31</v>
      </c>
      <c r="U1183" t="s">
        <v>31</v>
      </c>
      <c r="V1183" t="s">
        <v>31</v>
      </c>
      <c r="W1183" t="s">
        <v>31</v>
      </c>
      <c r="X1183" t="s">
        <v>31</v>
      </c>
      <c r="Y1183" t="s">
        <v>31</v>
      </c>
    </row>
    <row r="1184" spans="1:25" hidden="1">
      <c r="A1184" t="s">
        <v>25</v>
      </c>
      <c r="B1184" t="s">
        <v>26</v>
      </c>
      <c r="C1184" t="s">
        <v>51</v>
      </c>
      <c r="D1184" s="1">
        <v>43443</v>
      </c>
      <c r="E1184" s="2">
        <v>0.5625</v>
      </c>
      <c r="F1184" t="s">
        <v>32</v>
      </c>
      <c r="G1184" t="s">
        <v>40</v>
      </c>
      <c r="H1184">
        <v>2</v>
      </c>
      <c r="I1184">
        <v>1</v>
      </c>
      <c r="J1184" t="s">
        <v>34</v>
      </c>
      <c r="K1184">
        <v>266</v>
      </c>
      <c r="L1184">
        <v>346</v>
      </c>
      <c r="M1184">
        <v>274</v>
      </c>
      <c r="N1184">
        <v>271</v>
      </c>
      <c r="O1184">
        <v>346</v>
      </c>
      <c r="P1184">
        <v>283</v>
      </c>
      <c r="Q1184">
        <v>257</v>
      </c>
      <c r="R1184">
        <v>331</v>
      </c>
      <c r="S1184">
        <v>268</v>
      </c>
      <c r="T1184" t="s">
        <v>31</v>
      </c>
      <c r="U1184" t="s">
        <v>31</v>
      </c>
      <c r="V1184" t="s">
        <v>31</v>
      </c>
      <c r="W1184" t="s">
        <v>31</v>
      </c>
      <c r="X1184" t="s">
        <v>31</v>
      </c>
      <c r="Y1184" t="s">
        <v>31</v>
      </c>
    </row>
    <row r="1185" spans="1:25" hidden="1">
      <c r="A1185" t="s">
        <v>25</v>
      </c>
      <c r="B1185" t="s">
        <v>26</v>
      </c>
      <c r="C1185" t="s">
        <v>51</v>
      </c>
      <c r="D1185" s="1">
        <v>43443</v>
      </c>
      <c r="E1185" s="2">
        <v>0.66666666666666663</v>
      </c>
      <c r="F1185" t="s">
        <v>35</v>
      </c>
      <c r="G1185" t="s">
        <v>28</v>
      </c>
      <c r="H1185">
        <v>0</v>
      </c>
      <c r="I1185">
        <v>0</v>
      </c>
      <c r="J1185" t="s">
        <v>41</v>
      </c>
      <c r="K1185">
        <v>228</v>
      </c>
      <c r="L1185">
        <v>373</v>
      </c>
      <c r="M1185">
        <v>307</v>
      </c>
      <c r="N1185">
        <v>23</v>
      </c>
      <c r="O1185">
        <v>373</v>
      </c>
      <c r="P1185">
        <v>321</v>
      </c>
      <c r="Q1185">
        <v>222</v>
      </c>
      <c r="R1185">
        <v>352</v>
      </c>
      <c r="S1185">
        <v>302</v>
      </c>
      <c r="T1185" t="s">
        <v>31</v>
      </c>
      <c r="U1185" t="s">
        <v>31</v>
      </c>
      <c r="V1185" t="s">
        <v>31</v>
      </c>
      <c r="W1185" t="s">
        <v>31</v>
      </c>
      <c r="X1185" t="s">
        <v>31</v>
      </c>
      <c r="Y1185" t="s">
        <v>31</v>
      </c>
    </row>
    <row r="1186" spans="1:25" hidden="1">
      <c r="A1186" t="s">
        <v>25</v>
      </c>
      <c r="B1186" t="s">
        <v>26</v>
      </c>
      <c r="C1186" t="s">
        <v>51</v>
      </c>
      <c r="D1186" s="1">
        <v>43449</v>
      </c>
      <c r="E1186" s="2">
        <v>0.66666666666666663</v>
      </c>
      <c r="F1186" t="s">
        <v>50</v>
      </c>
      <c r="G1186" t="s">
        <v>32</v>
      </c>
      <c r="H1186">
        <v>2</v>
      </c>
      <c r="I1186">
        <v>1</v>
      </c>
      <c r="J1186" t="s">
        <v>34</v>
      </c>
      <c r="K1186">
        <v>144</v>
      </c>
      <c r="L1186">
        <v>444</v>
      </c>
      <c r="M1186">
        <v>815</v>
      </c>
      <c r="N1186">
        <v>146</v>
      </c>
      <c r="O1186">
        <v>46</v>
      </c>
      <c r="P1186">
        <v>815</v>
      </c>
      <c r="Q1186">
        <v>142</v>
      </c>
      <c r="R1186">
        <v>433</v>
      </c>
      <c r="S1186">
        <v>745</v>
      </c>
      <c r="T1186" t="s">
        <v>31</v>
      </c>
      <c r="U1186" t="s">
        <v>31</v>
      </c>
      <c r="V1186" t="s">
        <v>31</v>
      </c>
      <c r="W1186" t="s">
        <v>31</v>
      </c>
      <c r="X1186" t="s">
        <v>31</v>
      </c>
      <c r="Y1186" t="s">
        <v>31</v>
      </c>
    </row>
    <row r="1187" spans="1:25" hidden="1">
      <c r="A1187" t="s">
        <v>25</v>
      </c>
      <c r="B1187" t="s">
        <v>26</v>
      </c>
      <c r="C1187" t="s">
        <v>51</v>
      </c>
      <c r="D1187" s="1">
        <v>43449</v>
      </c>
      <c r="E1187" s="2">
        <v>0.66666666666666663</v>
      </c>
      <c r="F1187" t="s">
        <v>28</v>
      </c>
      <c r="G1187" t="s">
        <v>37</v>
      </c>
      <c r="H1187">
        <v>3</v>
      </c>
      <c r="I1187">
        <v>0</v>
      </c>
      <c r="J1187" t="s">
        <v>34</v>
      </c>
      <c r="K1187">
        <v>135</v>
      </c>
      <c r="L1187">
        <v>516</v>
      </c>
      <c r="M1187">
        <v>945</v>
      </c>
      <c r="N1187">
        <v>139</v>
      </c>
      <c r="O1187">
        <v>54</v>
      </c>
      <c r="P1187">
        <v>10</v>
      </c>
      <c r="Q1187">
        <v>134</v>
      </c>
      <c r="R1187">
        <v>492</v>
      </c>
      <c r="S1187">
        <v>851</v>
      </c>
      <c r="T1187" t="s">
        <v>31</v>
      </c>
      <c r="U1187" t="s">
        <v>31</v>
      </c>
      <c r="V1187" t="s">
        <v>31</v>
      </c>
      <c r="W1187" t="s">
        <v>31</v>
      </c>
      <c r="X1187" t="s">
        <v>31</v>
      </c>
      <c r="Y1187" t="s">
        <v>31</v>
      </c>
    </row>
    <row r="1188" spans="1:25" hidden="1">
      <c r="A1188" t="s">
        <v>25</v>
      </c>
      <c r="B1188" t="s">
        <v>26</v>
      </c>
      <c r="C1188" t="s">
        <v>51</v>
      </c>
      <c r="D1188" s="1">
        <v>43449</v>
      </c>
      <c r="E1188" s="2">
        <v>0.66666666666666663</v>
      </c>
      <c r="F1188" t="s">
        <v>36</v>
      </c>
      <c r="G1188" t="s">
        <v>39</v>
      </c>
      <c r="H1188">
        <v>0</v>
      </c>
      <c r="I1188">
        <v>0</v>
      </c>
      <c r="J1188" t="s">
        <v>41</v>
      </c>
      <c r="K1188">
        <v>384</v>
      </c>
      <c r="L1188">
        <v>352</v>
      </c>
      <c r="M1188">
        <v>205</v>
      </c>
      <c r="N1188">
        <v>39</v>
      </c>
      <c r="O1188">
        <v>352</v>
      </c>
      <c r="P1188">
        <v>214</v>
      </c>
      <c r="Q1188">
        <v>366</v>
      </c>
      <c r="R1188">
        <v>335</v>
      </c>
      <c r="S1188">
        <v>203</v>
      </c>
      <c r="T1188" t="s">
        <v>31</v>
      </c>
      <c r="U1188" t="s">
        <v>31</v>
      </c>
      <c r="V1188" t="s">
        <v>31</v>
      </c>
      <c r="W1188" t="s">
        <v>31</v>
      </c>
      <c r="X1188" t="s">
        <v>31</v>
      </c>
      <c r="Y1188" t="s">
        <v>31</v>
      </c>
    </row>
    <row r="1189" spans="1:25" hidden="1">
      <c r="A1189" t="s">
        <v>25</v>
      </c>
      <c r="B1189" t="s">
        <v>26</v>
      </c>
      <c r="C1189" t="s">
        <v>51</v>
      </c>
      <c r="D1189" s="1">
        <v>43450</v>
      </c>
      <c r="E1189" s="2">
        <v>0.5625</v>
      </c>
      <c r="F1189" t="s">
        <v>45</v>
      </c>
      <c r="G1189" t="s">
        <v>52</v>
      </c>
      <c r="H1189">
        <v>6</v>
      </c>
      <c r="I1189">
        <v>1</v>
      </c>
      <c r="J1189" t="s">
        <v>34</v>
      </c>
      <c r="K1189">
        <v>207</v>
      </c>
      <c r="L1189">
        <v>367</v>
      </c>
      <c r="M1189">
        <v>362</v>
      </c>
      <c r="N1189">
        <v>214</v>
      </c>
      <c r="O1189">
        <v>372</v>
      </c>
      <c r="P1189">
        <v>37</v>
      </c>
      <c r="Q1189">
        <v>203</v>
      </c>
      <c r="R1189">
        <v>352</v>
      </c>
      <c r="S1189">
        <v>347</v>
      </c>
      <c r="T1189" t="s">
        <v>31</v>
      </c>
      <c r="U1189" t="s">
        <v>31</v>
      </c>
      <c r="V1189" t="s">
        <v>31</v>
      </c>
      <c r="W1189" t="s">
        <v>31</v>
      </c>
      <c r="X1189" t="s">
        <v>31</v>
      </c>
      <c r="Y1189" t="s">
        <v>31</v>
      </c>
    </row>
    <row r="1190" spans="1:25" hidden="1">
      <c r="A1190" t="s">
        <v>25</v>
      </c>
      <c r="B1190" t="s">
        <v>26</v>
      </c>
      <c r="C1190" t="s">
        <v>51</v>
      </c>
      <c r="D1190" s="1">
        <v>43450</v>
      </c>
      <c r="E1190" s="2">
        <v>0.5625</v>
      </c>
      <c r="F1190" t="s">
        <v>29</v>
      </c>
      <c r="G1190" t="s">
        <v>48</v>
      </c>
      <c r="H1190">
        <v>5</v>
      </c>
      <c r="I1190">
        <v>1</v>
      </c>
      <c r="J1190" t="s">
        <v>34</v>
      </c>
      <c r="K1190">
        <v>117</v>
      </c>
      <c r="L1190">
        <v>746</v>
      </c>
      <c r="M1190">
        <v>1955</v>
      </c>
      <c r="N1190">
        <v>12</v>
      </c>
      <c r="O1190">
        <v>85</v>
      </c>
      <c r="P1190">
        <v>23</v>
      </c>
      <c r="Q1190">
        <v>117</v>
      </c>
      <c r="R1190">
        <v>692</v>
      </c>
      <c r="S1190">
        <v>1562</v>
      </c>
      <c r="T1190" t="s">
        <v>31</v>
      </c>
      <c r="U1190" t="s">
        <v>31</v>
      </c>
      <c r="V1190" t="s">
        <v>31</v>
      </c>
      <c r="W1190" t="s">
        <v>31</v>
      </c>
      <c r="X1190" t="s">
        <v>31</v>
      </c>
      <c r="Y1190" t="s">
        <v>31</v>
      </c>
    </row>
    <row r="1191" spans="1:25" hidden="1">
      <c r="A1191" t="s">
        <v>25</v>
      </c>
      <c r="B1191" t="s">
        <v>26</v>
      </c>
      <c r="C1191" t="s">
        <v>51</v>
      </c>
      <c r="D1191" s="1">
        <v>43450</v>
      </c>
      <c r="E1191" s="2">
        <v>0.66666666666666663</v>
      </c>
      <c r="F1191" t="s">
        <v>40</v>
      </c>
      <c r="G1191" t="s">
        <v>35</v>
      </c>
      <c r="H1191">
        <v>6</v>
      </c>
      <c r="I1191">
        <v>1</v>
      </c>
      <c r="J1191" t="s">
        <v>34</v>
      </c>
      <c r="K1191">
        <v>344</v>
      </c>
      <c r="L1191">
        <v>229</v>
      </c>
      <c r="M1191">
        <v>323</v>
      </c>
      <c r="N1191">
        <v>346</v>
      </c>
      <c r="O1191">
        <v>229</v>
      </c>
      <c r="P1191">
        <v>323</v>
      </c>
      <c r="Q1191">
        <v>333</v>
      </c>
      <c r="R1191">
        <v>214</v>
      </c>
      <c r="S1191">
        <v>305</v>
      </c>
      <c r="T1191" t="s">
        <v>31</v>
      </c>
      <c r="U1191" t="s">
        <v>31</v>
      </c>
      <c r="V1191" t="s">
        <v>31</v>
      </c>
      <c r="W1191" t="s">
        <v>31</v>
      </c>
      <c r="X1191" t="s">
        <v>31</v>
      </c>
      <c r="Y1191" t="s">
        <v>31</v>
      </c>
    </row>
    <row r="1192" spans="1:25" hidden="1">
      <c r="A1192" t="s">
        <v>25</v>
      </c>
      <c r="B1192" t="s">
        <v>26</v>
      </c>
      <c r="C1192" t="s">
        <v>51</v>
      </c>
      <c r="D1192" s="1">
        <v>43518</v>
      </c>
      <c r="E1192" s="2">
        <v>0.77083333333333337</v>
      </c>
      <c r="F1192" t="s">
        <v>50</v>
      </c>
      <c r="G1192" t="s">
        <v>40</v>
      </c>
      <c r="H1192">
        <v>2</v>
      </c>
      <c r="I1192">
        <v>0</v>
      </c>
      <c r="J1192" t="s">
        <v>34</v>
      </c>
      <c r="K1192">
        <v>16</v>
      </c>
      <c r="L1192">
        <v>431</v>
      </c>
      <c r="M1192">
        <v>559</v>
      </c>
      <c r="N1192">
        <v>162</v>
      </c>
      <c r="O1192">
        <v>431</v>
      </c>
      <c r="P1192">
        <v>59</v>
      </c>
      <c r="Q1192">
        <v>157</v>
      </c>
      <c r="R1192">
        <v>4</v>
      </c>
      <c r="S1192">
        <v>542</v>
      </c>
      <c r="T1192" t="s">
        <v>31</v>
      </c>
      <c r="U1192" t="s">
        <v>31</v>
      </c>
      <c r="V1192" t="s">
        <v>31</v>
      </c>
      <c r="W1192" t="s">
        <v>31</v>
      </c>
      <c r="X1192" t="s">
        <v>31</v>
      </c>
      <c r="Y1192" t="s">
        <v>31</v>
      </c>
    </row>
    <row r="1193" spans="1:25" hidden="1">
      <c r="A1193" t="s">
        <v>25</v>
      </c>
      <c r="B1193" t="s">
        <v>26</v>
      </c>
      <c r="C1193" t="s">
        <v>51</v>
      </c>
      <c r="D1193" s="1">
        <v>43519</v>
      </c>
      <c r="E1193" s="2">
        <v>0.66666666666666663</v>
      </c>
      <c r="F1193" t="s">
        <v>39</v>
      </c>
      <c r="G1193" t="s">
        <v>45</v>
      </c>
      <c r="H1193">
        <v>0</v>
      </c>
      <c r="I1193">
        <v>0</v>
      </c>
      <c r="J1193" t="s">
        <v>41</v>
      </c>
      <c r="K1193">
        <v>181</v>
      </c>
      <c r="L1193">
        <v>378</v>
      </c>
      <c r="M1193">
        <v>459</v>
      </c>
      <c r="N1193">
        <v>183</v>
      </c>
      <c r="O1193">
        <v>378</v>
      </c>
      <c r="P1193">
        <v>475</v>
      </c>
      <c r="Q1193">
        <v>179</v>
      </c>
      <c r="R1193">
        <v>356</v>
      </c>
      <c r="S1193">
        <v>439</v>
      </c>
      <c r="T1193" t="s">
        <v>31</v>
      </c>
      <c r="U1193" t="s">
        <v>31</v>
      </c>
      <c r="V1193" t="s">
        <v>31</v>
      </c>
      <c r="W1193" t="s">
        <v>31</v>
      </c>
      <c r="X1193" t="s">
        <v>31</v>
      </c>
      <c r="Y1193" t="s">
        <v>31</v>
      </c>
    </row>
    <row r="1194" spans="1:25" hidden="1">
      <c r="A1194" t="s">
        <v>25</v>
      </c>
      <c r="B1194" t="s">
        <v>26</v>
      </c>
      <c r="C1194" t="s">
        <v>51</v>
      </c>
      <c r="D1194" s="1">
        <v>43519</v>
      </c>
      <c r="E1194" s="2">
        <v>0.66666666666666663</v>
      </c>
      <c r="F1194" t="s">
        <v>37</v>
      </c>
      <c r="G1194" t="s">
        <v>36</v>
      </c>
      <c r="H1194">
        <v>3</v>
      </c>
      <c r="I1194">
        <v>0</v>
      </c>
      <c r="J1194" t="s">
        <v>34</v>
      </c>
      <c r="K1194">
        <v>23</v>
      </c>
      <c r="L1194">
        <v>345</v>
      </c>
      <c r="M1194">
        <v>327</v>
      </c>
      <c r="N1194">
        <v>23</v>
      </c>
      <c r="O1194">
        <v>346</v>
      </c>
      <c r="P1194">
        <v>33</v>
      </c>
      <c r="Q1194">
        <v>221</v>
      </c>
      <c r="R1194">
        <v>335</v>
      </c>
      <c r="S1194">
        <v>315</v>
      </c>
      <c r="T1194" t="s">
        <v>31</v>
      </c>
      <c r="U1194" t="s">
        <v>31</v>
      </c>
      <c r="V1194" t="s">
        <v>31</v>
      </c>
      <c r="W1194" t="s">
        <v>31</v>
      </c>
      <c r="X1194" t="s">
        <v>31</v>
      </c>
      <c r="Y1194" t="s">
        <v>31</v>
      </c>
    </row>
    <row r="1195" spans="1:25" hidden="1">
      <c r="A1195" t="s">
        <v>25</v>
      </c>
      <c r="B1195" t="s">
        <v>26</v>
      </c>
      <c r="C1195" t="s">
        <v>51</v>
      </c>
      <c r="D1195" s="1">
        <v>43520</v>
      </c>
      <c r="E1195" s="2">
        <v>0.5625</v>
      </c>
      <c r="F1195" t="s">
        <v>52</v>
      </c>
      <c r="G1195" t="s">
        <v>48</v>
      </c>
      <c r="H1195">
        <v>1</v>
      </c>
      <c r="I1195">
        <v>1</v>
      </c>
      <c r="J1195" t="s">
        <v>41</v>
      </c>
      <c r="K1195">
        <v>25</v>
      </c>
      <c r="L1195">
        <v>363</v>
      </c>
      <c r="M1195">
        <v>281</v>
      </c>
      <c r="N1195">
        <v>252</v>
      </c>
      <c r="O1195">
        <v>363</v>
      </c>
      <c r="P1195">
        <v>288</v>
      </c>
      <c r="Q1195">
        <v>24</v>
      </c>
      <c r="R1195">
        <v>343</v>
      </c>
      <c r="S1195">
        <v>277</v>
      </c>
      <c r="T1195" t="s">
        <v>31</v>
      </c>
      <c r="U1195" t="s">
        <v>31</v>
      </c>
      <c r="V1195" t="s">
        <v>31</v>
      </c>
      <c r="W1195" t="s">
        <v>31</v>
      </c>
      <c r="X1195" t="s">
        <v>31</v>
      </c>
      <c r="Y1195" t="s">
        <v>31</v>
      </c>
    </row>
    <row r="1196" spans="1:25" hidden="1">
      <c r="A1196" t="s">
        <v>25</v>
      </c>
      <c r="B1196" t="s">
        <v>26</v>
      </c>
      <c r="C1196" t="s">
        <v>51</v>
      </c>
      <c r="D1196" s="1">
        <v>43520</v>
      </c>
      <c r="E1196" s="2">
        <v>0.5625</v>
      </c>
      <c r="F1196" t="s">
        <v>32</v>
      </c>
      <c r="G1196" t="s">
        <v>28</v>
      </c>
      <c r="H1196">
        <v>1</v>
      </c>
      <c r="I1196">
        <v>1</v>
      </c>
      <c r="J1196" t="s">
        <v>41</v>
      </c>
      <c r="K1196">
        <v>296</v>
      </c>
      <c r="L1196">
        <v>329</v>
      </c>
      <c r="M1196">
        <v>257</v>
      </c>
      <c r="N1196">
        <v>303</v>
      </c>
      <c r="O1196">
        <v>338</v>
      </c>
      <c r="P1196">
        <v>259</v>
      </c>
      <c r="Q1196">
        <v>284</v>
      </c>
      <c r="R1196">
        <v>318</v>
      </c>
      <c r="S1196">
        <v>249</v>
      </c>
      <c r="T1196" t="s">
        <v>31</v>
      </c>
      <c r="U1196" t="s">
        <v>31</v>
      </c>
      <c r="V1196" t="s">
        <v>31</v>
      </c>
      <c r="W1196" t="s">
        <v>31</v>
      </c>
      <c r="X1196" t="s">
        <v>31</v>
      </c>
      <c r="Y1196" t="s">
        <v>31</v>
      </c>
    </row>
    <row r="1197" spans="1:25" hidden="1">
      <c r="A1197" t="s">
        <v>25</v>
      </c>
      <c r="B1197" t="s">
        <v>26</v>
      </c>
      <c r="C1197" t="s">
        <v>51</v>
      </c>
      <c r="D1197" s="1">
        <v>43520</v>
      </c>
      <c r="E1197" s="2">
        <v>0.66666666666666663</v>
      </c>
      <c r="F1197" t="s">
        <v>35</v>
      </c>
      <c r="G1197" t="s">
        <v>29</v>
      </c>
      <c r="H1197">
        <v>2</v>
      </c>
      <c r="I1197">
        <v>0</v>
      </c>
      <c r="J1197" t="s">
        <v>34</v>
      </c>
      <c r="K1197">
        <v>575</v>
      </c>
      <c r="L1197">
        <v>429</v>
      </c>
      <c r="M1197">
        <v>158</v>
      </c>
      <c r="N1197">
        <v>6</v>
      </c>
      <c r="O1197">
        <v>441</v>
      </c>
      <c r="P1197">
        <v>158</v>
      </c>
      <c r="Q1197">
        <v>553</v>
      </c>
      <c r="R1197">
        <v>418</v>
      </c>
      <c r="S1197">
        <v>154</v>
      </c>
      <c r="T1197" t="s">
        <v>31</v>
      </c>
      <c r="U1197" t="s">
        <v>31</v>
      </c>
      <c r="V1197" t="s">
        <v>31</v>
      </c>
      <c r="W1197" t="s">
        <v>31</v>
      </c>
      <c r="X1197" t="s">
        <v>31</v>
      </c>
      <c r="Y1197" t="s">
        <v>31</v>
      </c>
    </row>
    <row r="1198" spans="1:25" hidden="1">
      <c r="A1198" t="s">
        <v>25</v>
      </c>
      <c r="B1198" t="s">
        <v>26</v>
      </c>
      <c r="C1198" t="s">
        <v>51</v>
      </c>
      <c r="D1198" s="1">
        <v>43526</v>
      </c>
      <c r="E1198" s="2">
        <v>0.66666666666666663</v>
      </c>
      <c r="F1198" t="s">
        <v>45</v>
      </c>
      <c r="G1198" t="s">
        <v>37</v>
      </c>
      <c r="H1198">
        <v>0</v>
      </c>
      <c r="I1198">
        <v>1</v>
      </c>
      <c r="J1198" t="s">
        <v>30</v>
      </c>
      <c r="K1198">
        <v>188</v>
      </c>
      <c r="L1198">
        <v>386</v>
      </c>
      <c r="M1198">
        <v>408</v>
      </c>
      <c r="N1198">
        <v>194</v>
      </c>
      <c r="O1198">
        <v>386</v>
      </c>
      <c r="P1198">
        <v>42</v>
      </c>
      <c r="Q1198">
        <v>186</v>
      </c>
      <c r="R1198">
        <v>361</v>
      </c>
      <c r="S1198">
        <v>392</v>
      </c>
      <c r="T1198" t="s">
        <v>31</v>
      </c>
      <c r="U1198" t="s">
        <v>31</v>
      </c>
      <c r="V1198" t="s">
        <v>31</v>
      </c>
      <c r="W1198" t="s">
        <v>31</v>
      </c>
      <c r="X1198" t="s">
        <v>31</v>
      </c>
      <c r="Y1198" t="s">
        <v>31</v>
      </c>
    </row>
    <row r="1199" spans="1:25" hidden="1">
      <c r="A1199" t="s">
        <v>25</v>
      </c>
      <c r="B1199" t="s">
        <v>26</v>
      </c>
      <c r="C1199" t="s">
        <v>51</v>
      </c>
      <c r="D1199" s="1">
        <v>43526</v>
      </c>
      <c r="E1199" s="2">
        <v>0.66666666666666663</v>
      </c>
      <c r="F1199" t="s">
        <v>29</v>
      </c>
      <c r="G1199" t="s">
        <v>39</v>
      </c>
      <c r="H1199">
        <v>3</v>
      </c>
      <c r="I1199">
        <v>0</v>
      </c>
      <c r="J1199" t="s">
        <v>34</v>
      </c>
      <c r="K1199">
        <v>131</v>
      </c>
      <c r="L1199">
        <v>553</v>
      </c>
      <c r="M1199">
        <v>1012</v>
      </c>
      <c r="N1199">
        <v>135</v>
      </c>
      <c r="O1199">
        <v>565</v>
      </c>
      <c r="P1199">
        <v>105</v>
      </c>
      <c r="Q1199">
        <v>13</v>
      </c>
      <c r="R1199">
        <v>52</v>
      </c>
      <c r="S1199">
        <v>906</v>
      </c>
      <c r="T1199" t="s">
        <v>31</v>
      </c>
      <c r="U1199" t="s">
        <v>31</v>
      </c>
      <c r="V1199" t="s">
        <v>31</v>
      </c>
      <c r="W1199" t="s">
        <v>31</v>
      </c>
      <c r="X1199" t="s">
        <v>31</v>
      </c>
      <c r="Y1199" t="s">
        <v>31</v>
      </c>
    </row>
    <row r="1200" spans="1:25" hidden="1">
      <c r="A1200" t="s">
        <v>25</v>
      </c>
      <c r="B1200" t="s">
        <v>26</v>
      </c>
      <c r="C1200" t="s">
        <v>51</v>
      </c>
      <c r="D1200" s="1">
        <v>43526</v>
      </c>
      <c r="E1200" s="2">
        <v>0.66666666666666663</v>
      </c>
      <c r="F1200" t="s">
        <v>48</v>
      </c>
      <c r="G1200" t="s">
        <v>35</v>
      </c>
      <c r="H1200">
        <v>0</v>
      </c>
      <c r="I1200">
        <v>4</v>
      </c>
      <c r="J1200" t="s">
        <v>30</v>
      </c>
      <c r="K1200">
        <v>387</v>
      </c>
      <c r="L1200">
        <v>368</v>
      </c>
      <c r="M1200">
        <v>199</v>
      </c>
      <c r="N1200">
        <v>41</v>
      </c>
      <c r="O1200">
        <v>38</v>
      </c>
      <c r="P1200">
        <v>204</v>
      </c>
      <c r="Q1200">
        <v>376</v>
      </c>
      <c r="R1200">
        <v>353</v>
      </c>
      <c r="S1200">
        <v>192</v>
      </c>
      <c r="T1200" t="s">
        <v>31</v>
      </c>
      <c r="U1200" t="s">
        <v>31</v>
      </c>
      <c r="V1200" t="s">
        <v>31</v>
      </c>
      <c r="W1200" t="s">
        <v>31</v>
      </c>
      <c r="X1200" t="s">
        <v>31</v>
      </c>
      <c r="Y1200" t="s">
        <v>31</v>
      </c>
    </row>
    <row r="1201" spans="1:25" hidden="1">
      <c r="A1201" t="s">
        <v>25</v>
      </c>
      <c r="B1201" t="s">
        <v>26</v>
      </c>
      <c r="C1201" t="s">
        <v>51</v>
      </c>
      <c r="D1201" s="1">
        <v>43527</v>
      </c>
      <c r="E1201" s="2">
        <v>0.5625</v>
      </c>
      <c r="F1201" t="s">
        <v>40</v>
      </c>
      <c r="G1201" t="s">
        <v>52</v>
      </c>
      <c r="H1201">
        <v>4</v>
      </c>
      <c r="I1201">
        <v>2</v>
      </c>
      <c r="J1201" t="s">
        <v>34</v>
      </c>
      <c r="K1201">
        <v>164</v>
      </c>
      <c r="L1201">
        <v>413</v>
      </c>
      <c r="M1201">
        <v>539</v>
      </c>
      <c r="N1201">
        <v>174</v>
      </c>
      <c r="O1201">
        <v>413</v>
      </c>
      <c r="P1201">
        <v>539</v>
      </c>
      <c r="Q1201">
        <v>164</v>
      </c>
      <c r="R1201">
        <v>395</v>
      </c>
      <c r="S1201">
        <v>479</v>
      </c>
      <c r="T1201" t="s">
        <v>31</v>
      </c>
      <c r="U1201" t="s">
        <v>31</v>
      </c>
      <c r="V1201" t="s">
        <v>31</v>
      </c>
      <c r="W1201" t="s">
        <v>31</v>
      </c>
      <c r="X1201" t="s">
        <v>31</v>
      </c>
      <c r="Y1201" t="s">
        <v>31</v>
      </c>
    </row>
    <row r="1202" spans="1:25" hidden="1">
      <c r="A1202" t="s">
        <v>25</v>
      </c>
      <c r="B1202" t="s">
        <v>26</v>
      </c>
      <c r="C1202" t="s">
        <v>51</v>
      </c>
      <c r="D1202" s="1">
        <v>43527</v>
      </c>
      <c r="E1202" s="2">
        <v>0.5625</v>
      </c>
      <c r="F1202" t="s">
        <v>28</v>
      </c>
      <c r="G1202" t="s">
        <v>50</v>
      </c>
      <c r="H1202">
        <v>0</v>
      </c>
      <c r="I1202">
        <v>3</v>
      </c>
      <c r="J1202" t="s">
        <v>30</v>
      </c>
      <c r="K1202">
        <v>348</v>
      </c>
      <c r="L1202">
        <v>352</v>
      </c>
      <c r="M1202">
        <v>217</v>
      </c>
      <c r="N1202">
        <v>35</v>
      </c>
      <c r="O1202">
        <v>352</v>
      </c>
      <c r="P1202">
        <v>225</v>
      </c>
      <c r="Q1202">
        <v>33</v>
      </c>
      <c r="R1202">
        <v>327</v>
      </c>
      <c r="S1202">
        <v>217</v>
      </c>
      <c r="T1202" t="s">
        <v>31</v>
      </c>
      <c r="U1202" t="s">
        <v>31</v>
      </c>
      <c r="V1202" t="s">
        <v>31</v>
      </c>
      <c r="W1202" t="s">
        <v>31</v>
      </c>
      <c r="X1202" t="s">
        <v>31</v>
      </c>
      <c r="Y1202" t="s">
        <v>31</v>
      </c>
    </row>
    <row r="1203" spans="1:25" hidden="1">
      <c r="A1203" t="s">
        <v>25</v>
      </c>
      <c r="B1203" t="s">
        <v>26</v>
      </c>
      <c r="C1203" t="s">
        <v>51</v>
      </c>
      <c r="D1203" s="1">
        <v>43527</v>
      </c>
      <c r="E1203" s="2">
        <v>0.66666666666666663</v>
      </c>
      <c r="F1203" t="s">
        <v>36</v>
      </c>
      <c r="G1203" t="s">
        <v>32</v>
      </c>
      <c r="H1203">
        <v>0</v>
      </c>
      <c r="I1203">
        <v>1</v>
      </c>
      <c r="J1203" t="s">
        <v>30</v>
      </c>
      <c r="K1203">
        <v>299</v>
      </c>
      <c r="L1203">
        <v>333</v>
      </c>
      <c r="M1203">
        <v>253</v>
      </c>
      <c r="N1203">
        <v>299</v>
      </c>
      <c r="O1203">
        <v>34</v>
      </c>
      <c r="P1203">
        <v>265</v>
      </c>
      <c r="Q1203">
        <v>282</v>
      </c>
      <c r="R1203">
        <v>321</v>
      </c>
      <c r="S1203">
        <v>247</v>
      </c>
      <c r="T1203" t="s">
        <v>31</v>
      </c>
      <c r="U1203" t="s">
        <v>31</v>
      </c>
      <c r="V1203" t="s">
        <v>31</v>
      </c>
      <c r="W1203" t="s">
        <v>31</v>
      </c>
      <c r="X1203" t="s">
        <v>31</v>
      </c>
      <c r="Y1203" t="s">
        <v>31</v>
      </c>
    </row>
    <row r="1204" spans="1:25" hidden="1">
      <c r="A1204" t="s">
        <v>25</v>
      </c>
      <c r="B1204" t="s">
        <v>26</v>
      </c>
      <c r="C1204" t="s">
        <v>51</v>
      </c>
      <c r="D1204" s="1">
        <v>43534</v>
      </c>
      <c r="E1204" s="2">
        <v>0.66666666666666663</v>
      </c>
      <c r="F1204" t="s">
        <v>37</v>
      </c>
      <c r="G1204" t="s">
        <v>48</v>
      </c>
      <c r="H1204">
        <v>3</v>
      </c>
      <c r="I1204">
        <v>2</v>
      </c>
      <c r="J1204" t="s">
        <v>34</v>
      </c>
      <c r="K1204">
        <v>226</v>
      </c>
      <c r="L1204">
        <v>342</v>
      </c>
      <c r="M1204">
        <v>336</v>
      </c>
      <c r="N1204">
        <v>229</v>
      </c>
      <c r="O1204">
        <v>345</v>
      </c>
      <c r="P1204">
        <v>35</v>
      </c>
      <c r="Q1204">
        <v>219</v>
      </c>
      <c r="R1204">
        <v>329</v>
      </c>
      <c r="S1204">
        <v>323</v>
      </c>
      <c r="T1204" t="s">
        <v>31</v>
      </c>
      <c r="U1204" t="s">
        <v>31</v>
      </c>
      <c r="V1204" t="s">
        <v>31</v>
      </c>
      <c r="W1204" t="s">
        <v>31</v>
      </c>
      <c r="X1204" t="s">
        <v>31</v>
      </c>
      <c r="Y1204" t="s">
        <v>31</v>
      </c>
    </row>
    <row r="1205" spans="1:25" hidden="1">
      <c r="A1205" t="s">
        <v>25</v>
      </c>
      <c r="B1205" t="s">
        <v>26</v>
      </c>
      <c r="C1205" t="s">
        <v>51</v>
      </c>
      <c r="D1205" s="1">
        <v>43534</v>
      </c>
      <c r="E1205" s="2">
        <v>0.66666666666666663</v>
      </c>
      <c r="F1205" t="s">
        <v>40</v>
      </c>
      <c r="G1205" t="s">
        <v>45</v>
      </c>
      <c r="H1205">
        <v>1</v>
      </c>
      <c r="I1205">
        <v>3</v>
      </c>
      <c r="J1205" t="s">
        <v>30</v>
      </c>
      <c r="K1205">
        <v>19</v>
      </c>
      <c r="L1205">
        <v>358</v>
      </c>
      <c r="M1205">
        <v>439</v>
      </c>
      <c r="N1205">
        <v>196</v>
      </c>
      <c r="O1205">
        <v>38</v>
      </c>
      <c r="P1205">
        <v>47</v>
      </c>
      <c r="Q1205">
        <v>185</v>
      </c>
      <c r="R1205">
        <v>345</v>
      </c>
      <c r="S1205">
        <v>414</v>
      </c>
      <c r="T1205" t="s">
        <v>31</v>
      </c>
      <c r="U1205" t="s">
        <v>31</v>
      </c>
      <c r="V1205" t="s">
        <v>31</v>
      </c>
      <c r="W1205" t="s">
        <v>31</v>
      </c>
      <c r="X1205" t="s">
        <v>31</v>
      </c>
      <c r="Y1205" t="s">
        <v>31</v>
      </c>
    </row>
    <row r="1206" spans="1:25" hidden="1">
      <c r="A1206" t="s">
        <v>25</v>
      </c>
      <c r="B1206" t="s">
        <v>26</v>
      </c>
      <c r="C1206" t="s">
        <v>51</v>
      </c>
      <c r="D1206" s="1">
        <v>43534</v>
      </c>
      <c r="E1206" s="2">
        <v>0.66666666666666663</v>
      </c>
      <c r="F1206" t="s">
        <v>52</v>
      </c>
      <c r="G1206" t="s">
        <v>39</v>
      </c>
      <c r="H1206">
        <v>1</v>
      </c>
      <c r="I1206">
        <v>1</v>
      </c>
      <c r="J1206" t="s">
        <v>41</v>
      </c>
      <c r="K1206">
        <v>329</v>
      </c>
      <c r="L1206">
        <v>383</v>
      </c>
      <c r="M1206">
        <v>214</v>
      </c>
      <c r="N1206">
        <v>329</v>
      </c>
      <c r="O1206">
        <v>383</v>
      </c>
      <c r="P1206">
        <v>228</v>
      </c>
      <c r="Q1206">
        <v>308</v>
      </c>
      <c r="R1206">
        <v>357</v>
      </c>
      <c r="S1206">
        <v>215</v>
      </c>
      <c r="T1206" t="s">
        <v>31</v>
      </c>
      <c r="U1206" t="s">
        <v>31</v>
      </c>
      <c r="V1206" t="s">
        <v>31</v>
      </c>
      <c r="W1206" t="s">
        <v>31</v>
      </c>
      <c r="X1206" t="s">
        <v>31</v>
      </c>
      <c r="Y1206" t="s">
        <v>31</v>
      </c>
    </row>
    <row r="1207" spans="1:25" hidden="1">
      <c r="A1207" t="s">
        <v>25</v>
      </c>
      <c r="B1207" t="s">
        <v>26</v>
      </c>
      <c r="C1207" t="s">
        <v>51</v>
      </c>
      <c r="D1207" s="1">
        <v>43534</v>
      </c>
      <c r="E1207" s="2">
        <v>0.66666666666666663</v>
      </c>
      <c r="F1207" t="s">
        <v>50</v>
      </c>
      <c r="G1207" t="s">
        <v>36</v>
      </c>
      <c r="H1207">
        <v>2</v>
      </c>
      <c r="I1207">
        <v>0</v>
      </c>
      <c r="J1207" t="s">
        <v>34</v>
      </c>
      <c r="K1207">
        <v>128</v>
      </c>
      <c r="L1207">
        <v>594</v>
      </c>
      <c r="M1207">
        <v>1073</v>
      </c>
      <c r="N1207">
        <v>13</v>
      </c>
      <c r="O1207">
        <v>61</v>
      </c>
      <c r="P1207">
        <v>14</v>
      </c>
      <c r="Q1207">
        <v>125</v>
      </c>
      <c r="R1207">
        <v>549</v>
      </c>
      <c r="S1207">
        <v>1106</v>
      </c>
      <c r="T1207" t="s">
        <v>31</v>
      </c>
      <c r="U1207" t="s">
        <v>31</v>
      </c>
      <c r="V1207" t="s">
        <v>31</v>
      </c>
      <c r="W1207" t="s">
        <v>31</v>
      </c>
      <c r="X1207" t="s">
        <v>31</v>
      </c>
      <c r="Y1207" t="s">
        <v>31</v>
      </c>
    </row>
    <row r="1208" spans="1:25" hidden="1">
      <c r="A1208" t="s">
        <v>25</v>
      </c>
      <c r="B1208" t="s">
        <v>26</v>
      </c>
      <c r="C1208" t="s">
        <v>51</v>
      </c>
      <c r="D1208" s="1">
        <v>43534</v>
      </c>
      <c r="E1208" s="2">
        <v>0.66666666666666663</v>
      </c>
      <c r="F1208" t="s">
        <v>32</v>
      </c>
      <c r="G1208" t="s">
        <v>35</v>
      </c>
      <c r="H1208">
        <v>2</v>
      </c>
      <c r="I1208">
        <v>1</v>
      </c>
      <c r="J1208" t="s">
        <v>34</v>
      </c>
      <c r="K1208">
        <v>372</v>
      </c>
      <c r="L1208">
        <v>38</v>
      </c>
      <c r="M1208">
        <v>2</v>
      </c>
      <c r="N1208">
        <v>42</v>
      </c>
      <c r="O1208">
        <v>38</v>
      </c>
      <c r="P1208">
        <v>203</v>
      </c>
      <c r="Q1208">
        <v>361</v>
      </c>
      <c r="R1208">
        <v>353</v>
      </c>
      <c r="S1208">
        <v>196</v>
      </c>
      <c r="T1208" t="s">
        <v>31</v>
      </c>
      <c r="U1208" t="s">
        <v>31</v>
      </c>
      <c r="V1208" t="s">
        <v>31</v>
      </c>
      <c r="W1208" t="s">
        <v>31</v>
      </c>
      <c r="X1208" t="s">
        <v>31</v>
      </c>
      <c r="Y1208" t="s">
        <v>31</v>
      </c>
    </row>
    <row r="1209" spans="1:25" hidden="1">
      <c r="A1209" t="s">
        <v>25</v>
      </c>
      <c r="B1209" t="s">
        <v>26</v>
      </c>
      <c r="C1209" t="s">
        <v>51</v>
      </c>
      <c r="D1209" s="1">
        <v>43534</v>
      </c>
      <c r="E1209" s="2">
        <v>0.66666666666666663</v>
      </c>
      <c r="F1209" t="s">
        <v>29</v>
      </c>
      <c r="G1209" t="s">
        <v>28</v>
      </c>
      <c r="H1209">
        <v>0</v>
      </c>
      <c r="I1209">
        <v>0</v>
      </c>
      <c r="J1209" t="s">
        <v>41</v>
      </c>
      <c r="K1209">
        <v>133</v>
      </c>
      <c r="L1209">
        <v>549</v>
      </c>
      <c r="M1209">
        <v>902</v>
      </c>
      <c r="N1209">
        <v>14</v>
      </c>
      <c r="O1209">
        <v>55</v>
      </c>
      <c r="P1209">
        <v>105</v>
      </c>
      <c r="Q1209">
        <v>131</v>
      </c>
      <c r="R1209">
        <v>514</v>
      </c>
      <c r="S1209">
        <v>872</v>
      </c>
      <c r="T1209" t="s">
        <v>31</v>
      </c>
      <c r="U1209" t="s">
        <v>31</v>
      </c>
      <c r="V1209" t="s">
        <v>31</v>
      </c>
      <c r="W1209" t="s">
        <v>31</v>
      </c>
      <c r="X1209" t="s">
        <v>31</v>
      </c>
      <c r="Y1209" t="s">
        <v>31</v>
      </c>
    </row>
    <row r="1210" spans="1:25" hidden="1">
      <c r="A1210" t="s">
        <v>25</v>
      </c>
      <c r="B1210" t="s">
        <v>26</v>
      </c>
      <c r="C1210" t="s">
        <v>51</v>
      </c>
      <c r="D1210" s="1">
        <v>43541</v>
      </c>
      <c r="E1210" s="2">
        <v>0.66666666666666663</v>
      </c>
      <c r="F1210" t="s">
        <v>39</v>
      </c>
      <c r="G1210" t="s">
        <v>37</v>
      </c>
      <c r="H1210">
        <v>2</v>
      </c>
      <c r="I1210">
        <v>2</v>
      </c>
      <c r="J1210" t="s">
        <v>41</v>
      </c>
      <c r="K1210">
        <v>172</v>
      </c>
      <c r="L1210">
        <v>356</v>
      </c>
      <c r="M1210">
        <v>569</v>
      </c>
      <c r="N1210">
        <v>172</v>
      </c>
      <c r="O1210">
        <v>38</v>
      </c>
      <c r="P1210">
        <v>569</v>
      </c>
      <c r="Q1210">
        <v>168</v>
      </c>
      <c r="R1210">
        <v>357</v>
      </c>
      <c r="S1210">
        <v>523</v>
      </c>
      <c r="T1210" t="s">
        <v>31</v>
      </c>
      <c r="U1210" t="s">
        <v>31</v>
      </c>
      <c r="V1210" t="s">
        <v>31</v>
      </c>
      <c r="W1210" t="s">
        <v>31</v>
      </c>
      <c r="X1210" t="s">
        <v>31</v>
      </c>
      <c r="Y1210" t="s">
        <v>31</v>
      </c>
    </row>
    <row r="1211" spans="1:25" hidden="1">
      <c r="A1211" t="s">
        <v>25</v>
      </c>
      <c r="B1211" t="s">
        <v>26</v>
      </c>
      <c r="C1211" t="s">
        <v>51</v>
      </c>
      <c r="D1211" s="1">
        <v>43541</v>
      </c>
      <c r="E1211" s="2">
        <v>0.66666666666666663</v>
      </c>
      <c r="F1211" t="s">
        <v>45</v>
      </c>
      <c r="G1211" t="s">
        <v>50</v>
      </c>
      <c r="H1211">
        <v>1</v>
      </c>
      <c r="I1211">
        <v>2</v>
      </c>
      <c r="J1211" t="s">
        <v>30</v>
      </c>
      <c r="K1211">
        <v>506</v>
      </c>
      <c r="L1211">
        <v>35</v>
      </c>
      <c r="M1211">
        <v>181</v>
      </c>
      <c r="N1211">
        <v>525</v>
      </c>
      <c r="O1211">
        <v>385</v>
      </c>
      <c r="P1211">
        <v>182</v>
      </c>
      <c r="Q1211">
        <v>474</v>
      </c>
      <c r="R1211">
        <v>35</v>
      </c>
      <c r="S1211">
        <v>175</v>
      </c>
      <c r="T1211" t="s">
        <v>31</v>
      </c>
      <c r="U1211" t="s">
        <v>31</v>
      </c>
      <c r="V1211" t="s">
        <v>31</v>
      </c>
      <c r="W1211" t="s">
        <v>31</v>
      </c>
      <c r="X1211" t="s">
        <v>31</v>
      </c>
      <c r="Y1211" t="s">
        <v>31</v>
      </c>
    </row>
    <row r="1212" spans="1:25" hidden="1">
      <c r="A1212" t="s">
        <v>25</v>
      </c>
      <c r="B1212" t="s">
        <v>26</v>
      </c>
      <c r="C1212" t="s">
        <v>51</v>
      </c>
      <c r="D1212" s="1">
        <v>43541</v>
      </c>
      <c r="E1212" s="2">
        <v>0.66666666666666663</v>
      </c>
      <c r="F1212" t="s">
        <v>35</v>
      </c>
      <c r="G1212" t="s">
        <v>52</v>
      </c>
      <c r="H1212">
        <v>2</v>
      </c>
      <c r="I1212">
        <v>2</v>
      </c>
      <c r="J1212" t="s">
        <v>41</v>
      </c>
      <c r="K1212">
        <v>128</v>
      </c>
      <c r="L1212">
        <v>635</v>
      </c>
      <c r="M1212">
        <v>968</v>
      </c>
      <c r="N1212">
        <v>13</v>
      </c>
      <c r="O1212">
        <v>665</v>
      </c>
      <c r="P1212">
        <v>13</v>
      </c>
      <c r="Q1212">
        <v>125</v>
      </c>
      <c r="R1212">
        <v>599</v>
      </c>
      <c r="S1212">
        <v>997</v>
      </c>
      <c r="T1212" t="s">
        <v>31</v>
      </c>
      <c r="U1212" t="s">
        <v>31</v>
      </c>
      <c r="V1212" t="s">
        <v>31</v>
      </c>
      <c r="W1212" t="s">
        <v>31</v>
      </c>
      <c r="X1212" t="s">
        <v>31</v>
      </c>
      <c r="Y1212" t="s">
        <v>31</v>
      </c>
    </row>
    <row r="1213" spans="1:25" hidden="1">
      <c r="A1213" t="s">
        <v>25</v>
      </c>
      <c r="B1213" t="s">
        <v>26</v>
      </c>
      <c r="C1213" t="s">
        <v>51</v>
      </c>
      <c r="D1213" s="1">
        <v>43541</v>
      </c>
      <c r="E1213" s="2">
        <v>0.66666666666666663</v>
      </c>
      <c r="F1213" t="s">
        <v>48</v>
      </c>
      <c r="G1213" t="s">
        <v>32</v>
      </c>
      <c r="H1213">
        <v>0</v>
      </c>
      <c r="I1213">
        <v>1</v>
      </c>
      <c r="J1213" t="s">
        <v>30</v>
      </c>
      <c r="K1213">
        <v>269</v>
      </c>
      <c r="L1213">
        <v>35</v>
      </c>
      <c r="M1213">
        <v>268</v>
      </c>
      <c r="N1213">
        <v>29</v>
      </c>
      <c r="O1213">
        <v>35</v>
      </c>
      <c r="P1213">
        <v>268</v>
      </c>
      <c r="Q1213">
        <v>269</v>
      </c>
      <c r="R1213">
        <v>331</v>
      </c>
      <c r="S1213">
        <v>253</v>
      </c>
      <c r="T1213" t="s">
        <v>31</v>
      </c>
      <c r="U1213" t="s">
        <v>31</v>
      </c>
      <c r="V1213" t="s">
        <v>31</v>
      </c>
      <c r="W1213" t="s">
        <v>31</v>
      </c>
      <c r="X1213" t="s">
        <v>31</v>
      </c>
      <c r="Y1213" t="s">
        <v>31</v>
      </c>
    </row>
    <row r="1214" spans="1:25" hidden="1">
      <c r="A1214" t="s">
        <v>25</v>
      </c>
      <c r="B1214" t="s">
        <v>26</v>
      </c>
      <c r="C1214" t="s">
        <v>51</v>
      </c>
      <c r="D1214" s="1">
        <v>43541</v>
      </c>
      <c r="E1214" s="2">
        <v>0.66666666666666663</v>
      </c>
      <c r="F1214" t="s">
        <v>28</v>
      </c>
      <c r="G1214" t="s">
        <v>40</v>
      </c>
      <c r="H1214">
        <v>1</v>
      </c>
      <c r="I1214">
        <v>0</v>
      </c>
      <c r="J1214" t="s">
        <v>34</v>
      </c>
      <c r="K1214">
        <v>224</v>
      </c>
      <c r="L1214">
        <v>313</v>
      </c>
      <c r="M1214">
        <v>376</v>
      </c>
      <c r="N1214">
        <v>225</v>
      </c>
      <c r="O1214">
        <v>33</v>
      </c>
      <c r="P1214">
        <v>45</v>
      </c>
      <c r="Q1214">
        <v>214</v>
      </c>
      <c r="R1214">
        <v>308</v>
      </c>
      <c r="S1214">
        <v>365</v>
      </c>
      <c r="T1214" t="s">
        <v>31</v>
      </c>
      <c r="U1214" t="s">
        <v>31</v>
      </c>
      <c r="V1214" t="s">
        <v>31</v>
      </c>
      <c r="W1214" t="s">
        <v>31</v>
      </c>
      <c r="X1214" t="s">
        <v>31</v>
      </c>
      <c r="Y1214" t="s">
        <v>31</v>
      </c>
    </row>
    <row r="1215" spans="1:25" hidden="1">
      <c r="A1215" t="s">
        <v>25</v>
      </c>
      <c r="B1215" t="s">
        <v>26</v>
      </c>
      <c r="C1215" t="s">
        <v>51</v>
      </c>
      <c r="D1215" s="1">
        <v>43541</v>
      </c>
      <c r="E1215" s="2">
        <v>0.66666666666666663</v>
      </c>
      <c r="F1215" t="s">
        <v>36</v>
      </c>
      <c r="G1215" t="s">
        <v>29</v>
      </c>
      <c r="H1215">
        <v>0</v>
      </c>
      <c r="I1215">
        <v>2</v>
      </c>
      <c r="J1215" t="s">
        <v>30</v>
      </c>
      <c r="K1215">
        <v>1618</v>
      </c>
      <c r="L1215">
        <v>692</v>
      </c>
      <c r="M1215">
        <v>119</v>
      </c>
      <c r="N1215">
        <v>1618</v>
      </c>
      <c r="O1215">
        <v>692</v>
      </c>
      <c r="P1215">
        <v>124</v>
      </c>
      <c r="Q1215">
        <v>1312</v>
      </c>
      <c r="R1215">
        <v>633</v>
      </c>
      <c r="S1215">
        <v>12</v>
      </c>
      <c r="T1215" t="s">
        <v>31</v>
      </c>
      <c r="U1215" t="s">
        <v>31</v>
      </c>
      <c r="V1215" t="s">
        <v>31</v>
      </c>
      <c r="W1215" t="s">
        <v>31</v>
      </c>
      <c r="X1215" t="s">
        <v>31</v>
      </c>
      <c r="Y1215" t="s">
        <v>31</v>
      </c>
    </row>
    <row r="1216" spans="1:25" hidden="1">
      <c r="A1216" t="s">
        <v>25</v>
      </c>
      <c r="B1216" t="s">
        <v>26</v>
      </c>
      <c r="C1216" t="s">
        <v>51</v>
      </c>
      <c r="D1216" s="1">
        <v>43554</v>
      </c>
      <c r="E1216" s="2">
        <v>0.66666666666666663</v>
      </c>
      <c r="F1216" t="s">
        <v>45</v>
      </c>
      <c r="G1216" t="s">
        <v>32</v>
      </c>
      <c r="H1216">
        <v>2</v>
      </c>
      <c r="I1216">
        <v>1</v>
      </c>
      <c r="J1216" t="s">
        <v>34</v>
      </c>
      <c r="K1216">
        <v>219</v>
      </c>
      <c r="L1216">
        <v>363</v>
      </c>
      <c r="M1216">
        <v>333</v>
      </c>
      <c r="N1216">
        <v>228</v>
      </c>
      <c r="O1216">
        <v>363</v>
      </c>
      <c r="P1216">
        <v>345</v>
      </c>
      <c r="Q1216">
        <v>215</v>
      </c>
      <c r="R1216">
        <v>337</v>
      </c>
      <c r="S1216">
        <v>323</v>
      </c>
      <c r="T1216" t="s">
        <v>31</v>
      </c>
      <c r="U1216" t="s">
        <v>31</v>
      </c>
      <c r="V1216" t="s">
        <v>31</v>
      </c>
      <c r="W1216" t="s">
        <v>31</v>
      </c>
      <c r="X1216" t="s">
        <v>31</v>
      </c>
      <c r="Y1216" t="s">
        <v>31</v>
      </c>
    </row>
    <row r="1217" spans="1:25" hidden="1">
      <c r="A1217" t="s">
        <v>25</v>
      </c>
      <c r="B1217" t="s">
        <v>26</v>
      </c>
      <c r="C1217" t="s">
        <v>51</v>
      </c>
      <c r="D1217" s="1">
        <v>43554</v>
      </c>
      <c r="E1217" s="2">
        <v>0.66666666666666663</v>
      </c>
      <c r="F1217" t="s">
        <v>52</v>
      </c>
      <c r="G1217" t="s">
        <v>36</v>
      </c>
      <c r="H1217">
        <v>0</v>
      </c>
      <c r="I1217">
        <v>2</v>
      </c>
      <c r="J1217" t="s">
        <v>30</v>
      </c>
      <c r="K1217">
        <v>224</v>
      </c>
      <c r="L1217">
        <v>373</v>
      </c>
      <c r="M1217">
        <v>316</v>
      </c>
      <c r="N1217">
        <v>229</v>
      </c>
      <c r="O1217">
        <v>375</v>
      </c>
      <c r="P1217">
        <v>33</v>
      </c>
      <c r="Q1217">
        <v>214</v>
      </c>
      <c r="R1217">
        <v>358</v>
      </c>
      <c r="S1217">
        <v>306</v>
      </c>
      <c r="T1217" t="s">
        <v>31</v>
      </c>
      <c r="U1217" t="s">
        <v>31</v>
      </c>
      <c r="V1217" t="s">
        <v>31</v>
      </c>
      <c r="W1217" t="s">
        <v>31</v>
      </c>
      <c r="X1217" t="s">
        <v>31</v>
      </c>
      <c r="Y1217" t="s">
        <v>31</v>
      </c>
    </row>
    <row r="1218" spans="1:25" hidden="1">
      <c r="A1218" t="s">
        <v>25</v>
      </c>
      <c r="B1218" t="s">
        <v>26</v>
      </c>
      <c r="C1218" t="s">
        <v>51</v>
      </c>
      <c r="D1218" s="1">
        <v>43554</v>
      </c>
      <c r="E1218" s="2">
        <v>0.66666666666666663</v>
      </c>
      <c r="F1218" t="s">
        <v>35</v>
      </c>
      <c r="G1218" t="s">
        <v>37</v>
      </c>
      <c r="H1218">
        <v>3</v>
      </c>
      <c r="I1218">
        <v>0</v>
      </c>
      <c r="J1218" t="s">
        <v>34</v>
      </c>
      <c r="K1218">
        <v>145</v>
      </c>
      <c r="L1218">
        <v>471</v>
      </c>
      <c r="M1218">
        <v>722</v>
      </c>
      <c r="N1218">
        <v>146</v>
      </c>
      <c r="O1218">
        <v>478</v>
      </c>
      <c r="P1218">
        <v>75</v>
      </c>
      <c r="Q1218">
        <v>142</v>
      </c>
      <c r="R1218">
        <v>45</v>
      </c>
      <c r="S1218">
        <v>684</v>
      </c>
      <c r="T1218" t="s">
        <v>31</v>
      </c>
      <c r="U1218" t="s">
        <v>31</v>
      </c>
      <c r="V1218" t="s">
        <v>31</v>
      </c>
      <c r="W1218" t="s">
        <v>31</v>
      </c>
      <c r="X1218" t="s">
        <v>31</v>
      </c>
      <c r="Y1218" t="s">
        <v>31</v>
      </c>
    </row>
    <row r="1219" spans="1:25" hidden="1">
      <c r="A1219" t="s">
        <v>25</v>
      </c>
      <c r="B1219" t="s">
        <v>26</v>
      </c>
      <c r="C1219" t="s">
        <v>51</v>
      </c>
      <c r="D1219" s="1">
        <v>43555</v>
      </c>
      <c r="E1219" s="2">
        <v>0.5625</v>
      </c>
      <c r="F1219" t="s">
        <v>39</v>
      </c>
      <c r="G1219" t="s">
        <v>50</v>
      </c>
      <c r="H1219">
        <v>0</v>
      </c>
      <c r="I1219">
        <v>3</v>
      </c>
      <c r="J1219" t="s">
        <v>30</v>
      </c>
      <c r="K1219">
        <v>404</v>
      </c>
      <c r="L1219">
        <v>36</v>
      </c>
      <c r="M1219">
        <v>197</v>
      </c>
      <c r="N1219">
        <v>425</v>
      </c>
      <c r="O1219">
        <v>36</v>
      </c>
      <c r="P1219">
        <v>201</v>
      </c>
      <c r="Q1219">
        <v>388</v>
      </c>
      <c r="R1219">
        <v>335</v>
      </c>
      <c r="S1219">
        <v>195</v>
      </c>
      <c r="T1219" t="s">
        <v>31</v>
      </c>
      <c r="U1219" t="s">
        <v>31</v>
      </c>
      <c r="V1219" t="s">
        <v>31</v>
      </c>
      <c r="W1219" t="s">
        <v>31</v>
      </c>
      <c r="X1219" t="s">
        <v>31</v>
      </c>
      <c r="Y1219" t="s">
        <v>31</v>
      </c>
    </row>
    <row r="1220" spans="1:25" hidden="1">
      <c r="A1220" t="s">
        <v>25</v>
      </c>
      <c r="B1220" t="s">
        <v>26</v>
      </c>
      <c r="C1220" t="s">
        <v>51</v>
      </c>
      <c r="D1220" s="1">
        <v>43555</v>
      </c>
      <c r="E1220" s="2">
        <v>0.5625</v>
      </c>
      <c r="F1220" t="s">
        <v>28</v>
      </c>
      <c r="G1220" t="s">
        <v>48</v>
      </c>
      <c r="H1220">
        <v>0</v>
      </c>
      <c r="I1220">
        <v>1</v>
      </c>
      <c r="J1220" t="s">
        <v>30</v>
      </c>
      <c r="K1220">
        <v>17</v>
      </c>
      <c r="L1220">
        <v>383</v>
      </c>
      <c r="M1220">
        <v>537</v>
      </c>
      <c r="N1220">
        <v>173</v>
      </c>
      <c r="O1220">
        <v>4</v>
      </c>
      <c r="P1220">
        <v>537</v>
      </c>
      <c r="Q1220">
        <v>166</v>
      </c>
      <c r="R1220">
        <v>372</v>
      </c>
      <c r="S1220">
        <v>501</v>
      </c>
      <c r="T1220" t="s">
        <v>31</v>
      </c>
      <c r="U1220" t="s">
        <v>31</v>
      </c>
      <c r="V1220" t="s">
        <v>31</v>
      </c>
      <c r="W1220" t="s">
        <v>31</v>
      </c>
      <c r="X1220" t="s">
        <v>31</v>
      </c>
      <c r="Y1220" t="s">
        <v>31</v>
      </c>
    </row>
    <row r="1221" spans="1:25" hidden="1">
      <c r="A1221" t="s">
        <v>25</v>
      </c>
      <c r="B1221" t="s">
        <v>26</v>
      </c>
      <c r="C1221" t="s">
        <v>51</v>
      </c>
      <c r="D1221" s="1">
        <v>43555</v>
      </c>
      <c r="E1221" s="2">
        <v>0.66666666666666663</v>
      </c>
      <c r="F1221" t="s">
        <v>29</v>
      </c>
      <c r="G1221" t="s">
        <v>40</v>
      </c>
      <c r="H1221">
        <v>5</v>
      </c>
      <c r="I1221">
        <v>1</v>
      </c>
      <c r="J1221" t="s">
        <v>34</v>
      </c>
      <c r="K1221">
        <v>119</v>
      </c>
      <c r="L1221">
        <v>731</v>
      </c>
      <c r="M1221">
        <v>146</v>
      </c>
      <c r="N1221">
        <v>125</v>
      </c>
      <c r="O1221">
        <v>735</v>
      </c>
      <c r="P1221">
        <v>15</v>
      </c>
      <c r="Q1221">
        <v>119</v>
      </c>
      <c r="R1221">
        <v>669</v>
      </c>
      <c r="S1221">
        <v>1278</v>
      </c>
      <c r="T1221" t="s">
        <v>31</v>
      </c>
      <c r="U1221" t="s">
        <v>31</v>
      </c>
      <c r="V1221" t="s">
        <v>31</v>
      </c>
      <c r="W1221" t="s">
        <v>31</v>
      </c>
      <c r="X1221" t="s">
        <v>31</v>
      </c>
      <c r="Y1221" t="s">
        <v>31</v>
      </c>
    </row>
    <row r="1222" spans="1:25" hidden="1">
      <c r="A1222" t="s">
        <v>25</v>
      </c>
      <c r="B1222" t="s">
        <v>26</v>
      </c>
      <c r="C1222" t="s">
        <v>51</v>
      </c>
      <c r="D1222" s="1">
        <v>43561</v>
      </c>
      <c r="E1222" s="2">
        <v>0.66666666666666663</v>
      </c>
      <c r="F1222" t="s">
        <v>37</v>
      </c>
      <c r="G1222" t="s">
        <v>45</v>
      </c>
      <c r="H1222">
        <v>1</v>
      </c>
      <c r="I1222">
        <v>1</v>
      </c>
      <c r="J1222" t="s">
        <v>41</v>
      </c>
      <c r="K1222">
        <v>278</v>
      </c>
      <c r="L1222">
        <v>332</v>
      </c>
      <c r="M1222">
        <v>271</v>
      </c>
      <c r="N1222">
        <v>278</v>
      </c>
      <c r="O1222">
        <v>34</v>
      </c>
      <c r="P1222">
        <v>278</v>
      </c>
      <c r="Q1222">
        <v>268</v>
      </c>
      <c r="R1222">
        <v>317</v>
      </c>
      <c r="S1222">
        <v>262</v>
      </c>
      <c r="T1222" t="s">
        <v>31</v>
      </c>
      <c r="U1222" t="s">
        <v>31</v>
      </c>
      <c r="V1222" t="s">
        <v>31</v>
      </c>
      <c r="W1222" t="s">
        <v>31</v>
      </c>
      <c r="X1222" t="s">
        <v>31</v>
      </c>
      <c r="Y1222" t="s">
        <v>31</v>
      </c>
    </row>
    <row r="1223" spans="1:25" hidden="1">
      <c r="A1223" t="s">
        <v>25</v>
      </c>
      <c r="B1223" t="s">
        <v>26</v>
      </c>
      <c r="C1223" t="s">
        <v>51</v>
      </c>
      <c r="D1223" s="1">
        <v>43561</v>
      </c>
      <c r="E1223" s="2">
        <v>0.66666666666666663</v>
      </c>
      <c r="F1223" t="s">
        <v>32</v>
      </c>
      <c r="G1223" t="s">
        <v>52</v>
      </c>
      <c r="H1223">
        <v>3</v>
      </c>
      <c r="I1223">
        <v>0</v>
      </c>
      <c r="J1223" t="s">
        <v>34</v>
      </c>
      <c r="K1223">
        <v>195</v>
      </c>
      <c r="L1223">
        <v>371</v>
      </c>
      <c r="M1223">
        <v>396</v>
      </c>
      <c r="N1223">
        <v>203</v>
      </c>
      <c r="O1223">
        <v>4</v>
      </c>
      <c r="P1223">
        <v>4</v>
      </c>
      <c r="Q1223">
        <v>191</v>
      </c>
      <c r="R1223">
        <v>365</v>
      </c>
      <c r="S1223">
        <v>367</v>
      </c>
      <c r="T1223" t="s">
        <v>31</v>
      </c>
      <c r="U1223" t="s">
        <v>31</v>
      </c>
      <c r="V1223" t="s">
        <v>31</v>
      </c>
      <c r="W1223" t="s">
        <v>31</v>
      </c>
      <c r="X1223" t="s">
        <v>31</v>
      </c>
      <c r="Y1223" t="s">
        <v>31</v>
      </c>
    </row>
    <row r="1224" spans="1:25" hidden="1">
      <c r="A1224" t="s">
        <v>25</v>
      </c>
      <c r="B1224" t="s">
        <v>26</v>
      </c>
      <c r="C1224" t="s">
        <v>51</v>
      </c>
      <c r="D1224" s="1">
        <v>43561</v>
      </c>
      <c r="E1224" s="2">
        <v>0.66666666666666663</v>
      </c>
      <c r="F1224" t="s">
        <v>36</v>
      </c>
      <c r="G1224" t="s">
        <v>35</v>
      </c>
      <c r="H1224">
        <v>0</v>
      </c>
      <c r="I1224">
        <v>2</v>
      </c>
      <c r="J1224" t="s">
        <v>30</v>
      </c>
      <c r="K1224">
        <v>438</v>
      </c>
      <c r="L1224">
        <v>397</v>
      </c>
      <c r="M1224">
        <v>181</v>
      </c>
      <c r="N1224">
        <v>45</v>
      </c>
      <c r="O1224">
        <v>397</v>
      </c>
      <c r="P1224">
        <v>183</v>
      </c>
      <c r="Q1224">
        <v>428</v>
      </c>
      <c r="R1224">
        <v>374</v>
      </c>
      <c r="S1224">
        <v>176</v>
      </c>
      <c r="T1224" t="s">
        <v>31</v>
      </c>
      <c r="U1224" t="s">
        <v>31</v>
      </c>
      <c r="V1224" t="s">
        <v>31</v>
      </c>
      <c r="W1224" t="s">
        <v>31</v>
      </c>
      <c r="X1224" t="s">
        <v>31</v>
      </c>
      <c r="Y1224" t="s">
        <v>31</v>
      </c>
    </row>
    <row r="1225" spans="1:25" hidden="1">
      <c r="A1225" t="s">
        <v>25</v>
      </c>
      <c r="B1225" t="s">
        <v>26</v>
      </c>
      <c r="C1225" t="s">
        <v>51</v>
      </c>
      <c r="D1225" s="1">
        <v>43562</v>
      </c>
      <c r="E1225" s="2">
        <v>0.5625</v>
      </c>
      <c r="F1225" t="s">
        <v>40</v>
      </c>
      <c r="G1225" t="s">
        <v>28</v>
      </c>
      <c r="H1225">
        <v>0</v>
      </c>
      <c r="I1225">
        <v>1</v>
      </c>
      <c r="J1225" t="s">
        <v>30</v>
      </c>
      <c r="K1225">
        <v>248</v>
      </c>
      <c r="L1225">
        <v>345</v>
      </c>
      <c r="M1225">
        <v>296</v>
      </c>
      <c r="N1225">
        <v>258</v>
      </c>
      <c r="O1225">
        <v>345</v>
      </c>
      <c r="P1225">
        <v>302</v>
      </c>
      <c r="Q1225">
        <v>241</v>
      </c>
      <c r="R1225">
        <v>325</v>
      </c>
      <c r="S1225">
        <v>289</v>
      </c>
      <c r="T1225" t="s">
        <v>31</v>
      </c>
      <c r="U1225" t="s">
        <v>31</v>
      </c>
      <c r="V1225" t="s">
        <v>31</v>
      </c>
      <c r="W1225" t="s">
        <v>31</v>
      </c>
      <c r="X1225" t="s">
        <v>31</v>
      </c>
      <c r="Y1225" t="s">
        <v>31</v>
      </c>
    </row>
    <row r="1226" spans="1:25" hidden="1">
      <c r="A1226" t="s">
        <v>25</v>
      </c>
      <c r="B1226" t="s">
        <v>26</v>
      </c>
      <c r="C1226" t="s">
        <v>51</v>
      </c>
      <c r="D1226" s="1">
        <v>43562</v>
      </c>
      <c r="E1226" s="2">
        <v>0.5625</v>
      </c>
      <c r="F1226" t="s">
        <v>48</v>
      </c>
      <c r="G1226" t="s">
        <v>39</v>
      </c>
      <c r="H1226">
        <v>1</v>
      </c>
      <c r="I1226">
        <v>3</v>
      </c>
      <c r="J1226" t="s">
        <v>30</v>
      </c>
      <c r="K1226">
        <v>33</v>
      </c>
      <c r="L1226">
        <v>346</v>
      </c>
      <c r="M1226">
        <v>228</v>
      </c>
      <c r="N1226">
        <v>333</v>
      </c>
      <c r="O1226">
        <v>346</v>
      </c>
      <c r="P1226">
        <v>238</v>
      </c>
      <c r="Q1226">
        <v>32</v>
      </c>
      <c r="R1226">
        <v>326</v>
      </c>
      <c r="S1226">
        <v>223</v>
      </c>
      <c r="T1226" t="s">
        <v>31</v>
      </c>
      <c r="U1226" t="s">
        <v>31</v>
      </c>
      <c r="V1226" t="s">
        <v>31</v>
      </c>
      <c r="W1226" t="s">
        <v>31</v>
      </c>
      <c r="X1226" t="s">
        <v>31</v>
      </c>
      <c r="Y1226" t="s">
        <v>31</v>
      </c>
    </row>
    <row r="1227" spans="1:25" hidden="1">
      <c r="A1227" t="s">
        <v>25</v>
      </c>
      <c r="B1227" t="s">
        <v>26</v>
      </c>
      <c r="C1227" t="s">
        <v>51</v>
      </c>
      <c r="D1227" s="1">
        <v>43562</v>
      </c>
      <c r="E1227" s="2">
        <v>0.66666666666666663</v>
      </c>
      <c r="F1227" t="s">
        <v>50</v>
      </c>
      <c r="G1227" t="s">
        <v>29</v>
      </c>
      <c r="H1227">
        <v>0</v>
      </c>
      <c r="I1227">
        <v>2</v>
      </c>
      <c r="J1227" t="s">
        <v>30</v>
      </c>
      <c r="K1227">
        <v>373</v>
      </c>
      <c r="L1227">
        <v>349</v>
      </c>
      <c r="M1227">
        <v>209</v>
      </c>
      <c r="N1227">
        <v>413</v>
      </c>
      <c r="O1227">
        <v>368</v>
      </c>
      <c r="P1227">
        <v>212</v>
      </c>
      <c r="Q1227">
        <v>358</v>
      </c>
      <c r="R1227">
        <v>342</v>
      </c>
      <c r="S1227">
        <v>202</v>
      </c>
      <c r="T1227" t="s">
        <v>31</v>
      </c>
      <c r="U1227" t="s">
        <v>31</v>
      </c>
      <c r="V1227" t="s">
        <v>31</v>
      </c>
      <c r="W1227" t="s">
        <v>31</v>
      </c>
      <c r="X1227" t="s">
        <v>31</v>
      </c>
      <c r="Y1227" t="s">
        <v>31</v>
      </c>
    </row>
    <row r="1228" spans="1:25" hidden="1">
      <c r="A1228" t="s">
        <v>25</v>
      </c>
      <c r="B1228" t="s">
        <v>26</v>
      </c>
      <c r="C1228" t="s">
        <v>51</v>
      </c>
      <c r="D1228" s="1">
        <v>43568</v>
      </c>
      <c r="E1228" s="2">
        <v>0.66666666666666663</v>
      </c>
      <c r="F1228" t="s">
        <v>52</v>
      </c>
      <c r="G1228" t="s">
        <v>45</v>
      </c>
      <c r="H1228">
        <v>0</v>
      </c>
      <c r="I1228">
        <v>1</v>
      </c>
      <c r="J1228" t="s">
        <v>30</v>
      </c>
      <c r="K1228">
        <v>325</v>
      </c>
      <c r="L1228">
        <v>353</v>
      </c>
      <c r="M1228">
        <v>227</v>
      </c>
      <c r="N1228">
        <v>325</v>
      </c>
      <c r="O1228">
        <v>353</v>
      </c>
      <c r="P1228">
        <v>24</v>
      </c>
      <c r="Q1228">
        <v>305</v>
      </c>
      <c r="R1228">
        <v>335</v>
      </c>
      <c r="S1228">
        <v>225</v>
      </c>
      <c r="T1228" t="s">
        <v>31</v>
      </c>
      <c r="U1228" t="s">
        <v>31</v>
      </c>
      <c r="V1228" t="s">
        <v>31</v>
      </c>
      <c r="W1228" t="s">
        <v>31</v>
      </c>
      <c r="X1228" t="s">
        <v>31</v>
      </c>
      <c r="Y1228" t="s">
        <v>31</v>
      </c>
    </row>
    <row r="1229" spans="1:25" hidden="1">
      <c r="A1229" t="s">
        <v>25</v>
      </c>
      <c r="B1229" t="s">
        <v>26</v>
      </c>
      <c r="C1229" t="s">
        <v>51</v>
      </c>
      <c r="D1229" s="1">
        <v>43568</v>
      </c>
      <c r="E1229" s="2">
        <v>0.66666666666666663</v>
      </c>
      <c r="F1229" t="s">
        <v>35</v>
      </c>
      <c r="G1229" t="s">
        <v>32</v>
      </c>
      <c r="H1229">
        <v>2</v>
      </c>
      <c r="I1229">
        <v>1</v>
      </c>
      <c r="J1229" t="s">
        <v>34</v>
      </c>
      <c r="K1229">
        <v>144</v>
      </c>
      <c r="L1229">
        <v>489</v>
      </c>
      <c r="M1229">
        <v>703</v>
      </c>
      <c r="N1229">
        <v>15</v>
      </c>
      <c r="O1229">
        <v>489</v>
      </c>
      <c r="P1229">
        <v>72</v>
      </c>
      <c r="Q1229">
        <v>144</v>
      </c>
      <c r="R1229">
        <v>448</v>
      </c>
      <c r="S1229">
        <v>653</v>
      </c>
      <c r="T1229" t="s">
        <v>31</v>
      </c>
      <c r="U1229" t="s">
        <v>31</v>
      </c>
      <c r="V1229" t="s">
        <v>31</v>
      </c>
      <c r="W1229" t="s">
        <v>31</v>
      </c>
      <c r="X1229" t="s">
        <v>31</v>
      </c>
      <c r="Y1229" t="s">
        <v>31</v>
      </c>
    </row>
    <row r="1230" spans="1:25" hidden="1">
      <c r="A1230" t="s">
        <v>25</v>
      </c>
      <c r="B1230" t="s">
        <v>26</v>
      </c>
      <c r="C1230" t="s">
        <v>51</v>
      </c>
      <c r="D1230" s="1">
        <v>43568</v>
      </c>
      <c r="E1230" s="2">
        <v>0.66666666666666663</v>
      </c>
      <c r="F1230" t="s">
        <v>36</v>
      </c>
      <c r="G1230" t="s">
        <v>37</v>
      </c>
      <c r="H1230">
        <v>1</v>
      </c>
      <c r="I1230">
        <v>3</v>
      </c>
      <c r="J1230" t="s">
        <v>30</v>
      </c>
      <c r="K1230">
        <v>234</v>
      </c>
      <c r="L1230">
        <v>335</v>
      </c>
      <c r="M1230">
        <v>327</v>
      </c>
      <c r="N1230">
        <v>238</v>
      </c>
      <c r="O1230">
        <v>34</v>
      </c>
      <c r="P1230">
        <v>328</v>
      </c>
      <c r="Q1230">
        <v>225</v>
      </c>
      <c r="R1230">
        <v>325</v>
      </c>
      <c r="S1230">
        <v>314</v>
      </c>
      <c r="T1230" t="s">
        <v>31</v>
      </c>
      <c r="U1230" t="s">
        <v>31</v>
      </c>
      <c r="V1230" t="s">
        <v>31</v>
      </c>
      <c r="W1230" t="s">
        <v>31</v>
      </c>
      <c r="X1230" t="s">
        <v>31</v>
      </c>
      <c r="Y1230" t="s">
        <v>31</v>
      </c>
    </row>
    <row r="1231" spans="1:25" hidden="1">
      <c r="A1231" t="s">
        <v>25</v>
      </c>
      <c r="B1231" t="s">
        <v>26</v>
      </c>
      <c r="C1231" t="s">
        <v>51</v>
      </c>
      <c r="D1231" s="1">
        <v>43569</v>
      </c>
      <c r="E1231" s="2">
        <v>0.5625</v>
      </c>
      <c r="F1231" t="s">
        <v>39</v>
      </c>
      <c r="G1231" t="s">
        <v>40</v>
      </c>
      <c r="H1231">
        <v>1</v>
      </c>
      <c r="I1231">
        <v>1</v>
      </c>
      <c r="J1231" t="s">
        <v>41</v>
      </c>
      <c r="K1231">
        <v>208</v>
      </c>
      <c r="L1231">
        <v>351</v>
      </c>
      <c r="M1231">
        <v>375</v>
      </c>
      <c r="N1231">
        <v>24</v>
      </c>
      <c r="O1231">
        <v>351</v>
      </c>
      <c r="P1231">
        <v>375</v>
      </c>
      <c r="Q1231">
        <v>206</v>
      </c>
      <c r="R1231">
        <v>333</v>
      </c>
      <c r="S1231">
        <v>351</v>
      </c>
      <c r="T1231" t="s">
        <v>31</v>
      </c>
      <c r="U1231" t="s">
        <v>31</v>
      </c>
      <c r="V1231" t="s">
        <v>31</v>
      </c>
      <c r="W1231" t="s">
        <v>31</v>
      </c>
      <c r="X1231" t="s">
        <v>31</v>
      </c>
      <c r="Y1231" t="s">
        <v>31</v>
      </c>
    </row>
    <row r="1232" spans="1:25" hidden="1">
      <c r="A1232" t="s">
        <v>25</v>
      </c>
      <c r="B1232" t="s">
        <v>26</v>
      </c>
      <c r="C1232" t="s">
        <v>51</v>
      </c>
      <c r="D1232" s="1">
        <v>43569</v>
      </c>
      <c r="E1232" s="2">
        <v>0.5625</v>
      </c>
      <c r="F1232" t="s">
        <v>50</v>
      </c>
      <c r="G1232" t="s">
        <v>48</v>
      </c>
      <c r="H1232">
        <v>0</v>
      </c>
      <c r="I1232">
        <v>0</v>
      </c>
      <c r="J1232" t="s">
        <v>41</v>
      </c>
      <c r="K1232">
        <v>118</v>
      </c>
      <c r="L1232">
        <v>723</v>
      </c>
      <c r="M1232">
        <v>1635</v>
      </c>
      <c r="N1232">
        <v>122</v>
      </c>
      <c r="O1232">
        <v>723</v>
      </c>
      <c r="P1232">
        <v>22</v>
      </c>
      <c r="Q1232">
        <v>118</v>
      </c>
      <c r="R1232">
        <v>651</v>
      </c>
      <c r="S1232">
        <v>147</v>
      </c>
      <c r="T1232" t="s">
        <v>31</v>
      </c>
      <c r="U1232" t="s">
        <v>31</v>
      </c>
      <c r="V1232" t="s">
        <v>31</v>
      </c>
      <c r="W1232" t="s">
        <v>31</v>
      </c>
      <c r="X1232" t="s">
        <v>31</v>
      </c>
      <c r="Y1232" t="s">
        <v>31</v>
      </c>
    </row>
    <row r="1233" spans="1:25" hidden="1">
      <c r="A1233" t="s">
        <v>25</v>
      </c>
      <c r="B1233" t="s">
        <v>26</v>
      </c>
      <c r="C1233" t="s">
        <v>51</v>
      </c>
      <c r="D1233" s="1">
        <v>43569</v>
      </c>
      <c r="E1233" s="2">
        <v>0.66666666666666663</v>
      </c>
      <c r="F1233" t="s">
        <v>29</v>
      </c>
      <c r="G1233" t="s">
        <v>28</v>
      </c>
      <c r="H1233">
        <v>3</v>
      </c>
      <c r="I1233">
        <v>1</v>
      </c>
      <c r="J1233" t="s">
        <v>34</v>
      </c>
      <c r="K1233">
        <v>122</v>
      </c>
      <c r="L1233">
        <v>658</v>
      </c>
      <c r="M1233">
        <v>1418</v>
      </c>
      <c r="N1233">
        <v>127</v>
      </c>
      <c r="O1233">
        <v>66</v>
      </c>
      <c r="P1233">
        <v>16</v>
      </c>
      <c r="Q1233">
        <v>122</v>
      </c>
      <c r="R1233">
        <v>599</v>
      </c>
      <c r="S1233">
        <v>1155</v>
      </c>
      <c r="T1233" t="s">
        <v>31</v>
      </c>
      <c r="U1233" t="s">
        <v>31</v>
      </c>
      <c r="V1233" t="s">
        <v>31</v>
      </c>
      <c r="W1233" t="s">
        <v>31</v>
      </c>
      <c r="X1233" t="s">
        <v>31</v>
      </c>
      <c r="Y1233" t="s">
        <v>31</v>
      </c>
    </row>
    <row r="1234" spans="1:25" hidden="1">
      <c r="A1234" t="s">
        <v>25</v>
      </c>
      <c r="B1234" t="s">
        <v>26</v>
      </c>
      <c r="C1234" t="s">
        <v>51</v>
      </c>
      <c r="D1234" s="1">
        <v>43575</v>
      </c>
      <c r="E1234" s="2">
        <v>0.66666666666666663</v>
      </c>
      <c r="F1234" t="s">
        <v>37</v>
      </c>
      <c r="G1234" t="s">
        <v>52</v>
      </c>
      <c r="H1234">
        <v>2</v>
      </c>
      <c r="I1234">
        <v>1</v>
      </c>
      <c r="J1234" t="s">
        <v>34</v>
      </c>
      <c r="K1234">
        <v>179</v>
      </c>
      <c r="L1234">
        <v>391</v>
      </c>
      <c r="M1234">
        <v>456</v>
      </c>
      <c r="N1234">
        <v>185</v>
      </c>
      <c r="O1234">
        <v>395</v>
      </c>
      <c r="P1234">
        <v>5</v>
      </c>
      <c r="Q1234">
        <v>175</v>
      </c>
      <c r="R1234">
        <v>373</v>
      </c>
      <c r="S1234">
        <v>434</v>
      </c>
      <c r="T1234" t="s">
        <v>31</v>
      </c>
      <c r="U1234" t="s">
        <v>31</v>
      </c>
      <c r="V1234" t="s">
        <v>31</v>
      </c>
      <c r="W1234" t="s">
        <v>31</v>
      </c>
      <c r="X1234" t="s">
        <v>31</v>
      </c>
      <c r="Y1234" t="s">
        <v>31</v>
      </c>
    </row>
    <row r="1235" spans="1:25" hidden="1">
      <c r="A1235" t="s">
        <v>25</v>
      </c>
      <c r="B1235" t="s">
        <v>26</v>
      </c>
      <c r="C1235" t="s">
        <v>51</v>
      </c>
      <c r="D1235" s="1">
        <v>43575</v>
      </c>
      <c r="E1235" s="2">
        <v>0.66666666666666663</v>
      </c>
      <c r="F1235" t="s">
        <v>45</v>
      </c>
      <c r="G1235" t="s">
        <v>35</v>
      </c>
      <c r="H1235">
        <v>2</v>
      </c>
      <c r="I1235">
        <v>2</v>
      </c>
      <c r="J1235" t="s">
        <v>41</v>
      </c>
      <c r="K1235">
        <v>317</v>
      </c>
      <c r="L1235">
        <v>34</v>
      </c>
      <c r="M1235">
        <v>237</v>
      </c>
      <c r="N1235">
        <v>33</v>
      </c>
      <c r="O1235">
        <v>34</v>
      </c>
      <c r="P1235">
        <v>237</v>
      </c>
      <c r="Q1235">
        <v>306</v>
      </c>
      <c r="R1235">
        <v>332</v>
      </c>
      <c r="S1235">
        <v>225</v>
      </c>
      <c r="T1235" t="s">
        <v>31</v>
      </c>
      <c r="U1235" t="s">
        <v>31</v>
      </c>
      <c r="V1235" t="s">
        <v>31</v>
      </c>
      <c r="W1235" t="s">
        <v>31</v>
      </c>
      <c r="X1235" t="s">
        <v>31</v>
      </c>
      <c r="Y1235" t="s">
        <v>31</v>
      </c>
    </row>
    <row r="1236" spans="1:25" hidden="1">
      <c r="A1236" t="s">
        <v>25</v>
      </c>
      <c r="B1236" t="s">
        <v>26</v>
      </c>
      <c r="C1236" t="s">
        <v>51</v>
      </c>
      <c r="D1236" s="1">
        <v>43575</v>
      </c>
      <c r="E1236" s="2">
        <v>0.66666666666666663</v>
      </c>
      <c r="F1236" t="s">
        <v>32</v>
      </c>
      <c r="G1236" t="s">
        <v>36</v>
      </c>
      <c r="H1236">
        <v>3</v>
      </c>
      <c r="I1236">
        <v>1</v>
      </c>
      <c r="J1236" t="s">
        <v>34</v>
      </c>
      <c r="K1236">
        <v>194</v>
      </c>
      <c r="L1236">
        <v>367</v>
      </c>
      <c r="M1236">
        <v>407</v>
      </c>
      <c r="N1236">
        <v>195</v>
      </c>
      <c r="O1236">
        <v>372</v>
      </c>
      <c r="P1236">
        <v>45</v>
      </c>
      <c r="Q1236">
        <v>19</v>
      </c>
      <c r="R1236">
        <v>354</v>
      </c>
      <c r="S1236">
        <v>384</v>
      </c>
      <c r="T1236" t="s">
        <v>31</v>
      </c>
      <c r="U1236" t="s">
        <v>31</v>
      </c>
      <c r="V1236" t="s">
        <v>31</v>
      </c>
      <c r="W1236" t="s">
        <v>31</v>
      </c>
      <c r="X1236" t="s">
        <v>31</v>
      </c>
      <c r="Y1236" t="s">
        <v>31</v>
      </c>
    </row>
    <row r="1237" spans="1:25" hidden="1">
      <c r="A1237" t="s">
        <v>25</v>
      </c>
      <c r="B1237" t="s">
        <v>26</v>
      </c>
      <c r="C1237" t="s">
        <v>51</v>
      </c>
      <c r="D1237" s="1">
        <v>43576</v>
      </c>
      <c r="E1237" s="2">
        <v>0.5625</v>
      </c>
      <c r="F1237" t="s">
        <v>48</v>
      </c>
      <c r="G1237" t="s">
        <v>29</v>
      </c>
      <c r="H1237">
        <v>1</v>
      </c>
      <c r="I1237">
        <v>1</v>
      </c>
      <c r="J1237" t="s">
        <v>41</v>
      </c>
      <c r="K1237">
        <v>1274</v>
      </c>
      <c r="L1237">
        <v>785</v>
      </c>
      <c r="M1237">
        <v>119</v>
      </c>
      <c r="N1237">
        <v>19</v>
      </c>
      <c r="O1237">
        <v>8</v>
      </c>
      <c r="P1237">
        <v>12</v>
      </c>
      <c r="Q1237">
        <v>1479</v>
      </c>
      <c r="R1237">
        <v>734</v>
      </c>
      <c r="S1237">
        <v>116</v>
      </c>
      <c r="T1237" t="s">
        <v>31</v>
      </c>
      <c r="U1237" t="s">
        <v>31</v>
      </c>
      <c r="V1237" t="s">
        <v>31</v>
      </c>
      <c r="W1237" t="s">
        <v>31</v>
      </c>
      <c r="X1237" t="s">
        <v>31</v>
      </c>
      <c r="Y1237" t="s">
        <v>31</v>
      </c>
    </row>
    <row r="1238" spans="1:25" hidden="1">
      <c r="A1238" t="s">
        <v>25</v>
      </c>
      <c r="B1238" t="s">
        <v>26</v>
      </c>
      <c r="C1238" t="s">
        <v>51</v>
      </c>
      <c r="D1238" s="1">
        <v>43576</v>
      </c>
      <c r="E1238" s="2">
        <v>0.5625</v>
      </c>
      <c r="F1238" t="s">
        <v>28</v>
      </c>
      <c r="G1238" t="s">
        <v>39</v>
      </c>
      <c r="H1238">
        <v>1</v>
      </c>
      <c r="I1238">
        <v>2</v>
      </c>
      <c r="J1238" t="s">
        <v>30</v>
      </c>
      <c r="K1238">
        <v>235</v>
      </c>
      <c r="L1238">
        <v>338</v>
      </c>
      <c r="M1238">
        <v>322</v>
      </c>
      <c r="N1238">
        <v>235</v>
      </c>
      <c r="O1238">
        <v>344</v>
      </c>
      <c r="P1238">
        <v>36</v>
      </c>
      <c r="Q1238">
        <v>223</v>
      </c>
      <c r="R1238">
        <v>324</v>
      </c>
      <c r="S1238">
        <v>317</v>
      </c>
      <c r="T1238" t="s">
        <v>31</v>
      </c>
      <c r="U1238" t="s">
        <v>31</v>
      </c>
      <c r="V1238" t="s">
        <v>31</v>
      </c>
      <c r="W1238" t="s">
        <v>31</v>
      </c>
      <c r="X1238" t="s">
        <v>31</v>
      </c>
      <c r="Y1238" t="s">
        <v>31</v>
      </c>
    </row>
    <row r="1239" spans="1:25" hidden="1">
      <c r="A1239" t="s">
        <v>25</v>
      </c>
      <c r="B1239" t="s">
        <v>26</v>
      </c>
      <c r="C1239" t="s">
        <v>51</v>
      </c>
      <c r="D1239" s="1">
        <v>43576</v>
      </c>
      <c r="E1239" s="2">
        <v>0.66666666666666663</v>
      </c>
      <c r="F1239" t="s">
        <v>40</v>
      </c>
      <c r="G1239" t="s">
        <v>50</v>
      </c>
      <c r="H1239">
        <v>2</v>
      </c>
      <c r="I1239">
        <v>2</v>
      </c>
      <c r="J1239" t="s">
        <v>41</v>
      </c>
      <c r="K1239">
        <v>381</v>
      </c>
      <c r="L1239">
        <v>351</v>
      </c>
      <c r="M1239">
        <v>206</v>
      </c>
      <c r="N1239">
        <v>433</v>
      </c>
      <c r="O1239">
        <v>351</v>
      </c>
      <c r="P1239">
        <v>208</v>
      </c>
      <c r="Q1239">
        <v>368</v>
      </c>
      <c r="R1239">
        <v>337</v>
      </c>
      <c r="S1239">
        <v>199</v>
      </c>
      <c r="T1239" t="s">
        <v>31</v>
      </c>
      <c r="U1239" t="s">
        <v>31</v>
      </c>
      <c r="V1239" t="s">
        <v>31</v>
      </c>
      <c r="W1239" t="s">
        <v>31</v>
      </c>
      <c r="X1239" t="s">
        <v>31</v>
      </c>
      <c r="Y1239" t="s">
        <v>31</v>
      </c>
    </row>
    <row r="1240" spans="1:25" hidden="1">
      <c r="A1240" t="s">
        <v>25</v>
      </c>
      <c r="B1240" t="s">
        <v>26</v>
      </c>
      <c r="C1240" t="s">
        <v>51</v>
      </c>
      <c r="D1240" s="1">
        <v>43578</v>
      </c>
      <c r="E1240" s="2">
        <v>0.75</v>
      </c>
      <c r="F1240" t="s">
        <v>37</v>
      </c>
      <c r="G1240" t="s">
        <v>32</v>
      </c>
      <c r="H1240">
        <v>0</v>
      </c>
      <c r="I1240">
        <v>2</v>
      </c>
      <c r="J1240" t="s">
        <v>30</v>
      </c>
      <c r="K1240">
        <v>24</v>
      </c>
      <c r="L1240">
        <v>34</v>
      </c>
      <c r="M1240">
        <v>313</v>
      </c>
      <c r="N1240">
        <v>242</v>
      </c>
      <c r="O1240">
        <v>355</v>
      </c>
      <c r="P1240">
        <v>313</v>
      </c>
      <c r="Q1240">
        <v>23</v>
      </c>
      <c r="R1240">
        <v>337</v>
      </c>
      <c r="S1240">
        <v>293</v>
      </c>
      <c r="T1240" t="s">
        <v>31</v>
      </c>
      <c r="U1240" t="s">
        <v>31</v>
      </c>
      <c r="V1240" t="s">
        <v>31</v>
      </c>
      <c r="W1240" t="s">
        <v>31</v>
      </c>
      <c r="X1240" t="s">
        <v>31</v>
      </c>
      <c r="Y1240" t="s">
        <v>31</v>
      </c>
    </row>
    <row r="1241" spans="1:25" hidden="1">
      <c r="A1241" t="s">
        <v>25</v>
      </c>
      <c r="B1241" t="s">
        <v>26</v>
      </c>
      <c r="C1241" t="s">
        <v>51</v>
      </c>
      <c r="D1241" s="1">
        <v>43578</v>
      </c>
      <c r="E1241" s="2">
        <v>0.75</v>
      </c>
      <c r="F1241" t="s">
        <v>52</v>
      </c>
      <c r="G1241" t="s">
        <v>35</v>
      </c>
      <c r="H1241">
        <v>2</v>
      </c>
      <c r="I1241">
        <v>4</v>
      </c>
      <c r="J1241" t="s">
        <v>30</v>
      </c>
      <c r="K1241">
        <v>674</v>
      </c>
      <c r="L1241">
        <v>535</v>
      </c>
      <c r="M1241">
        <v>142</v>
      </c>
      <c r="N1241">
        <v>75</v>
      </c>
      <c r="O1241">
        <v>535</v>
      </c>
      <c r="P1241">
        <v>15</v>
      </c>
      <c r="Q1241">
        <v>635</v>
      </c>
      <c r="R1241">
        <v>495</v>
      </c>
      <c r="S1241">
        <v>14</v>
      </c>
      <c r="T1241" t="s">
        <v>31</v>
      </c>
      <c r="U1241" t="s">
        <v>31</v>
      </c>
      <c r="V1241" t="s">
        <v>31</v>
      </c>
      <c r="W1241" t="s">
        <v>31</v>
      </c>
      <c r="X1241" t="s">
        <v>31</v>
      </c>
      <c r="Y1241" t="s">
        <v>31</v>
      </c>
    </row>
    <row r="1242" spans="1:25" hidden="1">
      <c r="A1242" t="s">
        <v>25</v>
      </c>
      <c r="B1242" t="s">
        <v>26</v>
      </c>
      <c r="C1242" t="s">
        <v>51</v>
      </c>
      <c r="D1242" s="1">
        <v>43578</v>
      </c>
      <c r="E1242" s="2">
        <v>0.75</v>
      </c>
      <c r="F1242" t="s">
        <v>36</v>
      </c>
      <c r="G1242" t="s">
        <v>45</v>
      </c>
      <c r="H1242">
        <v>0</v>
      </c>
      <c r="I1242">
        <v>4</v>
      </c>
      <c r="J1242" t="s">
        <v>30</v>
      </c>
      <c r="K1242">
        <v>341</v>
      </c>
      <c r="L1242">
        <v>354</v>
      </c>
      <c r="M1242">
        <v>219</v>
      </c>
      <c r="N1242">
        <v>375</v>
      </c>
      <c r="O1242">
        <v>355</v>
      </c>
      <c r="P1242">
        <v>224</v>
      </c>
      <c r="Q1242">
        <v>326</v>
      </c>
      <c r="R1242">
        <v>341</v>
      </c>
      <c r="S1242">
        <v>212</v>
      </c>
      <c r="T1242" t="s">
        <v>31</v>
      </c>
      <c r="U1242" t="s">
        <v>31</v>
      </c>
      <c r="V1242" t="s">
        <v>31</v>
      </c>
      <c r="W1242" t="s">
        <v>31</v>
      </c>
      <c r="X1242" t="s">
        <v>31</v>
      </c>
      <c r="Y1242" t="s">
        <v>31</v>
      </c>
    </row>
    <row r="1243" spans="1:25" hidden="1">
      <c r="A1243" t="s">
        <v>25</v>
      </c>
      <c r="B1243" t="s">
        <v>26</v>
      </c>
      <c r="C1243" t="s">
        <v>51</v>
      </c>
      <c r="D1243" s="1">
        <v>43579</v>
      </c>
      <c r="E1243" s="2">
        <v>0.75</v>
      </c>
      <c r="F1243" t="s">
        <v>40</v>
      </c>
      <c r="G1243" t="s">
        <v>48</v>
      </c>
      <c r="H1243">
        <v>2</v>
      </c>
      <c r="I1243">
        <v>2</v>
      </c>
      <c r="J1243" t="s">
        <v>41</v>
      </c>
      <c r="K1243">
        <v>189</v>
      </c>
      <c r="L1243">
        <v>369</v>
      </c>
      <c r="M1243">
        <v>426</v>
      </c>
      <c r="N1243">
        <v>192</v>
      </c>
      <c r="O1243">
        <v>37</v>
      </c>
      <c r="P1243">
        <v>45</v>
      </c>
      <c r="Q1243">
        <v>184</v>
      </c>
      <c r="R1243">
        <v>354</v>
      </c>
      <c r="S1243">
        <v>407</v>
      </c>
      <c r="T1243" t="s">
        <v>31</v>
      </c>
      <c r="U1243" t="s">
        <v>31</v>
      </c>
      <c r="V1243" t="s">
        <v>31</v>
      </c>
      <c r="W1243" t="s">
        <v>31</v>
      </c>
      <c r="X1243" t="s">
        <v>31</v>
      </c>
      <c r="Y1243" t="s">
        <v>31</v>
      </c>
    </row>
    <row r="1244" spans="1:25" hidden="1">
      <c r="A1244" t="s">
        <v>25</v>
      </c>
      <c r="B1244" t="s">
        <v>26</v>
      </c>
      <c r="C1244" t="s">
        <v>51</v>
      </c>
      <c r="D1244" s="1">
        <v>43579</v>
      </c>
      <c r="E1244" s="2">
        <v>0.75</v>
      </c>
      <c r="F1244" t="s">
        <v>50</v>
      </c>
      <c r="G1244" t="s">
        <v>28</v>
      </c>
      <c r="H1244">
        <v>1</v>
      </c>
      <c r="I1244">
        <v>2</v>
      </c>
      <c r="J1244" t="s">
        <v>30</v>
      </c>
      <c r="K1244">
        <v>161</v>
      </c>
      <c r="L1244">
        <v>402</v>
      </c>
      <c r="M1244">
        <v>593</v>
      </c>
      <c r="N1244">
        <v>165</v>
      </c>
      <c r="O1244">
        <v>402</v>
      </c>
      <c r="P1244">
        <v>6</v>
      </c>
      <c r="Q1244">
        <v>158</v>
      </c>
      <c r="R1244">
        <v>385</v>
      </c>
      <c r="S1244">
        <v>554</v>
      </c>
      <c r="T1244" t="s">
        <v>31</v>
      </c>
      <c r="U1244" t="s">
        <v>31</v>
      </c>
      <c r="V1244" t="s">
        <v>31</v>
      </c>
      <c r="W1244" t="s">
        <v>31</v>
      </c>
      <c r="X1244" t="s">
        <v>31</v>
      </c>
      <c r="Y1244" t="s">
        <v>31</v>
      </c>
    </row>
    <row r="1245" spans="1:25" hidden="1">
      <c r="A1245" t="s">
        <v>25</v>
      </c>
      <c r="B1245" t="s">
        <v>26</v>
      </c>
      <c r="C1245" t="s">
        <v>51</v>
      </c>
      <c r="D1245" s="1">
        <v>43579</v>
      </c>
      <c r="E1245" s="2">
        <v>0.75</v>
      </c>
      <c r="F1245" t="s">
        <v>29</v>
      </c>
      <c r="G1245" t="s">
        <v>39</v>
      </c>
      <c r="H1245">
        <v>3</v>
      </c>
      <c r="I1245">
        <v>1</v>
      </c>
      <c r="J1245" t="s">
        <v>34</v>
      </c>
      <c r="K1245">
        <v>125</v>
      </c>
      <c r="L1245">
        <v>627</v>
      </c>
      <c r="M1245">
        <v>1209</v>
      </c>
      <c r="N1245">
        <v>127</v>
      </c>
      <c r="O1245">
        <v>65</v>
      </c>
      <c r="P1245">
        <v>135</v>
      </c>
      <c r="Q1245">
        <v>123</v>
      </c>
      <c r="R1245">
        <v>592</v>
      </c>
      <c r="S1245">
        <v>1097</v>
      </c>
      <c r="T1245" t="s">
        <v>31</v>
      </c>
      <c r="U1245" t="s">
        <v>31</v>
      </c>
      <c r="V1245" t="s">
        <v>31</v>
      </c>
      <c r="W1245" t="s">
        <v>31</v>
      </c>
      <c r="X1245" t="s">
        <v>31</v>
      </c>
      <c r="Y1245" t="s">
        <v>31</v>
      </c>
    </row>
    <row r="1246" spans="1:25" hidden="1">
      <c r="A1246" t="s">
        <v>25</v>
      </c>
      <c r="B1246" t="s">
        <v>26</v>
      </c>
      <c r="C1246" t="s">
        <v>51</v>
      </c>
      <c r="D1246" s="1">
        <v>43582</v>
      </c>
      <c r="E1246" s="2">
        <v>0.66666666666666663</v>
      </c>
      <c r="F1246" t="s">
        <v>45</v>
      </c>
      <c r="G1246" t="s">
        <v>36</v>
      </c>
      <c r="H1246">
        <v>1</v>
      </c>
      <c r="I1246">
        <v>4</v>
      </c>
      <c r="J1246" t="s">
        <v>30</v>
      </c>
      <c r="K1246">
        <v>189</v>
      </c>
      <c r="L1246">
        <v>385</v>
      </c>
      <c r="M1246">
        <v>405</v>
      </c>
      <c r="N1246">
        <v>195</v>
      </c>
      <c r="O1246">
        <v>395</v>
      </c>
      <c r="P1246">
        <v>42</v>
      </c>
      <c r="Q1246">
        <v>187</v>
      </c>
      <c r="R1246">
        <v>362</v>
      </c>
      <c r="S1246">
        <v>383</v>
      </c>
      <c r="T1246" t="s">
        <v>31</v>
      </c>
      <c r="U1246" t="s">
        <v>31</v>
      </c>
      <c r="V1246" t="s">
        <v>31</v>
      </c>
      <c r="W1246" t="s">
        <v>31</v>
      </c>
      <c r="X1246" t="s">
        <v>31</v>
      </c>
      <c r="Y1246" t="s">
        <v>31</v>
      </c>
    </row>
    <row r="1247" spans="1:25" hidden="1">
      <c r="A1247" t="s">
        <v>25</v>
      </c>
      <c r="B1247" t="s">
        <v>26</v>
      </c>
      <c r="C1247" t="s">
        <v>51</v>
      </c>
      <c r="D1247" s="1">
        <v>43582</v>
      </c>
      <c r="E1247" s="2">
        <v>0.66666666666666663</v>
      </c>
      <c r="F1247" t="s">
        <v>32</v>
      </c>
      <c r="G1247" t="s">
        <v>37</v>
      </c>
      <c r="H1247">
        <v>1</v>
      </c>
      <c r="I1247">
        <v>1</v>
      </c>
      <c r="J1247" t="s">
        <v>41</v>
      </c>
      <c r="K1247">
        <v>197</v>
      </c>
      <c r="L1247">
        <v>365</v>
      </c>
      <c r="M1247">
        <v>396</v>
      </c>
      <c r="N1247">
        <v>199</v>
      </c>
      <c r="O1247">
        <v>39</v>
      </c>
      <c r="P1247">
        <v>433</v>
      </c>
      <c r="Q1247">
        <v>192</v>
      </c>
      <c r="R1247">
        <v>352</v>
      </c>
      <c r="S1247">
        <v>377</v>
      </c>
      <c r="T1247" t="s">
        <v>31</v>
      </c>
      <c r="U1247" t="s">
        <v>31</v>
      </c>
      <c r="V1247" t="s">
        <v>31</v>
      </c>
      <c r="W1247" t="s">
        <v>31</v>
      </c>
      <c r="X1247" t="s">
        <v>31</v>
      </c>
      <c r="Y1247" t="s">
        <v>31</v>
      </c>
    </row>
    <row r="1248" spans="1:25" hidden="1">
      <c r="A1248" t="s">
        <v>25</v>
      </c>
      <c r="B1248" t="s">
        <v>26</v>
      </c>
      <c r="C1248" t="s">
        <v>51</v>
      </c>
      <c r="D1248" s="1">
        <v>43582</v>
      </c>
      <c r="E1248" s="2">
        <v>0.66666666666666663</v>
      </c>
      <c r="F1248" t="s">
        <v>35</v>
      </c>
      <c r="G1248" t="s">
        <v>52</v>
      </c>
      <c r="H1248">
        <v>3</v>
      </c>
      <c r="I1248">
        <v>4</v>
      </c>
      <c r="J1248" t="s">
        <v>30</v>
      </c>
      <c r="K1248">
        <v>131</v>
      </c>
      <c r="L1248">
        <v>595</v>
      </c>
      <c r="M1248">
        <v>903</v>
      </c>
      <c r="N1248">
        <v>133</v>
      </c>
      <c r="O1248">
        <v>65</v>
      </c>
      <c r="P1248">
        <v>96</v>
      </c>
      <c r="Q1248">
        <v>128</v>
      </c>
      <c r="R1248">
        <v>578</v>
      </c>
      <c r="S1248">
        <v>857</v>
      </c>
      <c r="T1248" t="s">
        <v>31</v>
      </c>
      <c r="U1248" t="s">
        <v>31</v>
      </c>
      <c r="V1248" t="s">
        <v>31</v>
      </c>
      <c r="W1248" t="s">
        <v>31</v>
      </c>
      <c r="X1248" t="s">
        <v>31</v>
      </c>
      <c r="Y1248" t="s">
        <v>31</v>
      </c>
    </row>
    <row r="1249" spans="1:25" hidden="1">
      <c r="A1249" t="s">
        <v>25</v>
      </c>
      <c r="B1249" t="s">
        <v>26</v>
      </c>
      <c r="C1249" t="s">
        <v>51</v>
      </c>
      <c r="D1249" s="1">
        <v>43583</v>
      </c>
      <c r="E1249" s="2">
        <v>0.5625</v>
      </c>
      <c r="F1249" t="s">
        <v>39</v>
      </c>
      <c r="G1249" t="s">
        <v>29</v>
      </c>
      <c r="H1249">
        <v>2</v>
      </c>
      <c r="I1249">
        <v>1</v>
      </c>
      <c r="J1249" t="s">
        <v>34</v>
      </c>
      <c r="K1249">
        <v>592</v>
      </c>
      <c r="L1249">
        <v>467</v>
      </c>
      <c r="M1249">
        <v>152</v>
      </c>
      <c r="N1249">
        <v>66</v>
      </c>
      <c r="O1249">
        <v>467</v>
      </c>
      <c r="P1249">
        <v>155</v>
      </c>
      <c r="Q1249">
        <v>585</v>
      </c>
      <c r="R1249">
        <v>433</v>
      </c>
      <c r="S1249">
        <v>149</v>
      </c>
      <c r="T1249" t="s">
        <v>31</v>
      </c>
      <c r="U1249" t="s">
        <v>31</v>
      </c>
      <c r="V1249" t="s">
        <v>31</v>
      </c>
      <c r="W1249" t="s">
        <v>31</v>
      </c>
      <c r="X1249" t="s">
        <v>31</v>
      </c>
      <c r="Y1249" t="s">
        <v>31</v>
      </c>
    </row>
    <row r="1250" spans="1:25" hidden="1">
      <c r="A1250" t="s">
        <v>25</v>
      </c>
      <c r="B1250" t="s">
        <v>26</v>
      </c>
      <c r="C1250" t="s">
        <v>51</v>
      </c>
      <c r="D1250" s="1">
        <v>43583</v>
      </c>
      <c r="E1250" s="2">
        <v>0.5625</v>
      </c>
      <c r="F1250" t="s">
        <v>48</v>
      </c>
      <c r="G1250" t="s">
        <v>40</v>
      </c>
      <c r="H1250">
        <v>1</v>
      </c>
      <c r="I1250">
        <v>2</v>
      </c>
      <c r="J1250" t="s">
        <v>30</v>
      </c>
      <c r="K1250">
        <v>307</v>
      </c>
      <c r="L1250">
        <v>342</v>
      </c>
      <c r="M1250">
        <v>242</v>
      </c>
      <c r="N1250">
        <v>31</v>
      </c>
      <c r="O1250">
        <v>342</v>
      </c>
      <c r="P1250">
        <v>25</v>
      </c>
      <c r="Q1250">
        <v>29</v>
      </c>
      <c r="R1250">
        <v>326</v>
      </c>
      <c r="S1250">
        <v>238</v>
      </c>
      <c r="T1250" t="s">
        <v>31</v>
      </c>
      <c r="U1250" t="s">
        <v>31</v>
      </c>
      <c r="V1250" t="s">
        <v>31</v>
      </c>
      <c r="W1250" t="s">
        <v>31</v>
      </c>
      <c r="X1250" t="s">
        <v>31</v>
      </c>
      <c r="Y1250" t="s">
        <v>31</v>
      </c>
    </row>
    <row r="1251" spans="1:25" hidden="1">
      <c r="A1251" t="s">
        <v>25</v>
      </c>
      <c r="B1251" t="s">
        <v>26</v>
      </c>
      <c r="C1251" t="s">
        <v>51</v>
      </c>
      <c r="D1251" s="1">
        <v>43583</v>
      </c>
      <c r="E1251" s="2">
        <v>0.66666666666666663</v>
      </c>
      <c r="F1251" t="s">
        <v>28</v>
      </c>
      <c r="G1251" t="s">
        <v>50</v>
      </c>
      <c r="H1251">
        <v>2</v>
      </c>
      <c r="I1251">
        <v>3</v>
      </c>
      <c r="J1251" t="s">
        <v>30</v>
      </c>
      <c r="K1251">
        <v>376</v>
      </c>
      <c r="L1251">
        <v>343</v>
      </c>
      <c r="M1251">
        <v>211</v>
      </c>
      <c r="N1251">
        <v>376</v>
      </c>
      <c r="O1251">
        <v>36</v>
      </c>
      <c r="P1251">
        <v>23</v>
      </c>
      <c r="Q1251">
        <v>35</v>
      </c>
      <c r="R1251">
        <v>34</v>
      </c>
      <c r="S1251">
        <v>204</v>
      </c>
      <c r="T1251" t="s">
        <v>31</v>
      </c>
      <c r="U1251" t="s">
        <v>31</v>
      </c>
      <c r="V1251" t="s">
        <v>31</v>
      </c>
      <c r="W1251" t="s">
        <v>31</v>
      </c>
      <c r="X1251" t="s">
        <v>31</v>
      </c>
      <c r="Y1251" t="s">
        <v>31</v>
      </c>
    </row>
    <row r="1252" spans="1:25" hidden="1">
      <c r="A1252" t="s">
        <v>25</v>
      </c>
      <c r="B1252" t="s">
        <v>26</v>
      </c>
      <c r="C1252" t="s">
        <v>51</v>
      </c>
      <c r="D1252" s="1">
        <v>43589</v>
      </c>
      <c r="E1252" s="2">
        <v>0.66666666666666663</v>
      </c>
      <c r="F1252" t="s">
        <v>37</v>
      </c>
      <c r="G1252" t="s">
        <v>35</v>
      </c>
      <c r="H1252">
        <v>3</v>
      </c>
      <c r="I1252">
        <v>4</v>
      </c>
      <c r="J1252" t="s">
        <v>30</v>
      </c>
      <c r="K1252">
        <v>52</v>
      </c>
      <c r="L1252">
        <v>489</v>
      </c>
      <c r="M1252">
        <v>156</v>
      </c>
      <c r="N1252">
        <v>555</v>
      </c>
      <c r="O1252">
        <v>489</v>
      </c>
      <c r="P1252">
        <v>165</v>
      </c>
      <c r="Q1252">
        <v>5</v>
      </c>
      <c r="R1252">
        <v>428</v>
      </c>
      <c r="S1252">
        <v>157</v>
      </c>
      <c r="T1252" t="s">
        <v>31</v>
      </c>
      <c r="U1252" t="s">
        <v>31</v>
      </c>
      <c r="V1252" t="s">
        <v>31</v>
      </c>
      <c r="W1252" t="s">
        <v>31</v>
      </c>
      <c r="X1252" t="s">
        <v>31</v>
      </c>
      <c r="Y1252" t="s">
        <v>31</v>
      </c>
    </row>
    <row r="1253" spans="1:25" hidden="1">
      <c r="A1253" t="s">
        <v>25</v>
      </c>
      <c r="B1253" t="s">
        <v>26</v>
      </c>
      <c r="C1253" t="s">
        <v>51</v>
      </c>
      <c r="D1253" s="1">
        <v>43589</v>
      </c>
      <c r="E1253" s="2">
        <v>0.66666666666666663</v>
      </c>
      <c r="F1253" t="s">
        <v>32</v>
      </c>
      <c r="G1253" t="s">
        <v>45</v>
      </c>
      <c r="H1253">
        <v>0</v>
      </c>
      <c r="I1253">
        <v>0</v>
      </c>
      <c r="J1253" t="s">
        <v>41</v>
      </c>
      <c r="K1253">
        <v>222</v>
      </c>
      <c r="L1253">
        <v>345</v>
      </c>
      <c r="M1253">
        <v>344</v>
      </c>
      <c r="N1253">
        <v>228</v>
      </c>
      <c r="O1253">
        <v>345</v>
      </c>
      <c r="P1253">
        <v>35</v>
      </c>
      <c r="Q1253">
        <v>217</v>
      </c>
      <c r="R1253">
        <v>327</v>
      </c>
      <c r="S1253">
        <v>329</v>
      </c>
      <c r="T1253" t="s">
        <v>31</v>
      </c>
      <c r="U1253" t="s">
        <v>31</v>
      </c>
      <c r="V1253" t="s">
        <v>31</v>
      </c>
      <c r="W1253" t="s">
        <v>31</v>
      </c>
      <c r="X1253" t="s">
        <v>31</v>
      </c>
      <c r="Y1253" t="s">
        <v>31</v>
      </c>
    </row>
    <row r="1254" spans="1:25" hidden="1">
      <c r="A1254" t="s">
        <v>25</v>
      </c>
      <c r="B1254" t="s">
        <v>26</v>
      </c>
      <c r="C1254" t="s">
        <v>51</v>
      </c>
      <c r="D1254" s="1">
        <v>43589</v>
      </c>
      <c r="E1254" s="2">
        <v>0.66666666666666663</v>
      </c>
      <c r="F1254" t="s">
        <v>36</v>
      </c>
      <c r="G1254" t="s">
        <v>52</v>
      </c>
      <c r="H1254">
        <v>1</v>
      </c>
      <c r="I1254">
        <v>0</v>
      </c>
      <c r="J1254" t="s">
        <v>34</v>
      </c>
      <c r="K1254">
        <v>197</v>
      </c>
      <c r="L1254">
        <v>407</v>
      </c>
      <c r="M1254">
        <v>357</v>
      </c>
      <c r="N1254">
        <v>208</v>
      </c>
      <c r="O1254">
        <v>41</v>
      </c>
      <c r="P1254">
        <v>36</v>
      </c>
      <c r="Q1254">
        <v>197</v>
      </c>
      <c r="R1254">
        <v>376</v>
      </c>
      <c r="S1254">
        <v>336</v>
      </c>
      <c r="T1254" t="s">
        <v>31</v>
      </c>
      <c r="U1254" t="s">
        <v>31</v>
      </c>
      <c r="V1254" t="s">
        <v>31</v>
      </c>
      <c r="W1254" t="s">
        <v>31</v>
      </c>
      <c r="X1254" t="s">
        <v>31</v>
      </c>
      <c r="Y1254" t="s">
        <v>31</v>
      </c>
    </row>
    <row r="1255" spans="1:25" hidden="1">
      <c r="A1255" t="s">
        <v>25</v>
      </c>
      <c r="B1255" t="s">
        <v>26</v>
      </c>
      <c r="C1255" t="s">
        <v>51</v>
      </c>
      <c r="D1255" s="1">
        <v>43590</v>
      </c>
      <c r="E1255" s="2">
        <v>0.5625</v>
      </c>
      <c r="F1255" t="s">
        <v>50</v>
      </c>
      <c r="G1255" t="s">
        <v>39</v>
      </c>
      <c r="H1255">
        <v>3</v>
      </c>
      <c r="I1255">
        <v>0</v>
      </c>
      <c r="J1255" t="s">
        <v>34</v>
      </c>
      <c r="K1255">
        <v>169</v>
      </c>
      <c r="L1255">
        <v>393</v>
      </c>
      <c r="M1255">
        <v>523</v>
      </c>
      <c r="N1255">
        <v>169</v>
      </c>
      <c r="O1255">
        <v>4</v>
      </c>
      <c r="P1255">
        <v>6</v>
      </c>
      <c r="Q1255">
        <v>164</v>
      </c>
      <c r="R1255">
        <v>381</v>
      </c>
      <c r="S1255">
        <v>507</v>
      </c>
      <c r="T1255" t="s">
        <v>31</v>
      </c>
      <c r="U1255" t="s">
        <v>31</v>
      </c>
      <c r="V1255" t="s">
        <v>31</v>
      </c>
      <c r="W1255" t="s">
        <v>31</v>
      </c>
      <c r="X1255" t="s">
        <v>31</v>
      </c>
      <c r="Y1255" t="s">
        <v>31</v>
      </c>
    </row>
    <row r="1256" spans="1:25" hidden="1">
      <c r="A1256" t="s">
        <v>25</v>
      </c>
      <c r="B1256" t="s">
        <v>26</v>
      </c>
      <c r="C1256" t="s">
        <v>51</v>
      </c>
      <c r="D1256" s="1">
        <v>43590</v>
      </c>
      <c r="E1256" s="2">
        <v>0.5625</v>
      </c>
      <c r="F1256" t="s">
        <v>48</v>
      </c>
      <c r="G1256" t="s">
        <v>28</v>
      </c>
      <c r="H1256">
        <v>0</v>
      </c>
      <c r="I1256">
        <v>1</v>
      </c>
      <c r="J1256" t="s">
        <v>30</v>
      </c>
      <c r="K1256">
        <v>356</v>
      </c>
      <c r="L1256">
        <v>362</v>
      </c>
      <c r="M1256">
        <v>211</v>
      </c>
      <c r="N1256">
        <v>36</v>
      </c>
      <c r="O1256">
        <v>362</v>
      </c>
      <c r="P1256">
        <v>215</v>
      </c>
      <c r="Q1256">
        <v>34</v>
      </c>
      <c r="R1256">
        <v>338</v>
      </c>
      <c r="S1256">
        <v>207</v>
      </c>
      <c r="T1256" t="s">
        <v>31</v>
      </c>
      <c r="U1256" t="s">
        <v>31</v>
      </c>
      <c r="V1256" t="s">
        <v>31</v>
      </c>
      <c r="W1256" t="s">
        <v>31</v>
      </c>
      <c r="X1256" t="s">
        <v>31</v>
      </c>
      <c r="Y1256" t="s">
        <v>31</v>
      </c>
    </row>
    <row r="1257" spans="1:25" hidden="1">
      <c r="A1257" t="s">
        <v>25</v>
      </c>
      <c r="B1257" t="s">
        <v>26</v>
      </c>
      <c r="C1257" t="s">
        <v>51</v>
      </c>
      <c r="D1257" s="1">
        <v>43590</v>
      </c>
      <c r="E1257" s="2">
        <v>0.66666666666666663</v>
      </c>
      <c r="F1257" t="s">
        <v>40</v>
      </c>
      <c r="G1257" t="s">
        <v>29</v>
      </c>
      <c r="H1257">
        <v>1</v>
      </c>
      <c r="I1257">
        <v>2</v>
      </c>
      <c r="J1257" t="s">
        <v>30</v>
      </c>
      <c r="K1257">
        <v>469</v>
      </c>
      <c r="L1257">
        <v>376</v>
      </c>
      <c r="M1257">
        <v>18</v>
      </c>
      <c r="N1257">
        <v>475</v>
      </c>
      <c r="O1257">
        <v>42</v>
      </c>
      <c r="P1257">
        <v>182</v>
      </c>
      <c r="Q1257">
        <v>43</v>
      </c>
      <c r="R1257">
        <v>382</v>
      </c>
      <c r="S1257">
        <v>174</v>
      </c>
      <c r="T1257" t="s">
        <v>31</v>
      </c>
      <c r="U1257" t="s">
        <v>31</v>
      </c>
      <c r="V1257" t="s">
        <v>31</v>
      </c>
      <c r="W1257" t="s">
        <v>31</v>
      </c>
      <c r="X1257" t="s">
        <v>31</v>
      </c>
      <c r="Y1257" t="s">
        <v>31</v>
      </c>
    </row>
    <row r="1258" spans="1:25" hidden="1">
      <c r="A1258" t="s">
        <v>25</v>
      </c>
      <c r="B1258" t="s">
        <v>26</v>
      </c>
      <c r="C1258" t="s">
        <v>51</v>
      </c>
      <c r="D1258" s="1">
        <v>43596</v>
      </c>
      <c r="E1258" s="2">
        <v>0.66666666666666663</v>
      </c>
      <c r="F1258" t="s">
        <v>45</v>
      </c>
      <c r="G1258" t="s">
        <v>37</v>
      </c>
      <c r="H1258">
        <v>2</v>
      </c>
      <c r="I1258">
        <v>2</v>
      </c>
      <c r="J1258" t="s">
        <v>41</v>
      </c>
      <c r="K1258">
        <v>193</v>
      </c>
      <c r="L1258">
        <v>379</v>
      </c>
      <c r="M1258">
        <v>399</v>
      </c>
      <c r="N1258">
        <v>199</v>
      </c>
      <c r="O1258">
        <v>38</v>
      </c>
      <c r="P1258">
        <v>4</v>
      </c>
      <c r="Q1258">
        <v>192</v>
      </c>
      <c r="R1258">
        <v>361</v>
      </c>
      <c r="S1258">
        <v>369</v>
      </c>
      <c r="T1258" t="s">
        <v>31</v>
      </c>
      <c r="U1258" t="s">
        <v>31</v>
      </c>
      <c r="V1258" t="s">
        <v>31</v>
      </c>
      <c r="W1258" t="s">
        <v>31</v>
      </c>
      <c r="X1258" t="s">
        <v>31</v>
      </c>
      <c r="Y1258" t="s">
        <v>31</v>
      </c>
    </row>
    <row r="1259" spans="1:25" hidden="1">
      <c r="A1259" t="s">
        <v>25</v>
      </c>
      <c r="B1259" t="s">
        <v>26</v>
      </c>
      <c r="C1259" t="s">
        <v>51</v>
      </c>
      <c r="D1259" s="1">
        <v>43596</v>
      </c>
      <c r="E1259" s="2">
        <v>0.66666666666666663</v>
      </c>
      <c r="F1259" t="s">
        <v>52</v>
      </c>
      <c r="G1259" t="s">
        <v>32</v>
      </c>
      <c r="H1259">
        <v>2</v>
      </c>
      <c r="I1259">
        <v>1</v>
      </c>
      <c r="J1259" t="s">
        <v>34</v>
      </c>
      <c r="K1259">
        <v>312</v>
      </c>
      <c r="L1259">
        <v>361</v>
      </c>
      <c r="M1259">
        <v>23</v>
      </c>
      <c r="N1259">
        <v>312</v>
      </c>
      <c r="O1259">
        <v>361</v>
      </c>
      <c r="P1259">
        <v>238</v>
      </c>
      <c r="Q1259">
        <v>291</v>
      </c>
      <c r="R1259">
        <v>345</v>
      </c>
      <c r="S1259">
        <v>228</v>
      </c>
      <c r="T1259" t="s">
        <v>31</v>
      </c>
      <c r="U1259" t="s">
        <v>31</v>
      </c>
      <c r="V1259" t="s">
        <v>31</v>
      </c>
      <c r="W1259" t="s">
        <v>31</v>
      </c>
      <c r="X1259" t="s">
        <v>31</v>
      </c>
      <c r="Y1259" t="s">
        <v>31</v>
      </c>
    </row>
    <row r="1260" spans="1:25" hidden="1">
      <c r="A1260" t="s">
        <v>25</v>
      </c>
      <c r="B1260" t="s">
        <v>26</v>
      </c>
      <c r="C1260" t="s">
        <v>51</v>
      </c>
      <c r="D1260" s="1">
        <v>43596</v>
      </c>
      <c r="E1260" s="2">
        <v>0.66666666666666663</v>
      </c>
      <c r="F1260" t="s">
        <v>35</v>
      </c>
      <c r="G1260" t="s">
        <v>36</v>
      </c>
      <c r="H1260">
        <v>1</v>
      </c>
      <c r="I1260">
        <v>0</v>
      </c>
      <c r="J1260" t="s">
        <v>34</v>
      </c>
      <c r="K1260">
        <v>13</v>
      </c>
      <c r="L1260">
        <v>63</v>
      </c>
      <c r="M1260">
        <v>878</v>
      </c>
      <c r="N1260">
        <v>132</v>
      </c>
      <c r="O1260">
        <v>645</v>
      </c>
      <c r="P1260">
        <v>12</v>
      </c>
      <c r="Q1260">
        <v>127</v>
      </c>
      <c r="R1260">
        <v>587</v>
      </c>
      <c r="S1260">
        <v>877</v>
      </c>
      <c r="T1260" t="s">
        <v>31</v>
      </c>
      <c r="U1260" t="s">
        <v>31</v>
      </c>
      <c r="V1260" t="s">
        <v>31</v>
      </c>
      <c r="W1260" t="s">
        <v>31</v>
      </c>
      <c r="X1260" t="s">
        <v>31</v>
      </c>
      <c r="Y1260" t="s">
        <v>31</v>
      </c>
    </row>
    <row r="1261" spans="1:25" hidden="1">
      <c r="A1261" t="s">
        <v>25</v>
      </c>
      <c r="B1261" t="s">
        <v>26</v>
      </c>
      <c r="C1261" t="s">
        <v>51</v>
      </c>
      <c r="D1261" s="1">
        <v>43597</v>
      </c>
      <c r="E1261" s="2">
        <v>0.5625</v>
      </c>
      <c r="F1261" t="s">
        <v>39</v>
      </c>
      <c r="G1261" t="s">
        <v>48</v>
      </c>
      <c r="H1261">
        <v>4</v>
      </c>
      <c r="I1261">
        <v>0</v>
      </c>
      <c r="J1261" t="s">
        <v>34</v>
      </c>
      <c r="K1261">
        <v>164</v>
      </c>
      <c r="L1261">
        <v>401</v>
      </c>
      <c r="M1261">
        <v>564</v>
      </c>
      <c r="N1261">
        <v>165</v>
      </c>
      <c r="O1261">
        <v>42</v>
      </c>
      <c r="P1261">
        <v>617</v>
      </c>
      <c r="Q1261">
        <v>161</v>
      </c>
      <c r="R1261">
        <v>385</v>
      </c>
      <c r="S1261">
        <v>536</v>
      </c>
      <c r="T1261" t="s">
        <v>31</v>
      </c>
      <c r="U1261" t="s">
        <v>31</v>
      </c>
      <c r="V1261" t="s">
        <v>31</v>
      </c>
      <c r="W1261" t="s">
        <v>31</v>
      </c>
      <c r="X1261" t="s">
        <v>31</v>
      </c>
      <c r="Y1261" t="s">
        <v>31</v>
      </c>
    </row>
    <row r="1262" spans="1:25" hidden="1">
      <c r="A1262" t="s">
        <v>25</v>
      </c>
      <c r="B1262" t="s">
        <v>26</v>
      </c>
      <c r="C1262" t="s">
        <v>51</v>
      </c>
      <c r="D1262" s="1">
        <v>43597</v>
      </c>
      <c r="E1262" s="2">
        <v>0.5625</v>
      </c>
      <c r="F1262" t="s">
        <v>28</v>
      </c>
      <c r="G1262" t="s">
        <v>40</v>
      </c>
      <c r="H1262">
        <v>1</v>
      </c>
      <c r="I1262">
        <v>3</v>
      </c>
      <c r="J1262" t="s">
        <v>30</v>
      </c>
      <c r="K1262">
        <v>243</v>
      </c>
      <c r="L1262">
        <v>343</v>
      </c>
      <c r="M1262">
        <v>306</v>
      </c>
      <c r="N1262">
        <v>243</v>
      </c>
      <c r="O1262">
        <v>343</v>
      </c>
      <c r="P1262">
        <v>33</v>
      </c>
      <c r="Q1262">
        <v>229</v>
      </c>
      <c r="R1262">
        <v>331</v>
      </c>
      <c r="S1262">
        <v>301</v>
      </c>
      <c r="T1262" t="s">
        <v>31</v>
      </c>
      <c r="U1262" t="s">
        <v>31</v>
      </c>
      <c r="V1262" t="s">
        <v>31</v>
      </c>
      <c r="W1262" t="s">
        <v>31</v>
      </c>
      <c r="X1262" t="s">
        <v>31</v>
      </c>
      <c r="Y1262" t="s">
        <v>31</v>
      </c>
    </row>
    <row r="1263" spans="1:25" hidden="1">
      <c r="A1263" t="s">
        <v>25</v>
      </c>
      <c r="B1263" t="s">
        <v>26</v>
      </c>
      <c r="C1263" t="s">
        <v>51</v>
      </c>
      <c r="D1263" s="1">
        <v>43597</v>
      </c>
      <c r="E1263" s="2">
        <v>0.66666666666666663</v>
      </c>
      <c r="F1263" t="s">
        <v>29</v>
      </c>
      <c r="G1263" t="s">
        <v>50</v>
      </c>
      <c r="H1263">
        <v>2</v>
      </c>
      <c r="I1263">
        <v>1</v>
      </c>
      <c r="J1263" t="s">
        <v>34</v>
      </c>
      <c r="K1263">
        <v>162</v>
      </c>
      <c r="L1263">
        <v>464</v>
      </c>
      <c r="M1263">
        <v>487</v>
      </c>
      <c r="N1263">
        <v>172</v>
      </c>
      <c r="O1263">
        <v>464</v>
      </c>
      <c r="P1263">
        <v>5</v>
      </c>
      <c r="Q1263">
        <v>161</v>
      </c>
      <c r="R1263">
        <v>425</v>
      </c>
      <c r="S1263">
        <v>464</v>
      </c>
      <c r="T1263" t="s">
        <v>31</v>
      </c>
      <c r="U1263" t="s">
        <v>31</v>
      </c>
      <c r="V1263" t="s">
        <v>31</v>
      </c>
      <c r="W1263" t="s">
        <v>31</v>
      </c>
      <c r="X1263" t="s">
        <v>31</v>
      </c>
      <c r="Y1263" t="s">
        <v>31</v>
      </c>
    </row>
    <row r="1264" spans="1:25" hidden="1">
      <c r="A1264" t="s">
        <v>25</v>
      </c>
      <c r="B1264" t="s">
        <v>26</v>
      </c>
      <c r="C1264" t="s">
        <v>51</v>
      </c>
      <c r="D1264" s="1">
        <v>43603</v>
      </c>
      <c r="E1264" s="2">
        <v>0.66666666666666663</v>
      </c>
      <c r="F1264" t="s">
        <v>37</v>
      </c>
      <c r="G1264" t="s">
        <v>36</v>
      </c>
      <c r="H1264">
        <v>3</v>
      </c>
      <c r="I1264">
        <v>2</v>
      </c>
      <c r="J1264" t="s">
        <v>34</v>
      </c>
      <c r="K1264">
        <v>241</v>
      </c>
      <c r="L1264">
        <v>397</v>
      </c>
      <c r="M1264">
        <v>275</v>
      </c>
      <c r="N1264">
        <v>241</v>
      </c>
      <c r="O1264">
        <v>397</v>
      </c>
      <c r="P1264">
        <v>3</v>
      </c>
      <c r="Q1264">
        <v>235</v>
      </c>
      <c r="R1264">
        <v>363</v>
      </c>
      <c r="S1264">
        <v>271</v>
      </c>
      <c r="T1264" t="s">
        <v>31</v>
      </c>
      <c r="U1264" t="s">
        <v>31</v>
      </c>
      <c r="V1264" t="s">
        <v>31</v>
      </c>
      <c r="W1264" t="s">
        <v>31</v>
      </c>
      <c r="X1264" t="s">
        <v>31</v>
      </c>
      <c r="Y1264" t="s">
        <v>31</v>
      </c>
    </row>
    <row r="1265" spans="1:25" hidden="1">
      <c r="A1265" t="s">
        <v>25</v>
      </c>
      <c r="B1265" t="s">
        <v>26</v>
      </c>
      <c r="C1265" t="s">
        <v>51</v>
      </c>
      <c r="D1265" s="1">
        <v>43603</v>
      </c>
      <c r="E1265" s="2">
        <v>0.66666666666666663</v>
      </c>
      <c r="F1265" t="s">
        <v>45</v>
      </c>
      <c r="G1265" t="s">
        <v>52</v>
      </c>
      <c r="H1265">
        <v>3</v>
      </c>
      <c r="I1265">
        <v>1</v>
      </c>
      <c r="J1265" t="s">
        <v>34</v>
      </c>
      <c r="K1265">
        <v>202</v>
      </c>
      <c r="L1265">
        <v>376</v>
      </c>
      <c r="M1265">
        <v>367</v>
      </c>
      <c r="N1265">
        <v>206</v>
      </c>
      <c r="O1265">
        <v>38</v>
      </c>
      <c r="P1265">
        <v>39</v>
      </c>
      <c r="Q1265">
        <v>193</v>
      </c>
      <c r="R1265">
        <v>363</v>
      </c>
      <c r="S1265">
        <v>362</v>
      </c>
      <c r="T1265" t="s">
        <v>31</v>
      </c>
      <c r="U1265" t="s">
        <v>31</v>
      </c>
      <c r="V1265" t="s">
        <v>31</v>
      </c>
      <c r="W1265" t="s">
        <v>31</v>
      </c>
      <c r="X1265" t="s">
        <v>31</v>
      </c>
      <c r="Y1265" t="s">
        <v>31</v>
      </c>
    </row>
    <row r="1266" spans="1:25" hidden="1">
      <c r="A1266" t="s">
        <v>25</v>
      </c>
      <c r="B1266" t="s">
        <v>26</v>
      </c>
      <c r="C1266" t="s">
        <v>51</v>
      </c>
      <c r="D1266" s="1">
        <v>43603</v>
      </c>
      <c r="E1266" s="2">
        <v>0.66666666666666663</v>
      </c>
      <c r="F1266" t="s">
        <v>32</v>
      </c>
      <c r="G1266" t="s">
        <v>35</v>
      </c>
      <c r="H1266">
        <v>1</v>
      </c>
      <c r="I1266">
        <v>0</v>
      </c>
      <c r="J1266" t="s">
        <v>34</v>
      </c>
      <c r="K1266">
        <v>396</v>
      </c>
      <c r="L1266">
        <v>421</v>
      </c>
      <c r="M1266">
        <v>184</v>
      </c>
      <c r="N1266">
        <v>4</v>
      </c>
      <c r="O1266">
        <v>421</v>
      </c>
      <c r="P1266">
        <v>187</v>
      </c>
      <c r="Q1266">
        <v>381</v>
      </c>
      <c r="R1266">
        <v>391</v>
      </c>
      <c r="S1266">
        <v>181</v>
      </c>
      <c r="T1266" t="s">
        <v>31</v>
      </c>
      <c r="U1266" t="s">
        <v>31</v>
      </c>
      <c r="V1266" t="s">
        <v>31</v>
      </c>
      <c r="W1266" t="s">
        <v>31</v>
      </c>
      <c r="X1266" t="s">
        <v>31</v>
      </c>
      <c r="Y1266" t="s">
        <v>31</v>
      </c>
    </row>
    <row r="1267" spans="1:25" hidden="1">
      <c r="A1267" t="s">
        <v>25</v>
      </c>
      <c r="B1267" t="s">
        <v>26</v>
      </c>
      <c r="C1267" t="s">
        <v>51</v>
      </c>
      <c r="D1267" s="1">
        <v>43604</v>
      </c>
      <c r="E1267" s="2">
        <v>0.66666666666666663</v>
      </c>
      <c r="F1267" t="s">
        <v>40</v>
      </c>
      <c r="G1267" t="s">
        <v>39</v>
      </c>
      <c r="H1267">
        <v>2</v>
      </c>
      <c r="I1267">
        <v>0</v>
      </c>
      <c r="J1267" t="s">
        <v>34</v>
      </c>
      <c r="K1267">
        <v>229</v>
      </c>
      <c r="L1267">
        <v>367</v>
      </c>
      <c r="M1267">
        <v>31</v>
      </c>
      <c r="N1267">
        <v>23</v>
      </c>
      <c r="O1267">
        <v>367</v>
      </c>
      <c r="P1267">
        <v>325</v>
      </c>
      <c r="Q1267">
        <v>223</v>
      </c>
      <c r="R1267">
        <v>341</v>
      </c>
      <c r="S1267">
        <v>304</v>
      </c>
      <c r="T1267" t="s">
        <v>31</v>
      </c>
      <c r="U1267" t="s">
        <v>31</v>
      </c>
      <c r="V1267" t="s">
        <v>31</v>
      </c>
      <c r="W1267" t="s">
        <v>31</v>
      </c>
      <c r="X1267" t="s">
        <v>31</v>
      </c>
      <c r="Y1267" t="s">
        <v>31</v>
      </c>
    </row>
    <row r="1268" spans="1:25" hidden="1">
      <c r="A1268" t="s">
        <v>25</v>
      </c>
      <c r="B1268" t="s">
        <v>26</v>
      </c>
      <c r="C1268" t="s">
        <v>51</v>
      </c>
      <c r="D1268" s="1">
        <v>43604</v>
      </c>
      <c r="E1268" s="2">
        <v>0.66666666666666663</v>
      </c>
      <c r="F1268" t="s">
        <v>48</v>
      </c>
      <c r="G1268" t="s">
        <v>50</v>
      </c>
      <c r="H1268">
        <v>0</v>
      </c>
      <c r="I1268">
        <v>1</v>
      </c>
      <c r="J1268" t="s">
        <v>30</v>
      </c>
      <c r="K1268">
        <v>597</v>
      </c>
      <c r="L1268">
        <v>469</v>
      </c>
      <c r="M1268">
        <v>152</v>
      </c>
      <c r="N1268">
        <v>7</v>
      </c>
      <c r="O1268">
        <v>469</v>
      </c>
      <c r="P1268">
        <v>154</v>
      </c>
      <c r="Q1268">
        <v>604</v>
      </c>
      <c r="R1268">
        <v>43</v>
      </c>
      <c r="S1268">
        <v>149</v>
      </c>
      <c r="T1268" t="s">
        <v>31</v>
      </c>
      <c r="U1268" t="s">
        <v>31</v>
      </c>
      <c r="V1268" t="s">
        <v>31</v>
      </c>
      <c r="W1268" t="s">
        <v>31</v>
      </c>
      <c r="X1268" t="s">
        <v>31</v>
      </c>
      <c r="Y1268" t="s">
        <v>31</v>
      </c>
    </row>
    <row r="1269" spans="1:25" hidden="1">
      <c r="A1269" t="s">
        <v>25</v>
      </c>
      <c r="B1269" t="s">
        <v>26</v>
      </c>
      <c r="C1269" t="s">
        <v>51</v>
      </c>
      <c r="D1269" s="1">
        <v>43604</v>
      </c>
      <c r="E1269" s="2">
        <v>0.66666666666666663</v>
      </c>
      <c r="F1269" t="s">
        <v>28</v>
      </c>
      <c r="G1269" t="s">
        <v>29</v>
      </c>
      <c r="H1269">
        <v>1</v>
      </c>
      <c r="I1269">
        <v>2</v>
      </c>
      <c r="J1269" t="s">
        <v>30</v>
      </c>
      <c r="K1269">
        <v>382</v>
      </c>
      <c r="L1269">
        <v>386</v>
      </c>
      <c r="M1269">
        <v>195</v>
      </c>
      <c r="N1269">
        <v>435</v>
      </c>
      <c r="O1269">
        <v>4</v>
      </c>
      <c r="P1269">
        <v>195</v>
      </c>
      <c r="Q1269">
        <v>38</v>
      </c>
      <c r="R1269">
        <v>372</v>
      </c>
      <c r="S1269">
        <v>186</v>
      </c>
      <c r="T1269" t="s">
        <v>31</v>
      </c>
      <c r="U1269" t="s">
        <v>31</v>
      </c>
      <c r="V1269" t="s">
        <v>31</v>
      </c>
      <c r="W1269" t="s">
        <v>31</v>
      </c>
      <c r="X1269" t="s">
        <v>31</v>
      </c>
      <c r="Y1269" t="s">
        <v>31</v>
      </c>
    </row>
    <row r="1270" spans="1:25" hidden="1">
      <c r="A1270" t="s">
        <v>25</v>
      </c>
      <c r="B1270" t="s">
        <v>26</v>
      </c>
      <c r="C1270" t="s">
        <v>51</v>
      </c>
      <c r="D1270" s="1">
        <v>43610</v>
      </c>
      <c r="E1270" s="2">
        <v>0.66666666666666663</v>
      </c>
      <c r="F1270" t="s">
        <v>52</v>
      </c>
      <c r="G1270" t="s">
        <v>37</v>
      </c>
      <c r="H1270">
        <v>3</v>
      </c>
      <c r="I1270">
        <v>1</v>
      </c>
      <c r="J1270" t="s">
        <v>34</v>
      </c>
      <c r="K1270">
        <v>156</v>
      </c>
      <c r="L1270">
        <v>502</v>
      </c>
      <c r="M1270">
        <v>506</v>
      </c>
      <c r="N1270">
        <v>163</v>
      </c>
      <c r="O1270">
        <v>502</v>
      </c>
      <c r="P1270">
        <v>575</v>
      </c>
      <c r="Q1270">
        <v>156</v>
      </c>
      <c r="R1270">
        <v>447</v>
      </c>
      <c r="S1270">
        <v>484</v>
      </c>
      <c r="T1270" t="s">
        <v>31</v>
      </c>
      <c r="U1270" t="s">
        <v>31</v>
      </c>
      <c r="V1270" t="s">
        <v>31</v>
      </c>
      <c r="W1270" t="s">
        <v>31</v>
      </c>
      <c r="X1270" t="s">
        <v>31</v>
      </c>
      <c r="Y1270" t="s">
        <v>31</v>
      </c>
    </row>
    <row r="1271" spans="1:25" hidden="1">
      <c r="A1271" t="s">
        <v>25</v>
      </c>
      <c r="B1271" t="s">
        <v>26</v>
      </c>
      <c r="C1271" t="s">
        <v>51</v>
      </c>
      <c r="D1271" s="1">
        <v>43610</v>
      </c>
      <c r="E1271" s="2">
        <v>0.66666666666666663</v>
      </c>
      <c r="F1271" t="s">
        <v>35</v>
      </c>
      <c r="G1271" t="s">
        <v>45</v>
      </c>
      <c r="H1271">
        <v>1</v>
      </c>
      <c r="I1271">
        <v>2</v>
      </c>
      <c r="J1271" t="s">
        <v>30</v>
      </c>
      <c r="K1271">
        <v>198</v>
      </c>
      <c r="L1271">
        <v>379</v>
      </c>
      <c r="M1271">
        <v>378</v>
      </c>
      <c r="N1271">
        <v>198</v>
      </c>
      <c r="O1271">
        <v>393</v>
      </c>
      <c r="P1271">
        <v>44</v>
      </c>
      <c r="Q1271">
        <v>187</v>
      </c>
      <c r="R1271">
        <v>373</v>
      </c>
      <c r="S1271">
        <v>367</v>
      </c>
      <c r="T1271" t="s">
        <v>31</v>
      </c>
      <c r="U1271" t="s">
        <v>31</v>
      </c>
      <c r="V1271" t="s">
        <v>31</v>
      </c>
      <c r="W1271" t="s">
        <v>31</v>
      </c>
      <c r="X1271" t="s">
        <v>31</v>
      </c>
      <c r="Y1271" t="s">
        <v>31</v>
      </c>
    </row>
    <row r="1272" spans="1:25" hidden="1">
      <c r="A1272" t="s">
        <v>25</v>
      </c>
      <c r="B1272" t="s">
        <v>26</v>
      </c>
      <c r="C1272" t="s">
        <v>51</v>
      </c>
      <c r="D1272" s="1">
        <v>43610</v>
      </c>
      <c r="E1272" s="2">
        <v>0.66666666666666663</v>
      </c>
      <c r="F1272" t="s">
        <v>36</v>
      </c>
      <c r="G1272" t="s">
        <v>32</v>
      </c>
      <c r="H1272">
        <v>4</v>
      </c>
      <c r="I1272">
        <v>0</v>
      </c>
      <c r="J1272" t="s">
        <v>34</v>
      </c>
      <c r="K1272">
        <v>147</v>
      </c>
      <c r="L1272">
        <v>494</v>
      </c>
      <c r="M1272">
        <v>637</v>
      </c>
      <c r="N1272">
        <v>149</v>
      </c>
      <c r="O1272">
        <v>494</v>
      </c>
      <c r="P1272">
        <v>65</v>
      </c>
      <c r="Q1272">
        <v>145</v>
      </c>
      <c r="R1272">
        <v>464</v>
      </c>
      <c r="S1272">
        <v>588</v>
      </c>
      <c r="T1272" t="s">
        <v>31</v>
      </c>
      <c r="U1272" t="s">
        <v>31</v>
      </c>
      <c r="V1272" t="s">
        <v>31</v>
      </c>
      <c r="W1272" t="s">
        <v>31</v>
      </c>
      <c r="X1272" t="s">
        <v>31</v>
      </c>
      <c r="Y1272" t="s">
        <v>31</v>
      </c>
    </row>
    <row r="1273" spans="1:25" hidden="1">
      <c r="A1273" t="s">
        <v>25</v>
      </c>
      <c r="B1273" t="s">
        <v>26</v>
      </c>
      <c r="C1273" t="s">
        <v>51</v>
      </c>
      <c r="D1273" s="1">
        <v>43611</v>
      </c>
      <c r="E1273" s="2">
        <v>0.66666666666666663</v>
      </c>
      <c r="F1273" t="s">
        <v>39</v>
      </c>
      <c r="G1273" t="s">
        <v>28</v>
      </c>
      <c r="H1273">
        <v>2</v>
      </c>
      <c r="I1273">
        <v>1</v>
      </c>
      <c r="J1273" t="s">
        <v>34</v>
      </c>
      <c r="K1273">
        <v>203</v>
      </c>
      <c r="L1273">
        <v>387</v>
      </c>
      <c r="M1273">
        <v>354</v>
      </c>
      <c r="N1273">
        <v>208</v>
      </c>
      <c r="O1273">
        <v>387</v>
      </c>
      <c r="P1273">
        <v>38</v>
      </c>
      <c r="Q1273">
        <v>199</v>
      </c>
      <c r="R1273">
        <v>356</v>
      </c>
      <c r="S1273">
        <v>347</v>
      </c>
      <c r="T1273" t="s">
        <v>31</v>
      </c>
      <c r="U1273" t="s">
        <v>31</v>
      </c>
      <c r="V1273" t="s">
        <v>31</v>
      </c>
      <c r="W1273" t="s">
        <v>31</v>
      </c>
      <c r="X1273" t="s">
        <v>31</v>
      </c>
      <c r="Y1273" t="s">
        <v>31</v>
      </c>
    </row>
    <row r="1274" spans="1:25" hidden="1">
      <c r="A1274" t="s">
        <v>25</v>
      </c>
      <c r="B1274" t="s">
        <v>26</v>
      </c>
      <c r="C1274" t="s">
        <v>51</v>
      </c>
      <c r="D1274" s="1">
        <v>43611</v>
      </c>
      <c r="E1274" s="2">
        <v>0.66666666666666663</v>
      </c>
      <c r="F1274" t="s">
        <v>50</v>
      </c>
      <c r="G1274" t="s">
        <v>40</v>
      </c>
      <c r="H1274">
        <v>5</v>
      </c>
      <c r="I1274">
        <v>2</v>
      </c>
      <c r="J1274" t="s">
        <v>34</v>
      </c>
      <c r="K1274">
        <v>257</v>
      </c>
      <c r="L1274">
        <v>352</v>
      </c>
      <c r="M1274">
        <v>28</v>
      </c>
      <c r="N1274">
        <v>262</v>
      </c>
      <c r="O1274">
        <v>36</v>
      </c>
      <c r="P1274">
        <v>28</v>
      </c>
      <c r="Q1274">
        <v>248</v>
      </c>
      <c r="R1274">
        <v>338</v>
      </c>
      <c r="S1274">
        <v>267</v>
      </c>
      <c r="T1274" t="s">
        <v>31</v>
      </c>
      <c r="U1274" t="s">
        <v>31</v>
      </c>
      <c r="V1274" t="s">
        <v>31</v>
      </c>
      <c r="W1274" t="s">
        <v>31</v>
      </c>
      <c r="X1274" t="s">
        <v>31</v>
      </c>
      <c r="Y1274" t="s">
        <v>31</v>
      </c>
    </row>
    <row r="1275" spans="1:25" hidden="1">
      <c r="A1275" t="s">
        <v>25</v>
      </c>
      <c r="B1275" t="s">
        <v>26</v>
      </c>
      <c r="C1275" t="s">
        <v>51</v>
      </c>
      <c r="D1275" s="1">
        <v>43611</v>
      </c>
      <c r="E1275" s="2">
        <v>0.66666666666666663</v>
      </c>
      <c r="F1275" t="s">
        <v>29</v>
      </c>
      <c r="G1275" t="s">
        <v>48</v>
      </c>
      <c r="H1275">
        <v>7</v>
      </c>
      <c r="I1275">
        <v>0</v>
      </c>
      <c r="J1275" t="s">
        <v>34</v>
      </c>
      <c r="K1275">
        <v>109</v>
      </c>
      <c r="L1275">
        <v>1104</v>
      </c>
      <c r="M1275">
        <v>2779</v>
      </c>
      <c r="N1275">
        <v>112</v>
      </c>
      <c r="O1275">
        <v>13</v>
      </c>
      <c r="P1275">
        <v>34</v>
      </c>
      <c r="Q1275">
        <v>108</v>
      </c>
      <c r="R1275">
        <v>1022</v>
      </c>
      <c r="S1275">
        <v>2393</v>
      </c>
      <c r="T1275" t="s">
        <v>31</v>
      </c>
      <c r="U1275" t="s">
        <v>31</v>
      </c>
      <c r="V1275" t="s">
        <v>31</v>
      </c>
      <c r="W1275" t="s">
        <v>31</v>
      </c>
      <c r="X1275" t="s">
        <v>31</v>
      </c>
      <c r="Y1275" t="s">
        <v>31</v>
      </c>
    </row>
    <row r="1276" spans="1:25" hidden="1">
      <c r="A1276" t="s">
        <v>25</v>
      </c>
      <c r="B1276" t="s">
        <v>26</v>
      </c>
      <c r="C1276" t="s">
        <v>51</v>
      </c>
      <c r="D1276" s="1">
        <v>43613</v>
      </c>
      <c r="E1276" s="2">
        <v>0.75</v>
      </c>
      <c r="F1276" t="s">
        <v>35</v>
      </c>
      <c r="G1276" t="s">
        <v>32</v>
      </c>
      <c r="H1276">
        <v>2</v>
      </c>
      <c r="I1276">
        <v>0</v>
      </c>
      <c r="J1276" t="s">
        <v>34</v>
      </c>
      <c r="K1276">
        <v>145</v>
      </c>
      <c r="L1276">
        <v>477</v>
      </c>
      <c r="M1276">
        <v>703</v>
      </c>
      <c r="N1276">
        <v>15</v>
      </c>
      <c r="O1276">
        <v>48</v>
      </c>
      <c r="P1276">
        <v>75</v>
      </c>
      <c r="Q1276">
        <v>143</v>
      </c>
      <c r="R1276">
        <v>45</v>
      </c>
      <c r="S1276">
        <v>659</v>
      </c>
      <c r="T1276" t="s">
        <v>31</v>
      </c>
      <c r="U1276" t="s">
        <v>31</v>
      </c>
      <c r="V1276" t="s">
        <v>31</v>
      </c>
      <c r="W1276" t="s">
        <v>31</v>
      </c>
      <c r="X1276" t="s">
        <v>31</v>
      </c>
      <c r="Y1276" t="s">
        <v>31</v>
      </c>
    </row>
    <row r="1277" spans="1:25" hidden="1">
      <c r="A1277" t="s">
        <v>25</v>
      </c>
      <c r="B1277" t="s">
        <v>26</v>
      </c>
      <c r="C1277" t="s">
        <v>51</v>
      </c>
      <c r="D1277" s="1">
        <v>43615</v>
      </c>
      <c r="E1277" s="2">
        <v>0.66666666666666663</v>
      </c>
      <c r="F1277" t="s">
        <v>35</v>
      </c>
      <c r="G1277" t="s">
        <v>28</v>
      </c>
      <c r="H1277">
        <v>1</v>
      </c>
      <c r="I1277">
        <v>2</v>
      </c>
      <c r="J1277" t="s">
        <v>30</v>
      </c>
      <c r="K1277">
        <v>168</v>
      </c>
      <c r="L1277">
        <v>414</v>
      </c>
      <c r="M1277">
        <v>495</v>
      </c>
      <c r="N1277">
        <v>175</v>
      </c>
      <c r="O1277">
        <v>42</v>
      </c>
      <c r="P1277">
        <v>55</v>
      </c>
      <c r="Q1277">
        <v>165</v>
      </c>
      <c r="R1277">
        <v>39</v>
      </c>
      <c r="S1277">
        <v>484</v>
      </c>
      <c r="T1277" t="s">
        <v>31</v>
      </c>
      <c r="U1277" t="s">
        <v>31</v>
      </c>
      <c r="V1277" t="s">
        <v>31</v>
      </c>
      <c r="W1277" t="s">
        <v>31</v>
      </c>
      <c r="X1277" t="s">
        <v>31</v>
      </c>
      <c r="Y1277" t="s">
        <v>31</v>
      </c>
    </row>
    <row r="1278" spans="1:25" hidden="1">
      <c r="A1278" t="s">
        <v>25</v>
      </c>
      <c r="B1278" t="s">
        <v>26</v>
      </c>
      <c r="C1278" t="s">
        <v>51</v>
      </c>
      <c r="D1278" s="1">
        <v>43618</v>
      </c>
      <c r="E1278" s="2">
        <v>0.66666666666666663</v>
      </c>
      <c r="F1278" t="s">
        <v>28</v>
      </c>
      <c r="G1278" t="s">
        <v>35</v>
      </c>
      <c r="H1278">
        <v>0</v>
      </c>
      <c r="I1278">
        <v>1</v>
      </c>
      <c r="J1278" t="s">
        <v>30</v>
      </c>
      <c r="K1278">
        <v>307</v>
      </c>
      <c r="L1278">
        <v>378</v>
      </c>
      <c r="M1278">
        <v>227</v>
      </c>
      <c r="N1278">
        <v>316</v>
      </c>
      <c r="O1278">
        <v>378</v>
      </c>
      <c r="P1278">
        <v>23</v>
      </c>
      <c r="Q1278">
        <v>299</v>
      </c>
      <c r="R1278">
        <v>358</v>
      </c>
      <c r="S1278">
        <v>218</v>
      </c>
      <c r="T1278" t="s">
        <v>31</v>
      </c>
      <c r="U1278" t="s">
        <v>31</v>
      </c>
      <c r="V1278" t="s">
        <v>31</v>
      </c>
      <c r="W1278" t="s">
        <v>31</v>
      </c>
      <c r="X1278" t="s">
        <v>31</v>
      </c>
      <c r="Y1278" t="s">
        <v>31</v>
      </c>
    </row>
    <row r="1279" spans="1:25" hidden="1">
      <c r="A1279" t="s">
        <v>25</v>
      </c>
      <c r="B1279" t="s">
        <v>26</v>
      </c>
      <c r="C1279" t="s">
        <v>53</v>
      </c>
      <c r="D1279" s="1">
        <v>43672</v>
      </c>
      <c r="E1279" s="2">
        <v>0.82291666666666663</v>
      </c>
      <c r="F1279" t="s">
        <v>35</v>
      </c>
      <c r="G1279" t="s">
        <v>29</v>
      </c>
      <c r="H1279">
        <v>0</v>
      </c>
      <c r="I1279">
        <v>2</v>
      </c>
      <c r="J1279" t="s">
        <v>30</v>
      </c>
      <c r="K1279">
        <v>392</v>
      </c>
      <c r="L1279">
        <v>395</v>
      </c>
      <c r="M1279">
        <v>19</v>
      </c>
      <c r="N1279">
        <v>402</v>
      </c>
      <c r="O1279">
        <v>395</v>
      </c>
      <c r="P1279">
        <v>2</v>
      </c>
      <c r="Q1279">
        <v>373</v>
      </c>
      <c r="R1279">
        <v>373</v>
      </c>
      <c r="S1279">
        <v>188</v>
      </c>
      <c r="T1279" t="s">
        <v>31</v>
      </c>
      <c r="U1279" t="s">
        <v>31</v>
      </c>
      <c r="V1279" t="s">
        <v>31</v>
      </c>
      <c r="W1279" t="s">
        <v>31</v>
      </c>
      <c r="X1279" t="s">
        <v>31</v>
      </c>
      <c r="Y1279" t="s">
        <v>31</v>
      </c>
    </row>
    <row r="1280" spans="1:25" hidden="1">
      <c r="A1280" t="s">
        <v>25</v>
      </c>
      <c r="B1280" t="s">
        <v>26</v>
      </c>
      <c r="C1280" t="s">
        <v>53</v>
      </c>
      <c r="D1280" s="1">
        <v>43673</v>
      </c>
      <c r="E1280" s="2">
        <v>0.66666666666666663</v>
      </c>
      <c r="F1280" t="s">
        <v>37</v>
      </c>
      <c r="G1280" t="s">
        <v>39</v>
      </c>
      <c r="H1280">
        <v>0</v>
      </c>
      <c r="I1280">
        <v>3</v>
      </c>
      <c r="J1280" t="s">
        <v>30</v>
      </c>
      <c r="K1280">
        <v>399</v>
      </c>
      <c r="L1280">
        <v>396</v>
      </c>
      <c r="M1280">
        <v>188</v>
      </c>
      <c r="N1280">
        <v>42</v>
      </c>
      <c r="O1280">
        <v>396</v>
      </c>
      <c r="P1280">
        <v>2</v>
      </c>
      <c r="Q1280">
        <v>386</v>
      </c>
      <c r="R1280">
        <v>36</v>
      </c>
      <c r="S1280">
        <v>188</v>
      </c>
      <c r="T1280" t="s">
        <v>31</v>
      </c>
      <c r="U1280" t="s">
        <v>31</v>
      </c>
      <c r="V1280" t="s">
        <v>31</v>
      </c>
      <c r="W1280" t="s">
        <v>31</v>
      </c>
      <c r="X1280" t="s">
        <v>31</v>
      </c>
      <c r="Y1280" t="s">
        <v>31</v>
      </c>
    </row>
    <row r="1281" spans="1:25" hidden="1">
      <c r="A1281" t="s">
        <v>25</v>
      </c>
      <c r="B1281" t="s">
        <v>26</v>
      </c>
      <c r="C1281" t="s">
        <v>53</v>
      </c>
      <c r="D1281" s="1">
        <v>43673</v>
      </c>
      <c r="E1281" s="2">
        <v>0.66666666666666663</v>
      </c>
      <c r="F1281" t="s">
        <v>54</v>
      </c>
      <c r="G1281" t="s">
        <v>40</v>
      </c>
      <c r="H1281">
        <v>3</v>
      </c>
      <c r="I1281">
        <v>1</v>
      </c>
      <c r="J1281" t="s">
        <v>34</v>
      </c>
      <c r="K1281">
        <v>391</v>
      </c>
      <c r="L1281">
        <v>371</v>
      </c>
      <c r="M1281">
        <v>197</v>
      </c>
      <c r="N1281">
        <v>4</v>
      </c>
      <c r="O1281">
        <v>371</v>
      </c>
      <c r="P1281">
        <v>21</v>
      </c>
      <c r="Q1281">
        <v>368</v>
      </c>
      <c r="R1281">
        <v>352</v>
      </c>
      <c r="S1281">
        <v>195</v>
      </c>
      <c r="T1281" t="s">
        <v>31</v>
      </c>
      <c r="U1281" t="s">
        <v>31</v>
      </c>
      <c r="V1281" t="s">
        <v>31</v>
      </c>
      <c r="W1281" t="s">
        <v>31</v>
      </c>
      <c r="X1281" t="s">
        <v>31</v>
      </c>
      <c r="Y1281" t="s">
        <v>31</v>
      </c>
    </row>
    <row r="1282" spans="1:25" hidden="1">
      <c r="A1282" t="s">
        <v>25</v>
      </c>
      <c r="B1282" t="s">
        <v>26</v>
      </c>
      <c r="C1282" t="s">
        <v>53</v>
      </c>
      <c r="D1282" s="1">
        <v>43674</v>
      </c>
      <c r="E1282" s="2">
        <v>0.66666666666666663</v>
      </c>
      <c r="F1282" t="s">
        <v>50</v>
      </c>
      <c r="G1282" t="s">
        <v>45</v>
      </c>
      <c r="H1282">
        <v>2</v>
      </c>
      <c r="I1282">
        <v>0</v>
      </c>
      <c r="J1282" t="s">
        <v>34</v>
      </c>
      <c r="K1282">
        <v>152</v>
      </c>
      <c r="L1282">
        <v>435</v>
      </c>
      <c r="M1282">
        <v>658</v>
      </c>
      <c r="N1282">
        <v>155</v>
      </c>
      <c r="O1282">
        <v>435</v>
      </c>
      <c r="P1282">
        <v>658</v>
      </c>
      <c r="Q1282">
        <v>15</v>
      </c>
      <c r="R1282">
        <v>415</v>
      </c>
      <c r="S1282">
        <v>614</v>
      </c>
      <c r="T1282" t="s">
        <v>31</v>
      </c>
      <c r="U1282" t="s">
        <v>31</v>
      </c>
      <c r="V1282" t="s">
        <v>31</v>
      </c>
      <c r="W1282" t="s">
        <v>31</v>
      </c>
      <c r="X1282" t="s">
        <v>31</v>
      </c>
      <c r="Y1282" t="s">
        <v>31</v>
      </c>
    </row>
    <row r="1283" spans="1:25" hidden="1">
      <c r="A1283" t="s">
        <v>25</v>
      </c>
      <c r="B1283" t="s">
        <v>26</v>
      </c>
      <c r="C1283" t="s">
        <v>53</v>
      </c>
      <c r="D1283" s="1">
        <v>43674</v>
      </c>
      <c r="E1283" s="2">
        <v>0.66666666666666663</v>
      </c>
      <c r="F1283" t="s">
        <v>32</v>
      </c>
      <c r="G1283" t="s">
        <v>52</v>
      </c>
      <c r="H1283">
        <v>2</v>
      </c>
      <c r="I1283">
        <v>1</v>
      </c>
      <c r="J1283" t="s">
        <v>34</v>
      </c>
      <c r="K1283">
        <v>192</v>
      </c>
      <c r="L1283">
        <v>391</v>
      </c>
      <c r="M1283">
        <v>389</v>
      </c>
      <c r="N1283">
        <v>195</v>
      </c>
      <c r="O1283">
        <v>391</v>
      </c>
      <c r="P1283">
        <v>39</v>
      </c>
      <c r="Q1283">
        <v>188</v>
      </c>
      <c r="R1283">
        <v>368</v>
      </c>
      <c r="S1283">
        <v>376</v>
      </c>
      <c r="T1283" t="s">
        <v>31</v>
      </c>
      <c r="U1283" t="s">
        <v>31</v>
      </c>
      <c r="V1283" t="s">
        <v>31</v>
      </c>
      <c r="W1283" t="s">
        <v>31</v>
      </c>
      <c r="X1283" t="s">
        <v>31</v>
      </c>
      <c r="Y1283" t="s">
        <v>31</v>
      </c>
    </row>
    <row r="1284" spans="1:25" hidden="1">
      <c r="A1284" t="s">
        <v>25</v>
      </c>
      <c r="B1284" t="s">
        <v>26</v>
      </c>
      <c r="C1284" t="s">
        <v>53</v>
      </c>
      <c r="D1284" s="1">
        <v>43674</v>
      </c>
      <c r="E1284" s="2">
        <v>0.66666666666666663</v>
      </c>
      <c r="F1284" t="s">
        <v>28</v>
      </c>
      <c r="G1284" t="s">
        <v>48</v>
      </c>
      <c r="H1284">
        <v>3</v>
      </c>
      <c r="I1284">
        <v>0</v>
      </c>
      <c r="J1284" t="s">
        <v>34</v>
      </c>
      <c r="K1284">
        <v>171</v>
      </c>
      <c r="L1284">
        <v>391</v>
      </c>
      <c r="M1284">
        <v>504</v>
      </c>
      <c r="N1284">
        <v>176</v>
      </c>
      <c r="O1284">
        <v>391</v>
      </c>
      <c r="P1284">
        <v>575</v>
      </c>
      <c r="Q1284">
        <v>169</v>
      </c>
      <c r="R1284">
        <v>372</v>
      </c>
      <c r="S1284">
        <v>476</v>
      </c>
      <c r="T1284" t="s">
        <v>31</v>
      </c>
      <c r="U1284" t="s">
        <v>31</v>
      </c>
      <c r="V1284" t="s">
        <v>31</v>
      </c>
      <c r="W1284" t="s">
        <v>31</v>
      </c>
      <c r="X1284" t="s">
        <v>31</v>
      </c>
      <c r="Y1284" t="s">
        <v>31</v>
      </c>
    </row>
    <row r="1285" spans="1:25" hidden="1">
      <c r="A1285" t="s">
        <v>25</v>
      </c>
      <c r="B1285" t="s">
        <v>26</v>
      </c>
      <c r="C1285" t="s">
        <v>53</v>
      </c>
      <c r="D1285" s="1">
        <v>43680</v>
      </c>
      <c r="E1285" s="2">
        <v>0.66666666666666663</v>
      </c>
      <c r="F1285" t="s">
        <v>45</v>
      </c>
      <c r="G1285" t="s">
        <v>54</v>
      </c>
      <c r="H1285">
        <v>3</v>
      </c>
      <c r="I1285">
        <v>2</v>
      </c>
      <c r="J1285" t="s">
        <v>34</v>
      </c>
      <c r="K1285">
        <v>181</v>
      </c>
      <c r="L1285">
        <v>391</v>
      </c>
      <c r="M1285">
        <v>439</v>
      </c>
      <c r="N1285">
        <v>205</v>
      </c>
      <c r="O1285">
        <v>395</v>
      </c>
      <c r="P1285">
        <v>439</v>
      </c>
      <c r="Q1285">
        <v>183</v>
      </c>
      <c r="R1285">
        <v>362</v>
      </c>
      <c r="S1285">
        <v>401</v>
      </c>
      <c r="T1285" t="s">
        <v>31</v>
      </c>
      <c r="U1285" t="s">
        <v>31</v>
      </c>
      <c r="V1285" t="s">
        <v>31</v>
      </c>
      <c r="W1285" t="s">
        <v>31</v>
      </c>
      <c r="X1285" t="s">
        <v>31</v>
      </c>
      <c r="Y1285" t="s">
        <v>31</v>
      </c>
    </row>
    <row r="1286" spans="1:25" hidden="1">
      <c r="A1286" t="s">
        <v>25</v>
      </c>
      <c r="B1286" t="s">
        <v>26</v>
      </c>
      <c r="C1286" t="s">
        <v>53</v>
      </c>
      <c r="D1286" s="1">
        <v>43680</v>
      </c>
      <c r="E1286" s="2">
        <v>0.66666666666666663</v>
      </c>
      <c r="F1286" t="s">
        <v>40</v>
      </c>
      <c r="G1286" t="s">
        <v>50</v>
      </c>
      <c r="H1286">
        <v>0</v>
      </c>
      <c r="I1286">
        <v>3</v>
      </c>
      <c r="J1286" t="s">
        <v>30</v>
      </c>
      <c r="K1286">
        <v>405</v>
      </c>
      <c r="L1286">
        <v>395</v>
      </c>
      <c r="M1286">
        <v>187</v>
      </c>
      <c r="N1286">
        <v>41</v>
      </c>
      <c r="O1286">
        <v>395</v>
      </c>
      <c r="P1286">
        <v>215</v>
      </c>
      <c r="Q1286">
        <v>374</v>
      </c>
      <c r="R1286">
        <v>364</v>
      </c>
      <c r="S1286">
        <v>19</v>
      </c>
      <c r="T1286" t="s">
        <v>31</v>
      </c>
      <c r="U1286" t="s">
        <v>31</v>
      </c>
      <c r="V1286" t="s">
        <v>31</v>
      </c>
      <c r="W1286" t="s">
        <v>31</v>
      </c>
      <c r="X1286" t="s">
        <v>31</v>
      </c>
      <c r="Y1286" t="s">
        <v>31</v>
      </c>
    </row>
    <row r="1287" spans="1:25" hidden="1">
      <c r="A1287" t="s">
        <v>25</v>
      </c>
      <c r="B1287" t="s">
        <v>26</v>
      </c>
      <c r="C1287" t="s">
        <v>53</v>
      </c>
      <c r="D1287" s="1">
        <v>43680</v>
      </c>
      <c r="E1287" s="2">
        <v>0.66666666666666663</v>
      </c>
      <c r="F1287" t="s">
        <v>52</v>
      </c>
      <c r="G1287" t="s">
        <v>37</v>
      </c>
      <c r="H1287">
        <v>4</v>
      </c>
      <c r="I1287">
        <v>1</v>
      </c>
      <c r="J1287" t="s">
        <v>34</v>
      </c>
      <c r="K1287">
        <v>222</v>
      </c>
      <c r="L1287">
        <v>358</v>
      </c>
      <c r="M1287">
        <v>327</v>
      </c>
      <c r="N1287">
        <v>225</v>
      </c>
      <c r="O1287">
        <v>37</v>
      </c>
      <c r="P1287">
        <v>327</v>
      </c>
      <c r="Q1287">
        <v>218</v>
      </c>
      <c r="R1287">
        <v>349</v>
      </c>
      <c r="S1287">
        <v>308</v>
      </c>
      <c r="T1287" t="s">
        <v>31</v>
      </c>
      <c r="U1287" t="s">
        <v>31</v>
      </c>
      <c r="V1287" t="s">
        <v>31</v>
      </c>
      <c r="W1287" t="s">
        <v>31</v>
      </c>
      <c r="X1287" t="s">
        <v>31</v>
      </c>
      <c r="Y1287" t="s">
        <v>31</v>
      </c>
    </row>
    <row r="1288" spans="1:25" hidden="1">
      <c r="A1288" t="s">
        <v>25</v>
      </c>
      <c r="B1288" t="s">
        <v>26</v>
      </c>
      <c r="C1288" t="s">
        <v>53</v>
      </c>
      <c r="D1288" s="1">
        <v>43681</v>
      </c>
      <c r="E1288" s="2">
        <v>0.66666666666666663</v>
      </c>
      <c r="F1288" t="s">
        <v>39</v>
      </c>
      <c r="G1288" t="s">
        <v>28</v>
      </c>
      <c r="H1288">
        <v>0</v>
      </c>
      <c r="I1288">
        <v>1</v>
      </c>
      <c r="J1288" t="s">
        <v>30</v>
      </c>
      <c r="K1288">
        <v>228</v>
      </c>
      <c r="L1288">
        <v>362</v>
      </c>
      <c r="M1288">
        <v>312</v>
      </c>
      <c r="N1288">
        <v>238</v>
      </c>
      <c r="O1288">
        <v>365</v>
      </c>
      <c r="P1288">
        <v>325</v>
      </c>
      <c r="Q1288">
        <v>224</v>
      </c>
      <c r="R1288">
        <v>343</v>
      </c>
      <c r="S1288">
        <v>299</v>
      </c>
      <c r="T1288" t="s">
        <v>31</v>
      </c>
      <c r="U1288" t="s">
        <v>31</v>
      </c>
      <c r="V1288" t="s">
        <v>31</v>
      </c>
      <c r="W1288" t="s">
        <v>31</v>
      </c>
      <c r="X1288" t="s">
        <v>31</v>
      </c>
      <c r="Y1288" t="s">
        <v>31</v>
      </c>
    </row>
    <row r="1289" spans="1:25" hidden="1">
      <c r="A1289" t="s">
        <v>25</v>
      </c>
      <c r="B1289" t="s">
        <v>26</v>
      </c>
      <c r="C1289" t="s">
        <v>53</v>
      </c>
      <c r="D1289" s="1">
        <v>43681</v>
      </c>
      <c r="E1289" s="2">
        <v>0.66666666666666663</v>
      </c>
      <c r="F1289" t="s">
        <v>29</v>
      </c>
      <c r="G1289" t="s">
        <v>32</v>
      </c>
      <c r="H1289">
        <v>4</v>
      </c>
      <c r="I1289">
        <v>1</v>
      </c>
      <c r="J1289" t="s">
        <v>34</v>
      </c>
      <c r="K1289">
        <v>114</v>
      </c>
      <c r="L1289">
        <v>925</v>
      </c>
      <c r="M1289">
        <v>1897</v>
      </c>
      <c r="N1289">
        <v>12</v>
      </c>
      <c r="O1289">
        <v>94</v>
      </c>
      <c r="P1289">
        <v>23</v>
      </c>
      <c r="Q1289">
        <v>113</v>
      </c>
      <c r="R1289">
        <v>802</v>
      </c>
      <c r="S1289">
        <v>1748</v>
      </c>
      <c r="T1289" t="s">
        <v>31</v>
      </c>
      <c r="U1289" t="s">
        <v>31</v>
      </c>
      <c r="V1289" t="s">
        <v>31</v>
      </c>
      <c r="W1289" t="s">
        <v>31</v>
      </c>
      <c r="X1289" t="s">
        <v>31</v>
      </c>
      <c r="Y1289" t="s">
        <v>31</v>
      </c>
    </row>
    <row r="1290" spans="1:25" hidden="1">
      <c r="A1290" t="s">
        <v>25</v>
      </c>
      <c r="B1290" t="s">
        <v>26</v>
      </c>
      <c r="C1290" t="s">
        <v>53</v>
      </c>
      <c r="D1290" s="1">
        <v>43681</v>
      </c>
      <c r="E1290" s="2">
        <v>0.66666666666666663</v>
      </c>
      <c r="F1290" t="s">
        <v>48</v>
      </c>
      <c r="G1290" t="s">
        <v>35</v>
      </c>
      <c r="H1290">
        <v>2</v>
      </c>
      <c r="I1290">
        <v>2</v>
      </c>
      <c r="J1290" t="s">
        <v>41</v>
      </c>
      <c r="K1290">
        <v>575</v>
      </c>
      <c r="L1290">
        <v>471</v>
      </c>
      <c r="M1290">
        <v>153</v>
      </c>
      <c r="N1290">
        <v>6</v>
      </c>
      <c r="O1290">
        <v>471</v>
      </c>
      <c r="P1290">
        <v>156</v>
      </c>
      <c r="Q1290">
        <v>556</v>
      </c>
      <c r="R1290">
        <v>443</v>
      </c>
      <c r="S1290">
        <v>15</v>
      </c>
      <c r="T1290" t="s">
        <v>31</v>
      </c>
      <c r="U1290" t="s">
        <v>31</v>
      </c>
      <c r="V1290" t="s">
        <v>31</v>
      </c>
      <c r="W1290" t="s">
        <v>31</v>
      </c>
      <c r="X1290" t="s">
        <v>31</v>
      </c>
      <c r="Y1290" t="s">
        <v>31</v>
      </c>
    </row>
    <row r="1291" spans="1:25" hidden="1">
      <c r="A1291" t="s">
        <v>25</v>
      </c>
      <c r="B1291" t="s">
        <v>26</v>
      </c>
      <c r="C1291" t="s">
        <v>53</v>
      </c>
      <c r="D1291" s="1">
        <v>43687</v>
      </c>
      <c r="E1291" s="2">
        <v>0.66666666666666663</v>
      </c>
      <c r="F1291" t="s">
        <v>37</v>
      </c>
      <c r="G1291" t="s">
        <v>50</v>
      </c>
      <c r="H1291">
        <v>0</v>
      </c>
      <c r="I1291">
        <v>1</v>
      </c>
      <c r="J1291" t="s">
        <v>30</v>
      </c>
      <c r="K1291">
        <v>614</v>
      </c>
      <c r="L1291">
        <v>463</v>
      </c>
      <c r="M1291">
        <v>151</v>
      </c>
      <c r="N1291">
        <v>7</v>
      </c>
      <c r="O1291">
        <v>467</v>
      </c>
      <c r="P1291">
        <v>152</v>
      </c>
      <c r="Q1291">
        <v>608</v>
      </c>
      <c r="R1291">
        <v>433</v>
      </c>
      <c r="S1291">
        <v>148</v>
      </c>
      <c r="T1291" t="s">
        <v>31</v>
      </c>
      <c r="U1291" t="s">
        <v>31</v>
      </c>
      <c r="V1291" t="s">
        <v>31</v>
      </c>
      <c r="W1291" t="s">
        <v>31</v>
      </c>
      <c r="X1291" t="s">
        <v>31</v>
      </c>
      <c r="Y1291" t="s">
        <v>31</v>
      </c>
    </row>
    <row r="1292" spans="1:25" hidden="1">
      <c r="A1292" t="s">
        <v>25</v>
      </c>
      <c r="B1292" t="s">
        <v>26</v>
      </c>
      <c r="C1292" t="s">
        <v>53</v>
      </c>
      <c r="D1292" s="1">
        <v>43687</v>
      </c>
      <c r="E1292" s="2">
        <v>0.66666666666666663</v>
      </c>
      <c r="F1292" t="s">
        <v>35</v>
      </c>
      <c r="G1292" t="s">
        <v>45</v>
      </c>
      <c r="H1292">
        <v>2</v>
      </c>
      <c r="I1292">
        <v>1</v>
      </c>
      <c r="J1292" t="s">
        <v>34</v>
      </c>
      <c r="K1292">
        <v>162</v>
      </c>
      <c r="L1292">
        <v>427</v>
      </c>
      <c r="M1292">
        <v>532</v>
      </c>
      <c r="N1292">
        <v>164</v>
      </c>
      <c r="O1292">
        <v>43</v>
      </c>
      <c r="P1292">
        <v>55</v>
      </c>
      <c r="Q1292">
        <v>159</v>
      </c>
      <c r="R1292">
        <v>412</v>
      </c>
      <c r="S1292">
        <v>5</v>
      </c>
      <c r="T1292" t="s">
        <v>31</v>
      </c>
      <c r="U1292" t="s">
        <v>31</v>
      </c>
      <c r="V1292" t="s">
        <v>31</v>
      </c>
      <c r="W1292" t="s">
        <v>31</v>
      </c>
      <c r="X1292" t="s">
        <v>31</v>
      </c>
      <c r="Y1292" t="s">
        <v>31</v>
      </c>
    </row>
    <row r="1293" spans="1:25" hidden="1">
      <c r="A1293" t="s">
        <v>25</v>
      </c>
      <c r="B1293" t="s">
        <v>26</v>
      </c>
      <c r="C1293" t="s">
        <v>53</v>
      </c>
      <c r="D1293" s="1">
        <v>43687</v>
      </c>
      <c r="E1293" s="2">
        <v>0.66666666666666663</v>
      </c>
      <c r="F1293" t="s">
        <v>29</v>
      </c>
      <c r="G1293" t="s">
        <v>39</v>
      </c>
      <c r="H1293">
        <v>5</v>
      </c>
      <c r="I1293">
        <v>2</v>
      </c>
      <c r="J1293" t="s">
        <v>34</v>
      </c>
      <c r="K1293">
        <v>128</v>
      </c>
      <c r="L1293">
        <v>599</v>
      </c>
      <c r="M1293">
        <v>1031</v>
      </c>
      <c r="N1293">
        <v>133</v>
      </c>
      <c r="O1293">
        <v>6</v>
      </c>
      <c r="P1293">
        <v>105</v>
      </c>
      <c r="Q1293">
        <v>128</v>
      </c>
      <c r="R1293">
        <v>55</v>
      </c>
      <c r="S1293">
        <v>917</v>
      </c>
      <c r="T1293" t="s">
        <v>31</v>
      </c>
      <c r="U1293" t="s">
        <v>31</v>
      </c>
      <c r="V1293" t="s">
        <v>31</v>
      </c>
      <c r="W1293" t="s">
        <v>31</v>
      </c>
      <c r="X1293" t="s">
        <v>31</v>
      </c>
      <c r="Y1293" t="s">
        <v>31</v>
      </c>
    </row>
    <row r="1294" spans="1:25" hidden="1">
      <c r="A1294" t="s">
        <v>25</v>
      </c>
      <c r="B1294" t="s">
        <v>26</v>
      </c>
      <c r="C1294" t="s">
        <v>53</v>
      </c>
      <c r="D1294" s="1">
        <v>43688</v>
      </c>
      <c r="E1294" s="2">
        <v>0.66666666666666663</v>
      </c>
      <c r="F1294" t="s">
        <v>52</v>
      </c>
      <c r="G1294" t="s">
        <v>28</v>
      </c>
      <c r="H1294">
        <v>1</v>
      </c>
      <c r="I1294">
        <v>0</v>
      </c>
      <c r="J1294" t="s">
        <v>34</v>
      </c>
      <c r="K1294">
        <v>394</v>
      </c>
      <c r="L1294">
        <v>422</v>
      </c>
      <c r="M1294">
        <v>183</v>
      </c>
      <c r="N1294">
        <v>433</v>
      </c>
      <c r="O1294">
        <v>422</v>
      </c>
      <c r="P1294">
        <v>185</v>
      </c>
      <c r="Q1294">
        <v>386</v>
      </c>
      <c r="R1294">
        <v>387</v>
      </c>
      <c r="S1294">
        <v>181</v>
      </c>
      <c r="T1294" t="s">
        <v>31</v>
      </c>
      <c r="U1294" t="s">
        <v>31</v>
      </c>
      <c r="V1294" t="s">
        <v>31</v>
      </c>
      <c r="W1294" t="s">
        <v>31</v>
      </c>
      <c r="X1294" t="s">
        <v>31</v>
      </c>
      <c r="Y1294" t="s">
        <v>31</v>
      </c>
    </row>
    <row r="1295" spans="1:25" hidden="1">
      <c r="A1295" t="s">
        <v>25</v>
      </c>
      <c r="B1295" t="s">
        <v>26</v>
      </c>
      <c r="C1295" t="s">
        <v>53</v>
      </c>
      <c r="D1295" s="1">
        <v>43688</v>
      </c>
      <c r="E1295" s="2">
        <v>0.66666666666666663</v>
      </c>
      <c r="F1295" t="s">
        <v>32</v>
      </c>
      <c r="G1295" t="s">
        <v>40</v>
      </c>
      <c r="H1295">
        <v>1</v>
      </c>
      <c r="I1295">
        <v>5</v>
      </c>
      <c r="J1295" t="s">
        <v>30</v>
      </c>
      <c r="K1295">
        <v>274</v>
      </c>
      <c r="L1295">
        <v>349</v>
      </c>
      <c r="M1295">
        <v>261</v>
      </c>
      <c r="N1295">
        <v>276</v>
      </c>
      <c r="O1295">
        <v>35</v>
      </c>
      <c r="P1295">
        <v>271</v>
      </c>
      <c r="Q1295">
        <v>265</v>
      </c>
      <c r="R1295">
        <v>332</v>
      </c>
      <c r="S1295">
        <v>255</v>
      </c>
      <c r="T1295" t="s">
        <v>31</v>
      </c>
      <c r="U1295" t="s">
        <v>31</v>
      </c>
      <c r="V1295" t="s">
        <v>31</v>
      </c>
      <c r="W1295" t="s">
        <v>31</v>
      </c>
      <c r="X1295" t="s">
        <v>31</v>
      </c>
      <c r="Y1295" t="s">
        <v>31</v>
      </c>
    </row>
    <row r="1296" spans="1:25" hidden="1">
      <c r="A1296" t="s">
        <v>25</v>
      </c>
      <c r="B1296" t="s">
        <v>26</v>
      </c>
      <c r="C1296" t="s">
        <v>53</v>
      </c>
      <c r="D1296" s="1">
        <v>43688</v>
      </c>
      <c r="E1296" s="2">
        <v>0.66666666666666663</v>
      </c>
      <c r="F1296" t="s">
        <v>54</v>
      </c>
      <c r="G1296" t="s">
        <v>48</v>
      </c>
      <c r="H1296">
        <v>1</v>
      </c>
      <c r="I1296">
        <v>1</v>
      </c>
      <c r="J1296" t="s">
        <v>41</v>
      </c>
      <c r="K1296">
        <v>206</v>
      </c>
      <c r="L1296">
        <v>386</v>
      </c>
      <c r="M1296">
        <v>345</v>
      </c>
      <c r="N1296">
        <v>208</v>
      </c>
      <c r="O1296">
        <v>386</v>
      </c>
      <c r="P1296">
        <v>355</v>
      </c>
      <c r="Q1296">
        <v>203</v>
      </c>
      <c r="R1296">
        <v>359</v>
      </c>
      <c r="S1296">
        <v>334</v>
      </c>
      <c r="T1296" t="s">
        <v>31</v>
      </c>
      <c r="U1296" t="s">
        <v>31</v>
      </c>
      <c r="V1296" t="s">
        <v>31</v>
      </c>
      <c r="W1296" t="s">
        <v>31</v>
      </c>
      <c r="X1296" t="s">
        <v>31</v>
      </c>
      <c r="Y1296" t="s">
        <v>31</v>
      </c>
    </row>
    <row r="1297" spans="1:25" hidden="1">
      <c r="A1297" t="s">
        <v>25</v>
      </c>
      <c r="B1297" t="s">
        <v>26</v>
      </c>
      <c r="C1297" t="s">
        <v>53</v>
      </c>
      <c r="D1297" s="1">
        <v>43694</v>
      </c>
      <c r="E1297" s="2">
        <v>0.66666666666666663</v>
      </c>
      <c r="F1297" t="s">
        <v>39</v>
      </c>
      <c r="G1297" t="s">
        <v>32</v>
      </c>
      <c r="H1297">
        <v>5</v>
      </c>
      <c r="I1297">
        <v>0</v>
      </c>
      <c r="J1297" t="s">
        <v>34</v>
      </c>
      <c r="K1297">
        <v>14</v>
      </c>
      <c r="L1297">
        <v>512</v>
      </c>
      <c r="M1297">
        <v>773</v>
      </c>
      <c r="N1297">
        <v>143</v>
      </c>
      <c r="O1297">
        <v>512</v>
      </c>
      <c r="P1297">
        <v>84</v>
      </c>
      <c r="Q1297">
        <v>137</v>
      </c>
      <c r="R1297">
        <v>476</v>
      </c>
      <c r="S1297">
        <v>735</v>
      </c>
      <c r="T1297" t="s">
        <v>31</v>
      </c>
      <c r="U1297" t="s">
        <v>31</v>
      </c>
      <c r="V1297" t="s">
        <v>31</v>
      </c>
      <c r="W1297" t="s">
        <v>31</v>
      </c>
      <c r="X1297" t="s">
        <v>31</v>
      </c>
      <c r="Y1297" t="s">
        <v>31</v>
      </c>
    </row>
    <row r="1298" spans="1:25" hidden="1">
      <c r="A1298" t="s">
        <v>25</v>
      </c>
      <c r="B1298" t="s">
        <v>26</v>
      </c>
      <c r="C1298" t="s">
        <v>53</v>
      </c>
      <c r="D1298" s="1">
        <v>43694</v>
      </c>
      <c r="E1298" s="2">
        <v>0.66666666666666663</v>
      </c>
      <c r="F1298" t="s">
        <v>50</v>
      </c>
      <c r="G1298" t="s">
        <v>54</v>
      </c>
      <c r="H1298">
        <v>1</v>
      </c>
      <c r="I1298">
        <v>1</v>
      </c>
      <c r="J1298" t="s">
        <v>41</v>
      </c>
      <c r="K1298">
        <v>148</v>
      </c>
      <c r="L1298">
        <v>467</v>
      </c>
      <c r="M1298">
        <v>662</v>
      </c>
      <c r="N1298">
        <v>15</v>
      </c>
      <c r="O1298">
        <v>477</v>
      </c>
      <c r="P1298">
        <v>75</v>
      </c>
      <c r="Q1298">
        <v>143</v>
      </c>
      <c r="R1298">
        <v>45</v>
      </c>
      <c r="S1298">
        <v>666</v>
      </c>
      <c r="T1298" t="s">
        <v>31</v>
      </c>
      <c r="U1298" t="s">
        <v>31</v>
      </c>
      <c r="V1298" t="s">
        <v>31</v>
      </c>
      <c r="W1298" t="s">
        <v>31</v>
      </c>
      <c r="X1298" t="s">
        <v>31</v>
      </c>
      <c r="Y1298" t="s">
        <v>31</v>
      </c>
    </row>
    <row r="1299" spans="1:25" hidden="1">
      <c r="A1299" t="s">
        <v>25</v>
      </c>
      <c r="B1299" t="s">
        <v>26</v>
      </c>
      <c r="C1299" t="s">
        <v>53</v>
      </c>
      <c r="D1299" s="1">
        <v>43694</v>
      </c>
      <c r="E1299" s="2">
        <v>0.66666666666666663</v>
      </c>
      <c r="F1299" t="s">
        <v>48</v>
      </c>
      <c r="G1299" t="s">
        <v>29</v>
      </c>
      <c r="H1299">
        <v>0</v>
      </c>
      <c r="I1299">
        <v>6</v>
      </c>
      <c r="J1299" t="s">
        <v>30</v>
      </c>
      <c r="K1299">
        <v>1585</v>
      </c>
      <c r="L1299">
        <v>892</v>
      </c>
      <c r="M1299">
        <v>116</v>
      </c>
      <c r="N1299">
        <v>21</v>
      </c>
      <c r="O1299">
        <v>9</v>
      </c>
      <c r="P1299">
        <v>117</v>
      </c>
      <c r="Q1299">
        <v>1562</v>
      </c>
      <c r="R1299">
        <v>783</v>
      </c>
      <c r="S1299">
        <v>114</v>
      </c>
      <c r="T1299" t="s">
        <v>31</v>
      </c>
      <c r="U1299" t="s">
        <v>31</v>
      </c>
      <c r="V1299" t="s">
        <v>31</v>
      </c>
      <c r="W1299" t="s">
        <v>31</v>
      </c>
      <c r="X1299" t="s">
        <v>31</v>
      </c>
      <c r="Y1299" t="s">
        <v>31</v>
      </c>
    </row>
    <row r="1300" spans="1:25" hidden="1">
      <c r="A1300" t="s">
        <v>25</v>
      </c>
      <c r="B1300" t="s">
        <v>26</v>
      </c>
      <c r="C1300" t="s">
        <v>53</v>
      </c>
      <c r="D1300" s="1">
        <v>43695</v>
      </c>
      <c r="E1300" s="2">
        <v>0.66666666666666663</v>
      </c>
      <c r="F1300" t="s">
        <v>45</v>
      </c>
      <c r="G1300" t="s">
        <v>52</v>
      </c>
      <c r="H1300">
        <v>3</v>
      </c>
      <c r="I1300">
        <v>3</v>
      </c>
      <c r="J1300" t="s">
        <v>41</v>
      </c>
      <c r="K1300">
        <v>154</v>
      </c>
      <c r="L1300">
        <v>465</v>
      </c>
      <c r="M1300">
        <v>574</v>
      </c>
      <c r="N1300">
        <v>16</v>
      </c>
      <c r="O1300">
        <v>465</v>
      </c>
      <c r="P1300">
        <v>6</v>
      </c>
      <c r="Q1300">
        <v>153</v>
      </c>
      <c r="R1300">
        <v>427</v>
      </c>
      <c r="S1300">
        <v>541</v>
      </c>
      <c r="T1300" t="s">
        <v>31</v>
      </c>
      <c r="U1300" t="s">
        <v>31</v>
      </c>
      <c r="V1300" t="s">
        <v>31</v>
      </c>
      <c r="W1300" t="s">
        <v>31</v>
      </c>
      <c r="X1300" t="s">
        <v>31</v>
      </c>
      <c r="Y1300" t="s">
        <v>31</v>
      </c>
    </row>
    <row r="1301" spans="1:25" hidden="1">
      <c r="A1301" t="s">
        <v>25</v>
      </c>
      <c r="B1301" t="s">
        <v>26</v>
      </c>
      <c r="C1301" t="s">
        <v>53</v>
      </c>
      <c r="D1301" s="1">
        <v>43695</v>
      </c>
      <c r="E1301" s="2">
        <v>0.66666666666666663</v>
      </c>
      <c r="F1301" t="s">
        <v>40</v>
      </c>
      <c r="G1301" t="s">
        <v>37</v>
      </c>
      <c r="H1301">
        <v>1</v>
      </c>
      <c r="I1301">
        <v>1</v>
      </c>
      <c r="J1301" t="s">
        <v>41</v>
      </c>
      <c r="K1301">
        <v>172</v>
      </c>
      <c r="L1301">
        <v>386</v>
      </c>
      <c r="M1301">
        <v>504</v>
      </c>
      <c r="N1301">
        <v>175</v>
      </c>
      <c r="O1301">
        <v>41</v>
      </c>
      <c r="P1301">
        <v>504</v>
      </c>
      <c r="Q1301">
        <v>169</v>
      </c>
      <c r="R1301">
        <v>381</v>
      </c>
      <c r="S1301">
        <v>462</v>
      </c>
      <c r="T1301" t="s">
        <v>31</v>
      </c>
      <c r="U1301" t="s">
        <v>31</v>
      </c>
      <c r="V1301" t="s">
        <v>31</v>
      </c>
      <c r="W1301" t="s">
        <v>31</v>
      </c>
      <c r="X1301" t="s">
        <v>31</v>
      </c>
      <c r="Y1301" t="s">
        <v>31</v>
      </c>
    </row>
    <row r="1302" spans="1:25" hidden="1">
      <c r="A1302" t="s">
        <v>25</v>
      </c>
      <c r="B1302" t="s">
        <v>26</v>
      </c>
      <c r="C1302" t="s">
        <v>53</v>
      </c>
      <c r="D1302" s="1">
        <v>43695</v>
      </c>
      <c r="E1302" s="2">
        <v>0.66666666666666663</v>
      </c>
      <c r="F1302" t="s">
        <v>28</v>
      </c>
      <c r="G1302" t="s">
        <v>35</v>
      </c>
      <c r="H1302">
        <v>0</v>
      </c>
      <c r="I1302">
        <v>1</v>
      </c>
      <c r="J1302" t="s">
        <v>30</v>
      </c>
      <c r="K1302">
        <v>275</v>
      </c>
      <c r="L1302">
        <v>363</v>
      </c>
      <c r="M1302">
        <v>253</v>
      </c>
      <c r="N1302">
        <v>276</v>
      </c>
      <c r="O1302">
        <v>363</v>
      </c>
      <c r="P1302">
        <v>26</v>
      </c>
      <c r="Q1302">
        <v>266</v>
      </c>
      <c r="R1302">
        <v>342</v>
      </c>
      <c r="S1302">
        <v>248</v>
      </c>
      <c r="T1302" t="s">
        <v>31</v>
      </c>
      <c r="U1302" t="s">
        <v>31</v>
      </c>
      <c r="V1302" t="s">
        <v>31</v>
      </c>
      <c r="W1302" t="s">
        <v>31</v>
      </c>
      <c r="X1302" t="s">
        <v>31</v>
      </c>
      <c r="Y1302" t="s">
        <v>31</v>
      </c>
    </row>
    <row r="1303" spans="1:25" hidden="1">
      <c r="A1303" t="s">
        <v>25</v>
      </c>
      <c r="B1303" t="s">
        <v>26</v>
      </c>
      <c r="C1303" t="s">
        <v>53</v>
      </c>
      <c r="D1303" s="1">
        <v>43701</v>
      </c>
      <c r="E1303" s="2">
        <v>0.66666666666666663</v>
      </c>
      <c r="F1303" t="s">
        <v>39</v>
      </c>
      <c r="G1303" t="s">
        <v>45</v>
      </c>
      <c r="H1303">
        <v>5</v>
      </c>
      <c r="I1303">
        <v>2</v>
      </c>
      <c r="J1303" t="s">
        <v>34</v>
      </c>
      <c r="K1303">
        <v>178</v>
      </c>
      <c r="L1303">
        <v>408</v>
      </c>
      <c r="M1303">
        <v>436</v>
      </c>
      <c r="N1303">
        <v>187</v>
      </c>
      <c r="O1303">
        <v>408</v>
      </c>
      <c r="P1303">
        <v>44</v>
      </c>
      <c r="Q1303">
        <v>177</v>
      </c>
      <c r="R1303">
        <v>383</v>
      </c>
      <c r="S1303">
        <v>409</v>
      </c>
      <c r="T1303" t="s">
        <v>31</v>
      </c>
      <c r="U1303" t="s">
        <v>31</v>
      </c>
      <c r="V1303" t="s">
        <v>31</v>
      </c>
      <c r="W1303" t="s">
        <v>31</v>
      </c>
      <c r="X1303" t="s">
        <v>31</v>
      </c>
      <c r="Y1303" t="s">
        <v>31</v>
      </c>
    </row>
    <row r="1304" spans="1:25" hidden="1">
      <c r="A1304" t="s">
        <v>25</v>
      </c>
      <c r="B1304" t="s">
        <v>26</v>
      </c>
      <c r="C1304" t="s">
        <v>53</v>
      </c>
      <c r="D1304" s="1">
        <v>43701</v>
      </c>
      <c r="E1304" s="2">
        <v>0.66666666666666663</v>
      </c>
      <c r="F1304" t="s">
        <v>32</v>
      </c>
      <c r="G1304" t="s">
        <v>48</v>
      </c>
      <c r="H1304">
        <v>0</v>
      </c>
      <c r="I1304">
        <v>1</v>
      </c>
      <c r="J1304" t="s">
        <v>30</v>
      </c>
      <c r="K1304">
        <v>227</v>
      </c>
      <c r="L1304">
        <v>354</v>
      </c>
      <c r="M1304">
        <v>321</v>
      </c>
      <c r="N1304">
        <v>245</v>
      </c>
      <c r="O1304">
        <v>37</v>
      </c>
      <c r="P1304">
        <v>321</v>
      </c>
      <c r="Q1304">
        <v>225</v>
      </c>
      <c r="R1304">
        <v>345</v>
      </c>
      <c r="S1304">
        <v>297</v>
      </c>
      <c r="T1304" t="s">
        <v>31</v>
      </c>
      <c r="U1304" t="s">
        <v>31</v>
      </c>
      <c r="V1304" t="s">
        <v>31</v>
      </c>
      <c r="W1304" t="s">
        <v>31</v>
      </c>
      <c r="X1304" t="s">
        <v>31</v>
      </c>
      <c r="Y1304" t="s">
        <v>31</v>
      </c>
    </row>
    <row r="1305" spans="1:25" hidden="1">
      <c r="A1305" t="s">
        <v>25</v>
      </c>
      <c r="B1305" t="s">
        <v>26</v>
      </c>
      <c r="C1305" t="s">
        <v>53</v>
      </c>
      <c r="D1305" s="1">
        <v>43701</v>
      </c>
      <c r="E1305" s="2">
        <v>0.66666666666666663</v>
      </c>
      <c r="F1305" t="s">
        <v>35</v>
      </c>
      <c r="G1305" t="s">
        <v>50</v>
      </c>
      <c r="H1305">
        <v>1</v>
      </c>
      <c r="I1305">
        <v>2</v>
      </c>
      <c r="J1305" t="s">
        <v>30</v>
      </c>
      <c r="K1305">
        <v>24</v>
      </c>
      <c r="L1305">
        <v>36</v>
      </c>
      <c r="M1305">
        <v>294</v>
      </c>
      <c r="N1305">
        <v>246</v>
      </c>
      <c r="O1305">
        <v>37</v>
      </c>
      <c r="P1305">
        <v>4</v>
      </c>
      <c r="Q1305">
        <v>236</v>
      </c>
      <c r="R1305">
        <v>338</v>
      </c>
      <c r="S1305">
        <v>286</v>
      </c>
      <c r="T1305" t="s">
        <v>31</v>
      </c>
      <c r="U1305" t="s">
        <v>31</v>
      </c>
      <c r="V1305" t="s">
        <v>31</v>
      </c>
      <c r="W1305" t="s">
        <v>31</v>
      </c>
      <c r="X1305" t="s">
        <v>31</v>
      </c>
      <c r="Y1305" t="s">
        <v>31</v>
      </c>
    </row>
    <row r="1306" spans="1:25" hidden="1">
      <c r="A1306" t="s">
        <v>25</v>
      </c>
      <c r="B1306" t="s">
        <v>26</v>
      </c>
      <c r="C1306" t="s">
        <v>53</v>
      </c>
      <c r="D1306" s="1">
        <v>43702</v>
      </c>
      <c r="E1306" s="2">
        <v>0.66666666666666663</v>
      </c>
      <c r="F1306" t="s">
        <v>52</v>
      </c>
      <c r="G1306" t="s">
        <v>40</v>
      </c>
      <c r="H1306">
        <v>2</v>
      </c>
      <c r="I1306">
        <v>2</v>
      </c>
      <c r="J1306" t="s">
        <v>41</v>
      </c>
      <c r="K1306">
        <v>31</v>
      </c>
      <c r="L1306">
        <v>384</v>
      </c>
      <c r="M1306">
        <v>221</v>
      </c>
      <c r="N1306">
        <v>32</v>
      </c>
      <c r="O1306">
        <v>385</v>
      </c>
      <c r="P1306">
        <v>23</v>
      </c>
      <c r="Q1306">
        <v>296</v>
      </c>
      <c r="R1306">
        <v>364</v>
      </c>
      <c r="S1306">
        <v>218</v>
      </c>
      <c r="T1306" t="s">
        <v>31</v>
      </c>
      <c r="U1306" t="s">
        <v>31</v>
      </c>
      <c r="V1306" t="s">
        <v>31</v>
      </c>
      <c r="W1306" t="s">
        <v>31</v>
      </c>
      <c r="X1306" t="s">
        <v>31</v>
      </c>
      <c r="Y1306" t="s">
        <v>31</v>
      </c>
    </row>
    <row r="1307" spans="1:25" hidden="1">
      <c r="A1307" t="s">
        <v>25</v>
      </c>
      <c r="B1307" t="s">
        <v>26</v>
      </c>
      <c r="C1307" t="s">
        <v>53</v>
      </c>
      <c r="D1307" s="1">
        <v>43702</v>
      </c>
      <c r="E1307" s="2">
        <v>0.66666666666666663</v>
      </c>
      <c r="F1307" t="s">
        <v>29</v>
      </c>
      <c r="G1307" t="s">
        <v>37</v>
      </c>
      <c r="H1307">
        <v>5</v>
      </c>
      <c r="I1307">
        <v>0</v>
      </c>
      <c r="J1307" t="s">
        <v>34</v>
      </c>
      <c r="K1307">
        <v>105</v>
      </c>
      <c r="L1307">
        <v>1619</v>
      </c>
      <c r="M1307">
        <v>5037</v>
      </c>
      <c r="N1307">
        <v>107</v>
      </c>
      <c r="O1307">
        <v>145</v>
      </c>
      <c r="P1307">
        <v>50</v>
      </c>
      <c r="Q1307">
        <v>105</v>
      </c>
      <c r="R1307">
        <v>1234</v>
      </c>
      <c r="S1307">
        <v>2969</v>
      </c>
      <c r="T1307" t="s">
        <v>31</v>
      </c>
      <c r="U1307" t="s">
        <v>31</v>
      </c>
      <c r="V1307" t="s">
        <v>31</v>
      </c>
      <c r="W1307" t="s">
        <v>31</v>
      </c>
      <c r="X1307" t="s">
        <v>31</v>
      </c>
      <c r="Y1307" t="s">
        <v>31</v>
      </c>
    </row>
    <row r="1308" spans="1:25" hidden="1">
      <c r="A1308" t="s">
        <v>25</v>
      </c>
      <c r="B1308" t="s">
        <v>26</v>
      </c>
      <c r="C1308" t="s">
        <v>53</v>
      </c>
      <c r="D1308" s="1">
        <v>43702</v>
      </c>
      <c r="E1308" s="2">
        <v>0.66666666666666663</v>
      </c>
      <c r="F1308" t="s">
        <v>28</v>
      </c>
      <c r="G1308" t="s">
        <v>54</v>
      </c>
      <c r="H1308">
        <v>2</v>
      </c>
      <c r="I1308">
        <v>0</v>
      </c>
      <c r="J1308" t="s">
        <v>34</v>
      </c>
      <c r="K1308">
        <v>168</v>
      </c>
      <c r="L1308">
        <v>406</v>
      </c>
      <c r="M1308">
        <v>507</v>
      </c>
      <c r="N1308">
        <v>175</v>
      </c>
      <c r="O1308">
        <v>406</v>
      </c>
      <c r="P1308">
        <v>51</v>
      </c>
      <c r="Q1308">
        <v>168</v>
      </c>
      <c r="R1308">
        <v>378</v>
      </c>
      <c r="S1308">
        <v>471</v>
      </c>
      <c r="T1308" t="s">
        <v>31</v>
      </c>
      <c r="U1308" t="s">
        <v>31</v>
      </c>
      <c r="V1308" t="s">
        <v>31</v>
      </c>
      <c r="W1308" t="s">
        <v>31</v>
      </c>
      <c r="X1308" t="s">
        <v>31</v>
      </c>
      <c r="Y1308" t="s">
        <v>31</v>
      </c>
    </row>
    <row r="1309" spans="1:25" hidden="1">
      <c r="A1309" t="s">
        <v>25</v>
      </c>
      <c r="B1309" t="s">
        <v>26</v>
      </c>
      <c r="C1309" t="s">
        <v>53</v>
      </c>
      <c r="D1309" s="1">
        <v>43708</v>
      </c>
      <c r="E1309" s="2">
        <v>0.66666666666666663</v>
      </c>
      <c r="F1309" t="s">
        <v>37</v>
      </c>
      <c r="G1309" t="s">
        <v>32</v>
      </c>
      <c r="H1309">
        <v>1</v>
      </c>
      <c r="I1309">
        <v>3</v>
      </c>
      <c r="J1309" t="s">
        <v>30</v>
      </c>
      <c r="K1309">
        <v>233</v>
      </c>
      <c r="L1309">
        <v>364</v>
      </c>
      <c r="M1309">
        <v>302</v>
      </c>
      <c r="N1309">
        <v>233</v>
      </c>
      <c r="O1309">
        <v>364</v>
      </c>
      <c r="P1309">
        <v>314</v>
      </c>
      <c r="Q1309">
        <v>223</v>
      </c>
      <c r="R1309">
        <v>346</v>
      </c>
      <c r="S1309">
        <v>301</v>
      </c>
      <c r="T1309" t="s">
        <v>31</v>
      </c>
      <c r="U1309" t="s">
        <v>31</v>
      </c>
      <c r="V1309" t="s">
        <v>31</v>
      </c>
      <c r="W1309" t="s">
        <v>31</v>
      </c>
      <c r="X1309" t="s">
        <v>31</v>
      </c>
      <c r="Y1309" t="s">
        <v>31</v>
      </c>
    </row>
    <row r="1310" spans="1:25" hidden="1">
      <c r="A1310" t="s">
        <v>25</v>
      </c>
      <c r="B1310" t="s">
        <v>26</v>
      </c>
      <c r="C1310" t="s">
        <v>53</v>
      </c>
      <c r="D1310" s="1">
        <v>43708</v>
      </c>
      <c r="E1310" s="2">
        <v>0.66666666666666663</v>
      </c>
      <c r="F1310" t="s">
        <v>50</v>
      </c>
      <c r="G1310" t="s">
        <v>39</v>
      </c>
      <c r="H1310">
        <v>0</v>
      </c>
      <c r="I1310">
        <v>1</v>
      </c>
      <c r="J1310" t="s">
        <v>30</v>
      </c>
      <c r="K1310">
        <v>193</v>
      </c>
      <c r="L1310">
        <v>379</v>
      </c>
      <c r="M1310">
        <v>396</v>
      </c>
      <c r="N1310">
        <v>2</v>
      </c>
      <c r="O1310">
        <v>379</v>
      </c>
      <c r="P1310">
        <v>405</v>
      </c>
      <c r="Q1310">
        <v>19</v>
      </c>
      <c r="R1310">
        <v>358</v>
      </c>
      <c r="S1310">
        <v>38</v>
      </c>
      <c r="T1310" t="s">
        <v>31</v>
      </c>
      <c r="U1310" t="s">
        <v>31</v>
      </c>
      <c r="V1310" t="s">
        <v>31</v>
      </c>
      <c r="W1310" t="s">
        <v>31</v>
      </c>
      <c r="X1310" t="s">
        <v>31</v>
      </c>
      <c r="Y1310" t="s">
        <v>31</v>
      </c>
    </row>
    <row r="1311" spans="1:25" hidden="1">
      <c r="A1311" t="s">
        <v>25</v>
      </c>
      <c r="B1311" t="s">
        <v>26</v>
      </c>
      <c r="C1311" t="s">
        <v>53</v>
      </c>
      <c r="D1311" s="1">
        <v>43708</v>
      </c>
      <c r="E1311" s="2">
        <v>0.66666666666666663</v>
      </c>
      <c r="F1311" t="s">
        <v>54</v>
      </c>
      <c r="G1311" t="s">
        <v>29</v>
      </c>
      <c r="H1311">
        <v>1</v>
      </c>
      <c r="I1311">
        <v>5</v>
      </c>
      <c r="J1311" t="s">
        <v>30</v>
      </c>
      <c r="K1311">
        <v>1355</v>
      </c>
      <c r="L1311">
        <v>823</v>
      </c>
      <c r="M1311">
        <v>115</v>
      </c>
      <c r="N1311">
        <v>40</v>
      </c>
      <c r="O1311">
        <v>12</v>
      </c>
      <c r="P1311">
        <v>12</v>
      </c>
      <c r="Q1311">
        <v>1397</v>
      </c>
      <c r="R1311">
        <v>824</v>
      </c>
      <c r="S1311">
        <v>115</v>
      </c>
      <c r="T1311" t="s">
        <v>31</v>
      </c>
      <c r="U1311" t="s">
        <v>31</v>
      </c>
      <c r="V1311" t="s">
        <v>31</v>
      </c>
      <c r="W1311" t="s">
        <v>31</v>
      </c>
      <c r="X1311" t="s">
        <v>31</v>
      </c>
      <c r="Y1311" t="s">
        <v>31</v>
      </c>
    </row>
    <row r="1312" spans="1:25" hidden="1">
      <c r="A1312" t="s">
        <v>25</v>
      </c>
      <c r="B1312" t="s">
        <v>26</v>
      </c>
      <c r="C1312" t="s">
        <v>53</v>
      </c>
      <c r="D1312" s="1">
        <v>43709</v>
      </c>
      <c r="E1312" s="2">
        <v>0.66666666666666663</v>
      </c>
      <c r="F1312" t="s">
        <v>45</v>
      </c>
      <c r="G1312" t="s">
        <v>28</v>
      </c>
      <c r="H1312">
        <v>1</v>
      </c>
      <c r="I1312">
        <v>2</v>
      </c>
      <c r="J1312" t="s">
        <v>30</v>
      </c>
      <c r="K1312">
        <v>283</v>
      </c>
      <c r="L1312">
        <v>34</v>
      </c>
      <c r="M1312">
        <v>258</v>
      </c>
      <c r="N1312">
        <v>3</v>
      </c>
      <c r="O1312">
        <v>346</v>
      </c>
      <c r="P1312">
        <v>265</v>
      </c>
      <c r="Q1312">
        <v>275</v>
      </c>
      <c r="R1312">
        <v>329</v>
      </c>
      <c r="S1312">
        <v>248</v>
      </c>
      <c r="T1312" t="s">
        <v>31</v>
      </c>
      <c r="U1312" t="s">
        <v>31</v>
      </c>
      <c r="V1312" t="s">
        <v>31</v>
      </c>
      <c r="W1312" t="s">
        <v>31</v>
      </c>
      <c r="X1312" t="s">
        <v>31</v>
      </c>
      <c r="Y1312" t="s">
        <v>31</v>
      </c>
    </row>
    <row r="1313" spans="1:25" hidden="1">
      <c r="A1313" t="s">
        <v>25</v>
      </c>
      <c r="B1313" t="s">
        <v>26</v>
      </c>
      <c r="C1313" t="s">
        <v>53</v>
      </c>
      <c r="D1313" s="1">
        <v>43709</v>
      </c>
      <c r="E1313" s="2">
        <v>0.66666666666666663</v>
      </c>
      <c r="F1313" t="s">
        <v>40</v>
      </c>
      <c r="G1313" t="s">
        <v>35</v>
      </c>
      <c r="H1313">
        <v>1</v>
      </c>
      <c r="I1313">
        <v>3</v>
      </c>
      <c r="J1313" t="s">
        <v>30</v>
      </c>
      <c r="K1313">
        <v>277</v>
      </c>
      <c r="L1313">
        <v>402</v>
      </c>
      <c r="M1313">
        <v>235</v>
      </c>
      <c r="N1313">
        <v>29</v>
      </c>
      <c r="O1313">
        <v>402</v>
      </c>
      <c r="P1313">
        <v>25</v>
      </c>
      <c r="Q1313">
        <v>273</v>
      </c>
      <c r="R1313">
        <v>371</v>
      </c>
      <c r="S1313">
        <v>231</v>
      </c>
      <c r="T1313" t="s">
        <v>31</v>
      </c>
      <c r="U1313" t="s">
        <v>31</v>
      </c>
      <c r="V1313" t="s">
        <v>31</v>
      </c>
      <c r="W1313" t="s">
        <v>31</v>
      </c>
      <c r="X1313" t="s">
        <v>31</v>
      </c>
      <c r="Y1313" t="s">
        <v>31</v>
      </c>
    </row>
    <row r="1314" spans="1:25" hidden="1">
      <c r="A1314" t="s">
        <v>25</v>
      </c>
      <c r="B1314" t="s">
        <v>26</v>
      </c>
      <c r="C1314" t="s">
        <v>53</v>
      </c>
      <c r="D1314" s="1">
        <v>43709</v>
      </c>
      <c r="E1314" s="2">
        <v>0.66666666666666663</v>
      </c>
      <c r="F1314" t="s">
        <v>48</v>
      </c>
      <c r="G1314" t="s">
        <v>52</v>
      </c>
      <c r="H1314">
        <v>1</v>
      </c>
      <c r="I1314">
        <v>3</v>
      </c>
      <c r="J1314" t="s">
        <v>30</v>
      </c>
      <c r="K1314">
        <v>228</v>
      </c>
      <c r="L1314">
        <v>374</v>
      </c>
      <c r="M1314">
        <v>304</v>
      </c>
      <c r="N1314">
        <v>231</v>
      </c>
      <c r="O1314">
        <v>376</v>
      </c>
      <c r="P1314">
        <v>33</v>
      </c>
      <c r="Q1314">
        <v>221</v>
      </c>
      <c r="R1314">
        <v>356</v>
      </c>
      <c r="S1314">
        <v>297</v>
      </c>
      <c r="T1314" t="s">
        <v>31</v>
      </c>
      <c r="U1314" t="s">
        <v>31</v>
      </c>
      <c r="V1314" t="s">
        <v>31</v>
      </c>
      <c r="W1314" t="s">
        <v>31</v>
      </c>
      <c r="X1314" t="s">
        <v>31</v>
      </c>
      <c r="Y1314" t="s">
        <v>31</v>
      </c>
    </row>
    <row r="1315" spans="1:25" hidden="1">
      <c r="A1315" t="s">
        <v>25</v>
      </c>
      <c r="B1315" t="s">
        <v>26</v>
      </c>
      <c r="C1315" t="s">
        <v>53</v>
      </c>
      <c r="D1315" s="1">
        <v>43722</v>
      </c>
      <c r="E1315" s="2">
        <v>0.66666666666666663</v>
      </c>
      <c r="F1315" t="s">
        <v>32</v>
      </c>
      <c r="G1315" t="s">
        <v>54</v>
      </c>
      <c r="H1315">
        <v>0</v>
      </c>
      <c r="I1315">
        <v>2</v>
      </c>
      <c r="J1315" t="s">
        <v>30</v>
      </c>
      <c r="K1315">
        <v>229</v>
      </c>
      <c r="L1315">
        <v>375</v>
      </c>
      <c r="M1315">
        <v>302</v>
      </c>
      <c r="N1315">
        <v>231</v>
      </c>
      <c r="O1315">
        <v>375</v>
      </c>
      <c r="P1315">
        <v>325</v>
      </c>
      <c r="Q1315">
        <v>224</v>
      </c>
      <c r="R1315">
        <v>353</v>
      </c>
      <c r="S1315">
        <v>293</v>
      </c>
      <c r="T1315" t="s">
        <v>31</v>
      </c>
      <c r="U1315" t="s">
        <v>31</v>
      </c>
      <c r="V1315" t="s">
        <v>31</v>
      </c>
      <c r="W1315" t="s">
        <v>31</v>
      </c>
      <c r="X1315" t="s">
        <v>31</v>
      </c>
      <c r="Y1315" t="s">
        <v>31</v>
      </c>
    </row>
    <row r="1316" spans="1:25" hidden="1">
      <c r="A1316" t="s">
        <v>25</v>
      </c>
      <c r="B1316" t="s">
        <v>26</v>
      </c>
      <c r="C1316" t="s">
        <v>53</v>
      </c>
      <c r="D1316" s="1">
        <v>43722</v>
      </c>
      <c r="E1316" s="2">
        <v>0.66666666666666663</v>
      </c>
      <c r="F1316" t="s">
        <v>29</v>
      </c>
      <c r="G1316" t="s">
        <v>52</v>
      </c>
      <c r="H1316">
        <v>7</v>
      </c>
      <c r="I1316">
        <v>2</v>
      </c>
      <c r="J1316" t="s">
        <v>34</v>
      </c>
      <c r="K1316">
        <v>105</v>
      </c>
      <c r="L1316">
        <v>1798</v>
      </c>
      <c r="M1316">
        <v>2472</v>
      </c>
      <c r="N1316">
        <v>107</v>
      </c>
      <c r="O1316">
        <v>1804</v>
      </c>
      <c r="P1316">
        <v>34</v>
      </c>
      <c r="Q1316">
        <v>105</v>
      </c>
      <c r="R1316">
        <v>1297</v>
      </c>
      <c r="S1316">
        <v>248</v>
      </c>
      <c r="T1316" t="s">
        <v>31</v>
      </c>
      <c r="U1316" t="s">
        <v>31</v>
      </c>
      <c r="V1316" t="s">
        <v>31</v>
      </c>
      <c r="W1316" t="s">
        <v>31</v>
      </c>
      <c r="X1316" t="s">
        <v>31</v>
      </c>
      <c r="Y1316" t="s">
        <v>31</v>
      </c>
    </row>
    <row r="1317" spans="1:25" hidden="1">
      <c r="A1317" t="s">
        <v>25</v>
      </c>
      <c r="B1317" t="s">
        <v>26</v>
      </c>
      <c r="C1317" t="s">
        <v>53</v>
      </c>
      <c r="D1317" s="1">
        <v>43722</v>
      </c>
      <c r="E1317" s="2">
        <v>0.66666666666666663</v>
      </c>
      <c r="F1317" t="s">
        <v>28</v>
      </c>
      <c r="G1317" t="s">
        <v>50</v>
      </c>
      <c r="H1317">
        <v>0</v>
      </c>
      <c r="I1317">
        <v>2</v>
      </c>
      <c r="J1317" t="s">
        <v>30</v>
      </c>
      <c r="K1317">
        <v>349</v>
      </c>
      <c r="L1317">
        <v>363</v>
      </c>
      <c r="M1317">
        <v>211</v>
      </c>
      <c r="N1317">
        <v>375</v>
      </c>
      <c r="O1317">
        <v>363</v>
      </c>
      <c r="P1317">
        <v>213</v>
      </c>
      <c r="Q1317">
        <v>338</v>
      </c>
      <c r="R1317">
        <v>344</v>
      </c>
      <c r="S1317">
        <v>206</v>
      </c>
      <c r="T1317" t="s">
        <v>31</v>
      </c>
      <c r="U1317" t="s">
        <v>31</v>
      </c>
      <c r="V1317" t="s">
        <v>31</v>
      </c>
      <c r="W1317" t="s">
        <v>31</v>
      </c>
      <c r="X1317" t="s">
        <v>31</v>
      </c>
      <c r="Y1317" t="s">
        <v>31</v>
      </c>
    </row>
    <row r="1318" spans="1:25" hidden="1">
      <c r="A1318" t="s">
        <v>25</v>
      </c>
      <c r="B1318" t="s">
        <v>26</v>
      </c>
      <c r="C1318" t="s">
        <v>53</v>
      </c>
      <c r="D1318" s="1">
        <v>43723</v>
      </c>
      <c r="E1318" s="2">
        <v>0.5625</v>
      </c>
      <c r="F1318" t="s">
        <v>45</v>
      </c>
      <c r="G1318" t="s">
        <v>48</v>
      </c>
      <c r="H1318">
        <v>6</v>
      </c>
      <c r="I1318">
        <v>0</v>
      </c>
      <c r="J1318" t="s">
        <v>34</v>
      </c>
      <c r="K1318">
        <v>16</v>
      </c>
      <c r="L1318">
        <v>444</v>
      </c>
      <c r="M1318">
        <v>53</v>
      </c>
      <c r="N1318">
        <v>168</v>
      </c>
      <c r="O1318">
        <v>444</v>
      </c>
      <c r="P1318">
        <v>55</v>
      </c>
      <c r="Q1318">
        <v>16</v>
      </c>
      <c r="R1318">
        <v>408</v>
      </c>
      <c r="S1318">
        <v>498</v>
      </c>
      <c r="T1318" t="s">
        <v>31</v>
      </c>
      <c r="U1318" t="s">
        <v>31</v>
      </c>
      <c r="V1318" t="s">
        <v>31</v>
      </c>
      <c r="W1318" t="s">
        <v>31</v>
      </c>
      <c r="X1318" t="s">
        <v>31</v>
      </c>
      <c r="Y1318" t="s">
        <v>31</v>
      </c>
    </row>
    <row r="1319" spans="1:25" hidden="1">
      <c r="A1319" t="s">
        <v>25</v>
      </c>
      <c r="B1319" t="s">
        <v>26</v>
      </c>
      <c r="C1319" t="s">
        <v>53</v>
      </c>
      <c r="D1319" s="1">
        <v>43723</v>
      </c>
      <c r="E1319" s="2">
        <v>0.5625</v>
      </c>
      <c r="F1319" t="s">
        <v>35</v>
      </c>
      <c r="G1319" t="s">
        <v>37</v>
      </c>
      <c r="H1319">
        <v>5</v>
      </c>
      <c r="I1319">
        <v>0</v>
      </c>
      <c r="J1319" t="s">
        <v>34</v>
      </c>
      <c r="K1319">
        <v>131</v>
      </c>
      <c r="L1319">
        <v>585</v>
      </c>
      <c r="M1319">
        <v>908</v>
      </c>
      <c r="N1319">
        <v>136</v>
      </c>
      <c r="O1319">
        <v>585</v>
      </c>
      <c r="P1319">
        <v>10</v>
      </c>
      <c r="Q1319">
        <v>131</v>
      </c>
      <c r="R1319">
        <v>541</v>
      </c>
      <c r="S1319">
        <v>833</v>
      </c>
      <c r="T1319" t="s">
        <v>31</v>
      </c>
      <c r="U1319" t="s">
        <v>31</v>
      </c>
      <c r="V1319" t="s">
        <v>31</v>
      </c>
      <c r="W1319" t="s">
        <v>31</v>
      </c>
      <c r="X1319" t="s">
        <v>31</v>
      </c>
      <c r="Y1319" t="s">
        <v>31</v>
      </c>
    </row>
    <row r="1320" spans="1:25" hidden="1">
      <c r="A1320" t="s">
        <v>25</v>
      </c>
      <c r="B1320" t="s">
        <v>26</v>
      </c>
      <c r="C1320" t="s">
        <v>53</v>
      </c>
      <c r="D1320" s="1">
        <v>43723</v>
      </c>
      <c r="E1320" s="2">
        <v>0.66666666666666663</v>
      </c>
      <c r="F1320" t="s">
        <v>39</v>
      </c>
      <c r="G1320" t="s">
        <v>40</v>
      </c>
      <c r="H1320">
        <v>3</v>
      </c>
      <c r="I1320">
        <v>0</v>
      </c>
      <c r="J1320" t="s">
        <v>34</v>
      </c>
      <c r="K1320">
        <v>152</v>
      </c>
      <c r="L1320">
        <v>466</v>
      </c>
      <c r="M1320">
        <v>6</v>
      </c>
      <c r="N1320">
        <v>165</v>
      </c>
      <c r="O1320">
        <v>466</v>
      </c>
      <c r="P1320">
        <v>6</v>
      </c>
      <c r="Q1320">
        <v>151</v>
      </c>
      <c r="R1320">
        <v>443</v>
      </c>
      <c r="S1320">
        <v>557</v>
      </c>
      <c r="T1320" t="s">
        <v>31</v>
      </c>
      <c r="U1320" t="s">
        <v>31</v>
      </c>
      <c r="V1320" t="s">
        <v>31</v>
      </c>
      <c r="W1320" t="s">
        <v>31</v>
      </c>
      <c r="X1320" t="s">
        <v>31</v>
      </c>
      <c r="Y1320" t="s">
        <v>31</v>
      </c>
    </row>
    <row r="1321" spans="1:25" hidden="1">
      <c r="A1321" t="s">
        <v>25</v>
      </c>
      <c r="B1321" t="s">
        <v>26</v>
      </c>
      <c r="C1321" t="s">
        <v>53</v>
      </c>
      <c r="D1321" s="1">
        <v>43729</v>
      </c>
      <c r="E1321" s="2">
        <v>0.66666666666666663</v>
      </c>
      <c r="F1321" t="s">
        <v>37</v>
      </c>
      <c r="G1321" t="s">
        <v>48</v>
      </c>
      <c r="H1321">
        <v>1</v>
      </c>
      <c r="I1321">
        <v>1</v>
      </c>
      <c r="J1321" t="s">
        <v>41</v>
      </c>
      <c r="K1321">
        <v>236</v>
      </c>
      <c r="L1321">
        <v>351</v>
      </c>
      <c r="M1321">
        <v>307</v>
      </c>
      <c r="N1321">
        <v>244</v>
      </c>
      <c r="O1321">
        <v>362</v>
      </c>
      <c r="P1321">
        <v>307</v>
      </c>
      <c r="Q1321">
        <v>229</v>
      </c>
      <c r="R1321">
        <v>343</v>
      </c>
      <c r="S1321">
        <v>291</v>
      </c>
      <c r="T1321" t="s">
        <v>31</v>
      </c>
      <c r="U1321" t="s">
        <v>31</v>
      </c>
      <c r="V1321" t="s">
        <v>31</v>
      </c>
      <c r="W1321" t="s">
        <v>31</v>
      </c>
      <c r="X1321" t="s">
        <v>31</v>
      </c>
      <c r="Y1321" t="s">
        <v>31</v>
      </c>
    </row>
    <row r="1322" spans="1:25" hidden="1">
      <c r="A1322" t="s">
        <v>25</v>
      </c>
      <c r="B1322" t="s">
        <v>26</v>
      </c>
      <c r="C1322" t="s">
        <v>53</v>
      </c>
      <c r="D1322" s="1">
        <v>43729</v>
      </c>
      <c r="E1322" s="2">
        <v>0.66666666666666663</v>
      </c>
      <c r="F1322" t="s">
        <v>32</v>
      </c>
      <c r="G1322" t="s">
        <v>28</v>
      </c>
      <c r="H1322">
        <v>3</v>
      </c>
      <c r="I1322">
        <v>3</v>
      </c>
      <c r="J1322" t="s">
        <v>41</v>
      </c>
      <c r="K1322">
        <v>414</v>
      </c>
      <c r="L1322">
        <v>376</v>
      </c>
      <c r="M1322">
        <v>19</v>
      </c>
      <c r="N1322">
        <v>433</v>
      </c>
      <c r="O1322">
        <v>376</v>
      </c>
      <c r="P1322">
        <v>191</v>
      </c>
      <c r="Q1322">
        <v>403</v>
      </c>
      <c r="R1322">
        <v>358</v>
      </c>
      <c r="S1322">
        <v>184</v>
      </c>
      <c r="T1322" t="s">
        <v>31</v>
      </c>
      <c r="U1322" t="s">
        <v>31</v>
      </c>
      <c r="V1322" t="s">
        <v>31</v>
      </c>
      <c r="W1322" t="s">
        <v>31</v>
      </c>
      <c r="X1322" t="s">
        <v>31</v>
      </c>
      <c r="Y1322" t="s">
        <v>31</v>
      </c>
    </row>
    <row r="1323" spans="1:25" hidden="1">
      <c r="A1323" t="s">
        <v>25</v>
      </c>
      <c r="B1323" t="s">
        <v>26</v>
      </c>
      <c r="C1323" t="s">
        <v>53</v>
      </c>
      <c r="D1323" s="1">
        <v>43729</v>
      </c>
      <c r="E1323" s="2">
        <v>0.66666666666666663</v>
      </c>
      <c r="F1323" t="s">
        <v>54</v>
      </c>
      <c r="G1323" t="s">
        <v>35</v>
      </c>
      <c r="H1323">
        <v>0</v>
      </c>
      <c r="I1323">
        <v>2</v>
      </c>
      <c r="J1323" t="s">
        <v>30</v>
      </c>
      <c r="K1323">
        <v>506</v>
      </c>
      <c r="L1323">
        <v>477</v>
      </c>
      <c r="M1323">
        <v>158</v>
      </c>
      <c r="N1323">
        <v>53</v>
      </c>
      <c r="O1323">
        <v>477</v>
      </c>
      <c r="P1323">
        <v>173</v>
      </c>
      <c r="Q1323">
        <v>47</v>
      </c>
      <c r="R1323">
        <v>423</v>
      </c>
      <c r="S1323">
        <v>161</v>
      </c>
      <c r="T1323" t="s">
        <v>31</v>
      </c>
      <c r="U1323" t="s">
        <v>31</v>
      </c>
      <c r="V1323" t="s">
        <v>31</v>
      </c>
      <c r="W1323" t="s">
        <v>31</v>
      </c>
      <c r="X1323" t="s">
        <v>31</v>
      </c>
      <c r="Y1323" t="s">
        <v>31</v>
      </c>
    </row>
    <row r="1324" spans="1:25" hidden="1">
      <c r="A1324" t="s">
        <v>25</v>
      </c>
      <c r="B1324" t="s">
        <v>26</v>
      </c>
      <c r="C1324" t="s">
        <v>53</v>
      </c>
      <c r="D1324" s="1">
        <v>43730</v>
      </c>
      <c r="E1324" s="2">
        <v>0.5625</v>
      </c>
      <c r="F1324" t="s">
        <v>40</v>
      </c>
      <c r="G1324" t="s">
        <v>45</v>
      </c>
      <c r="H1324">
        <v>2</v>
      </c>
      <c r="I1324">
        <v>0</v>
      </c>
      <c r="J1324" t="s">
        <v>34</v>
      </c>
      <c r="K1324">
        <v>226</v>
      </c>
      <c r="L1324">
        <v>394</v>
      </c>
      <c r="M1324">
        <v>296</v>
      </c>
      <c r="N1324">
        <v>228</v>
      </c>
      <c r="O1324">
        <v>394</v>
      </c>
      <c r="P1324">
        <v>32</v>
      </c>
      <c r="Q1324">
        <v>218</v>
      </c>
      <c r="R1324">
        <v>37</v>
      </c>
      <c r="S1324">
        <v>293</v>
      </c>
      <c r="T1324" t="s">
        <v>31</v>
      </c>
      <c r="U1324" t="s">
        <v>31</v>
      </c>
      <c r="V1324" t="s">
        <v>31</v>
      </c>
      <c r="W1324" t="s">
        <v>31</v>
      </c>
      <c r="X1324" t="s">
        <v>31</v>
      </c>
      <c r="Y1324" t="s">
        <v>31</v>
      </c>
    </row>
    <row r="1325" spans="1:25" hidden="1">
      <c r="A1325" t="s">
        <v>25</v>
      </c>
      <c r="B1325" t="s">
        <v>26</v>
      </c>
      <c r="C1325" t="s">
        <v>53</v>
      </c>
      <c r="D1325" s="1">
        <v>43730</v>
      </c>
      <c r="E1325" s="2">
        <v>0.5625</v>
      </c>
      <c r="F1325" t="s">
        <v>52</v>
      </c>
      <c r="G1325" t="s">
        <v>39</v>
      </c>
      <c r="H1325">
        <v>0</v>
      </c>
      <c r="I1325">
        <v>2</v>
      </c>
      <c r="J1325" t="s">
        <v>30</v>
      </c>
      <c r="K1325">
        <v>446</v>
      </c>
      <c r="L1325">
        <v>448</v>
      </c>
      <c r="M1325">
        <v>169</v>
      </c>
      <c r="N1325">
        <v>5</v>
      </c>
      <c r="O1325">
        <v>45</v>
      </c>
      <c r="P1325">
        <v>17</v>
      </c>
      <c r="Q1325">
        <v>458</v>
      </c>
      <c r="R1325">
        <v>426</v>
      </c>
      <c r="S1325">
        <v>162</v>
      </c>
      <c r="T1325" t="s">
        <v>31</v>
      </c>
      <c r="U1325" t="s">
        <v>31</v>
      </c>
      <c r="V1325" t="s">
        <v>31</v>
      </c>
      <c r="W1325" t="s">
        <v>31</v>
      </c>
      <c r="X1325" t="s">
        <v>31</v>
      </c>
      <c r="Y1325" t="s">
        <v>31</v>
      </c>
    </row>
    <row r="1326" spans="1:25" hidden="1">
      <c r="A1326" t="s">
        <v>25</v>
      </c>
      <c r="B1326" t="s">
        <v>26</v>
      </c>
      <c r="C1326" t="s">
        <v>53</v>
      </c>
      <c r="D1326" s="1">
        <v>43730</v>
      </c>
      <c r="E1326" s="2">
        <v>0.66666666666666663</v>
      </c>
      <c r="F1326" t="s">
        <v>50</v>
      </c>
      <c r="G1326" t="s">
        <v>29</v>
      </c>
      <c r="H1326">
        <v>2</v>
      </c>
      <c r="I1326">
        <v>2</v>
      </c>
      <c r="J1326" t="s">
        <v>41</v>
      </c>
      <c r="K1326">
        <v>308</v>
      </c>
      <c r="L1326">
        <v>373</v>
      </c>
      <c r="M1326">
        <v>224</v>
      </c>
      <c r="N1326">
        <v>31</v>
      </c>
      <c r="O1326">
        <v>373</v>
      </c>
      <c r="P1326">
        <v>235</v>
      </c>
      <c r="Q1326">
        <v>29</v>
      </c>
      <c r="R1326">
        <v>353</v>
      </c>
      <c r="S1326">
        <v>225</v>
      </c>
      <c r="T1326" t="s">
        <v>31</v>
      </c>
      <c r="U1326" t="s">
        <v>31</v>
      </c>
      <c r="V1326" t="s">
        <v>31</v>
      </c>
      <c r="W1326" t="s">
        <v>31</v>
      </c>
      <c r="X1326" t="s">
        <v>31</v>
      </c>
      <c r="Y1326" t="s">
        <v>31</v>
      </c>
    </row>
    <row r="1327" spans="1:25" hidden="1">
      <c r="A1327" t="s">
        <v>25</v>
      </c>
      <c r="B1327" t="s">
        <v>26</v>
      </c>
      <c r="C1327" t="s">
        <v>53</v>
      </c>
      <c r="D1327" s="1">
        <v>43736</v>
      </c>
      <c r="E1327" s="2">
        <v>0.66666666666666663</v>
      </c>
      <c r="F1327" t="s">
        <v>29</v>
      </c>
      <c r="G1327" t="s">
        <v>40</v>
      </c>
      <c r="H1327">
        <v>4</v>
      </c>
      <c r="I1327">
        <v>1</v>
      </c>
      <c r="J1327" t="s">
        <v>34</v>
      </c>
      <c r="K1327">
        <v>118</v>
      </c>
      <c r="L1327">
        <v>806</v>
      </c>
      <c r="M1327">
        <v>1258</v>
      </c>
      <c r="N1327">
        <v>122</v>
      </c>
      <c r="O1327">
        <v>9</v>
      </c>
      <c r="P1327">
        <v>15</v>
      </c>
      <c r="Q1327">
        <v>117</v>
      </c>
      <c r="R1327">
        <v>762</v>
      </c>
      <c r="S1327">
        <v>1186</v>
      </c>
      <c r="T1327" t="s">
        <v>31</v>
      </c>
      <c r="U1327" t="s">
        <v>31</v>
      </c>
      <c r="V1327" t="s">
        <v>31</v>
      </c>
      <c r="W1327" t="s">
        <v>31</v>
      </c>
      <c r="X1327" t="s">
        <v>31</v>
      </c>
      <c r="Y1327" t="s">
        <v>31</v>
      </c>
    </row>
    <row r="1328" spans="1:25" hidden="1">
      <c r="A1328" t="s">
        <v>25</v>
      </c>
      <c r="B1328" t="s">
        <v>26</v>
      </c>
      <c r="C1328" t="s">
        <v>53</v>
      </c>
      <c r="D1328" s="1">
        <v>43736</v>
      </c>
      <c r="E1328" s="2">
        <v>0.66666666666666663</v>
      </c>
      <c r="F1328" t="s">
        <v>48</v>
      </c>
      <c r="G1328" t="s">
        <v>50</v>
      </c>
      <c r="H1328">
        <v>0</v>
      </c>
      <c r="I1328">
        <v>3</v>
      </c>
      <c r="J1328" t="s">
        <v>30</v>
      </c>
      <c r="K1328">
        <v>986</v>
      </c>
      <c r="L1328">
        <v>538</v>
      </c>
      <c r="M1328">
        <v>132</v>
      </c>
      <c r="N1328">
        <v>105</v>
      </c>
      <c r="O1328">
        <v>55</v>
      </c>
      <c r="P1328">
        <v>14</v>
      </c>
      <c r="Q1328">
        <v>874</v>
      </c>
      <c r="R1328">
        <v>511</v>
      </c>
      <c r="S1328">
        <v>132</v>
      </c>
      <c r="T1328" t="s">
        <v>31</v>
      </c>
      <c r="U1328" t="s">
        <v>31</v>
      </c>
      <c r="V1328" t="s">
        <v>31</v>
      </c>
      <c r="W1328" t="s">
        <v>31</v>
      </c>
      <c r="X1328" t="s">
        <v>31</v>
      </c>
      <c r="Y1328" t="s">
        <v>31</v>
      </c>
    </row>
    <row r="1329" spans="1:25" hidden="1">
      <c r="A1329" t="s">
        <v>25</v>
      </c>
      <c r="B1329" t="s">
        <v>26</v>
      </c>
      <c r="C1329" t="s">
        <v>53</v>
      </c>
      <c r="D1329" s="1">
        <v>43736</v>
      </c>
      <c r="E1329" s="2">
        <v>0.66666666666666663</v>
      </c>
      <c r="F1329" t="s">
        <v>39</v>
      </c>
      <c r="G1329" t="s">
        <v>54</v>
      </c>
      <c r="H1329">
        <v>2</v>
      </c>
      <c r="I1329">
        <v>2</v>
      </c>
      <c r="J1329" t="s">
        <v>41</v>
      </c>
      <c r="K1329">
        <v>127</v>
      </c>
      <c r="L1329">
        <v>642</v>
      </c>
      <c r="M1329">
        <v>994</v>
      </c>
      <c r="N1329">
        <v>133</v>
      </c>
      <c r="O1329">
        <v>642</v>
      </c>
      <c r="P1329">
        <v>11</v>
      </c>
      <c r="Q1329">
        <v>127</v>
      </c>
      <c r="R1329">
        <v>576</v>
      </c>
      <c r="S1329">
        <v>925</v>
      </c>
      <c r="T1329" t="s">
        <v>31</v>
      </c>
      <c r="U1329" t="s">
        <v>31</v>
      </c>
      <c r="V1329" t="s">
        <v>31</v>
      </c>
      <c r="W1329" t="s">
        <v>31</v>
      </c>
      <c r="X1329" t="s">
        <v>31</v>
      </c>
      <c r="Y1329" t="s">
        <v>31</v>
      </c>
    </row>
    <row r="1330" spans="1:25" hidden="1">
      <c r="A1330" t="s">
        <v>25</v>
      </c>
      <c r="B1330" t="s">
        <v>26</v>
      </c>
      <c r="C1330" t="s">
        <v>53</v>
      </c>
      <c r="D1330" s="1">
        <v>43737</v>
      </c>
      <c r="E1330" s="2">
        <v>0.5625</v>
      </c>
      <c r="F1330" t="s">
        <v>45</v>
      </c>
      <c r="G1330" t="s">
        <v>32</v>
      </c>
      <c r="H1330">
        <v>0</v>
      </c>
      <c r="I1330">
        <v>2</v>
      </c>
      <c r="J1330" t="s">
        <v>30</v>
      </c>
      <c r="K1330">
        <v>16</v>
      </c>
      <c r="L1330">
        <v>446</v>
      </c>
      <c r="M1330">
        <v>53</v>
      </c>
      <c r="N1330">
        <v>166</v>
      </c>
      <c r="O1330">
        <v>446</v>
      </c>
      <c r="P1330">
        <v>575</v>
      </c>
      <c r="Q1330">
        <v>16</v>
      </c>
      <c r="R1330">
        <v>413</v>
      </c>
      <c r="S1330">
        <v>497</v>
      </c>
      <c r="T1330" t="s">
        <v>31</v>
      </c>
      <c r="U1330" t="s">
        <v>31</v>
      </c>
      <c r="V1330" t="s">
        <v>31</v>
      </c>
      <c r="W1330" t="s">
        <v>31</v>
      </c>
      <c r="X1330" t="s">
        <v>31</v>
      </c>
      <c r="Y1330" t="s">
        <v>31</v>
      </c>
    </row>
    <row r="1331" spans="1:25" hidden="1">
      <c r="A1331" t="s">
        <v>25</v>
      </c>
      <c r="B1331" t="s">
        <v>26</v>
      </c>
      <c r="C1331" t="s">
        <v>53</v>
      </c>
      <c r="D1331" s="1">
        <v>43737</v>
      </c>
      <c r="E1331" s="2">
        <v>0.5625</v>
      </c>
      <c r="F1331" t="s">
        <v>28</v>
      </c>
      <c r="G1331" t="s">
        <v>37</v>
      </c>
      <c r="H1331">
        <v>4</v>
      </c>
      <c r="I1331">
        <v>1</v>
      </c>
      <c r="J1331" t="s">
        <v>34</v>
      </c>
      <c r="K1331">
        <v>144</v>
      </c>
      <c r="L1331">
        <v>468</v>
      </c>
      <c r="M1331">
        <v>762</v>
      </c>
      <c r="N1331">
        <v>147</v>
      </c>
      <c r="O1331">
        <v>468</v>
      </c>
      <c r="P1331">
        <v>762</v>
      </c>
      <c r="Q1331">
        <v>143</v>
      </c>
      <c r="R1331">
        <v>44</v>
      </c>
      <c r="S1331">
        <v>681</v>
      </c>
      <c r="T1331" t="s">
        <v>31</v>
      </c>
      <c r="U1331" t="s">
        <v>31</v>
      </c>
      <c r="V1331" t="s">
        <v>31</v>
      </c>
      <c r="W1331" t="s">
        <v>31</v>
      </c>
      <c r="X1331" t="s">
        <v>31</v>
      </c>
      <c r="Y1331" t="s">
        <v>31</v>
      </c>
    </row>
    <row r="1332" spans="1:25" hidden="1">
      <c r="A1332" t="s">
        <v>25</v>
      </c>
      <c r="B1332" t="s">
        <v>26</v>
      </c>
      <c r="C1332" t="s">
        <v>53</v>
      </c>
      <c r="D1332" s="1">
        <v>43737</v>
      </c>
      <c r="E1332" s="2">
        <v>0.66666666666666663</v>
      </c>
      <c r="F1332" t="s">
        <v>35</v>
      </c>
      <c r="G1332" t="s">
        <v>52</v>
      </c>
      <c r="H1332">
        <v>3</v>
      </c>
      <c r="I1332">
        <v>3</v>
      </c>
      <c r="J1332" t="s">
        <v>41</v>
      </c>
      <c r="K1332">
        <v>122</v>
      </c>
      <c r="L1332">
        <v>749</v>
      </c>
      <c r="M1332">
        <v>1134</v>
      </c>
      <c r="N1332">
        <v>13</v>
      </c>
      <c r="O1332">
        <v>76</v>
      </c>
      <c r="P1332">
        <v>15</v>
      </c>
      <c r="Q1332">
        <v>121</v>
      </c>
      <c r="R1332">
        <v>673</v>
      </c>
      <c r="S1332">
        <v>1054</v>
      </c>
      <c r="T1332" t="s">
        <v>31</v>
      </c>
      <c r="U1332" t="s">
        <v>31</v>
      </c>
      <c r="V1332" t="s">
        <v>31</v>
      </c>
      <c r="W1332" t="s">
        <v>31</v>
      </c>
      <c r="X1332" t="s">
        <v>31</v>
      </c>
      <c r="Y1332" t="s">
        <v>31</v>
      </c>
    </row>
    <row r="1333" spans="1:25" hidden="1">
      <c r="A1333" t="s">
        <v>25</v>
      </c>
      <c r="B1333" t="s">
        <v>26</v>
      </c>
      <c r="C1333" t="s">
        <v>53</v>
      </c>
      <c r="D1333" s="1">
        <v>43743</v>
      </c>
      <c r="E1333" s="2">
        <v>0.66666666666666663</v>
      </c>
      <c r="F1333" t="s">
        <v>37</v>
      </c>
      <c r="G1333" t="s">
        <v>54</v>
      </c>
      <c r="H1333">
        <v>3</v>
      </c>
      <c r="I1333">
        <v>1</v>
      </c>
      <c r="J1333" t="s">
        <v>34</v>
      </c>
      <c r="K1333">
        <v>269</v>
      </c>
      <c r="L1333">
        <v>359</v>
      </c>
      <c r="M1333">
        <v>26</v>
      </c>
      <c r="N1333">
        <v>273</v>
      </c>
      <c r="O1333">
        <v>36</v>
      </c>
      <c r="P1333">
        <v>26</v>
      </c>
      <c r="Q1333">
        <v>26</v>
      </c>
      <c r="R1333">
        <v>344</v>
      </c>
      <c r="S1333">
        <v>253</v>
      </c>
      <c r="T1333" t="s">
        <v>31</v>
      </c>
      <c r="U1333" t="s">
        <v>31</v>
      </c>
      <c r="V1333" t="s">
        <v>31</v>
      </c>
      <c r="W1333" t="s">
        <v>31</v>
      </c>
      <c r="X1333" t="s">
        <v>31</v>
      </c>
      <c r="Y1333" t="s">
        <v>31</v>
      </c>
    </row>
    <row r="1334" spans="1:25" hidden="1">
      <c r="A1334" t="s">
        <v>25</v>
      </c>
      <c r="B1334" t="s">
        <v>26</v>
      </c>
      <c r="C1334" t="s">
        <v>53</v>
      </c>
      <c r="D1334" s="1">
        <v>43743</v>
      </c>
      <c r="E1334" s="2">
        <v>0.66666666666666663</v>
      </c>
      <c r="F1334" t="s">
        <v>32</v>
      </c>
      <c r="G1334" t="s">
        <v>35</v>
      </c>
      <c r="H1334">
        <v>2</v>
      </c>
      <c r="I1334">
        <v>3</v>
      </c>
      <c r="J1334" t="s">
        <v>30</v>
      </c>
      <c r="K1334">
        <v>496</v>
      </c>
      <c r="L1334">
        <v>435</v>
      </c>
      <c r="M1334">
        <v>165</v>
      </c>
      <c r="N1334">
        <v>525</v>
      </c>
      <c r="O1334">
        <v>46</v>
      </c>
      <c r="P1334">
        <v>166</v>
      </c>
      <c r="Q1334">
        <v>477</v>
      </c>
      <c r="R1334">
        <v>422</v>
      </c>
      <c r="S1334">
        <v>16</v>
      </c>
      <c r="T1334" t="s">
        <v>31</v>
      </c>
      <c r="U1334" t="s">
        <v>31</v>
      </c>
      <c r="V1334" t="s">
        <v>31</v>
      </c>
      <c r="W1334" t="s">
        <v>31</v>
      </c>
      <c r="X1334" t="s">
        <v>31</v>
      </c>
      <c r="Y1334" t="s">
        <v>31</v>
      </c>
    </row>
    <row r="1335" spans="1:25" hidden="1">
      <c r="A1335" t="s">
        <v>25</v>
      </c>
      <c r="B1335" t="s">
        <v>26</v>
      </c>
      <c r="C1335" t="s">
        <v>53</v>
      </c>
      <c r="D1335" s="1">
        <v>43743</v>
      </c>
      <c r="E1335" s="2">
        <v>0.66666666666666663</v>
      </c>
      <c r="F1335" t="s">
        <v>29</v>
      </c>
      <c r="G1335" t="s">
        <v>45</v>
      </c>
      <c r="H1335">
        <v>6</v>
      </c>
      <c r="I1335">
        <v>0</v>
      </c>
      <c r="J1335" t="s">
        <v>34</v>
      </c>
      <c r="K1335">
        <v>116</v>
      </c>
      <c r="L1335">
        <v>82</v>
      </c>
      <c r="M1335">
        <v>1542</v>
      </c>
      <c r="N1335">
        <v>118</v>
      </c>
      <c r="O1335">
        <v>10</v>
      </c>
      <c r="P1335">
        <v>17</v>
      </c>
      <c r="Q1335">
        <v>114</v>
      </c>
      <c r="R1335">
        <v>818</v>
      </c>
      <c r="S1335">
        <v>1411</v>
      </c>
      <c r="T1335" t="s">
        <v>31</v>
      </c>
      <c r="U1335" t="s">
        <v>31</v>
      </c>
      <c r="V1335" t="s">
        <v>31</v>
      </c>
      <c r="W1335" t="s">
        <v>31</v>
      </c>
      <c r="X1335" t="s">
        <v>31</v>
      </c>
      <c r="Y1335" t="s">
        <v>31</v>
      </c>
    </row>
    <row r="1336" spans="1:25" hidden="1">
      <c r="A1336" t="s">
        <v>25</v>
      </c>
      <c r="B1336" t="s">
        <v>26</v>
      </c>
      <c r="C1336" t="s">
        <v>53</v>
      </c>
      <c r="D1336" s="1">
        <v>43744</v>
      </c>
      <c r="E1336" s="2">
        <v>0.5625</v>
      </c>
      <c r="F1336" t="s">
        <v>52</v>
      </c>
      <c r="G1336" t="s">
        <v>50</v>
      </c>
      <c r="H1336">
        <v>1</v>
      </c>
      <c r="I1336">
        <v>2</v>
      </c>
      <c r="J1336" t="s">
        <v>30</v>
      </c>
      <c r="K1336">
        <v>663</v>
      </c>
      <c r="L1336">
        <v>561</v>
      </c>
      <c r="M1336">
        <v>14</v>
      </c>
      <c r="N1336">
        <v>75</v>
      </c>
      <c r="O1336">
        <v>561</v>
      </c>
      <c r="P1336">
        <v>144</v>
      </c>
      <c r="Q1336">
        <v>664</v>
      </c>
      <c r="R1336">
        <v>507</v>
      </c>
      <c r="S1336">
        <v>138</v>
      </c>
      <c r="T1336" t="s">
        <v>31</v>
      </c>
      <c r="U1336" t="s">
        <v>31</v>
      </c>
      <c r="V1336" t="s">
        <v>31</v>
      </c>
      <c r="W1336" t="s">
        <v>31</v>
      </c>
      <c r="X1336" t="s">
        <v>31</v>
      </c>
      <c r="Y1336" t="s">
        <v>31</v>
      </c>
    </row>
    <row r="1337" spans="1:25" hidden="1">
      <c r="A1337" t="s">
        <v>25</v>
      </c>
      <c r="B1337" t="s">
        <v>26</v>
      </c>
      <c r="C1337" t="s">
        <v>53</v>
      </c>
      <c r="D1337" s="1">
        <v>43744</v>
      </c>
      <c r="E1337" s="2">
        <v>0.5625</v>
      </c>
      <c r="F1337" t="s">
        <v>39</v>
      </c>
      <c r="G1337" t="s">
        <v>48</v>
      </c>
      <c r="H1337">
        <v>4</v>
      </c>
      <c r="I1337">
        <v>0</v>
      </c>
      <c r="J1337" t="s">
        <v>34</v>
      </c>
      <c r="K1337">
        <v>13</v>
      </c>
      <c r="L1337">
        <v>636</v>
      </c>
      <c r="M1337">
        <v>84</v>
      </c>
      <c r="N1337">
        <v>132</v>
      </c>
      <c r="O1337">
        <v>636</v>
      </c>
      <c r="P1337">
        <v>10</v>
      </c>
      <c r="Q1337">
        <v>129</v>
      </c>
      <c r="R1337">
        <v>575</v>
      </c>
      <c r="S1337">
        <v>831</v>
      </c>
      <c r="T1337" t="s">
        <v>31</v>
      </c>
      <c r="U1337" t="s">
        <v>31</v>
      </c>
      <c r="V1337" t="s">
        <v>31</v>
      </c>
      <c r="W1337" t="s">
        <v>31</v>
      </c>
      <c r="X1337" t="s">
        <v>31</v>
      </c>
      <c r="Y1337" t="s">
        <v>31</v>
      </c>
    </row>
    <row r="1338" spans="1:25" hidden="1">
      <c r="A1338" t="s">
        <v>25</v>
      </c>
      <c r="B1338" t="s">
        <v>26</v>
      </c>
      <c r="C1338" t="s">
        <v>53</v>
      </c>
      <c r="D1338" s="1">
        <v>43744</v>
      </c>
      <c r="E1338" s="2">
        <v>0.66666666666666663</v>
      </c>
      <c r="F1338" t="s">
        <v>40</v>
      </c>
      <c r="G1338" t="s">
        <v>28</v>
      </c>
      <c r="H1338">
        <v>1</v>
      </c>
      <c r="I1338">
        <v>0</v>
      </c>
      <c r="J1338" t="s">
        <v>34</v>
      </c>
      <c r="K1338">
        <v>282</v>
      </c>
      <c r="L1338">
        <v>371</v>
      </c>
      <c r="M1338">
        <v>243</v>
      </c>
      <c r="N1338">
        <v>286</v>
      </c>
      <c r="O1338">
        <v>372</v>
      </c>
      <c r="P1338">
        <v>245</v>
      </c>
      <c r="Q1338">
        <v>274</v>
      </c>
      <c r="R1338">
        <v>352</v>
      </c>
      <c r="S1338">
        <v>238</v>
      </c>
      <c r="T1338" t="s">
        <v>31</v>
      </c>
      <c r="U1338" t="s">
        <v>31</v>
      </c>
      <c r="V1338" t="s">
        <v>31</v>
      </c>
      <c r="W1338" t="s">
        <v>31</v>
      </c>
      <c r="X1338" t="s">
        <v>31</v>
      </c>
      <c r="Y1338" t="s">
        <v>31</v>
      </c>
    </row>
    <row r="1339" spans="1:25" hidden="1">
      <c r="A1339" t="s">
        <v>25</v>
      </c>
      <c r="B1339" t="s">
        <v>26</v>
      </c>
      <c r="C1339" t="s">
        <v>53</v>
      </c>
      <c r="D1339" s="1">
        <v>43757</v>
      </c>
      <c r="E1339" s="2">
        <v>0.66666666666666663</v>
      </c>
      <c r="F1339" t="s">
        <v>45</v>
      </c>
      <c r="G1339" t="s">
        <v>37</v>
      </c>
      <c r="H1339">
        <v>1</v>
      </c>
      <c r="I1339">
        <v>4</v>
      </c>
      <c r="J1339" t="s">
        <v>30</v>
      </c>
      <c r="K1339">
        <v>179</v>
      </c>
      <c r="L1339">
        <v>384</v>
      </c>
      <c r="M1339">
        <v>462</v>
      </c>
      <c r="N1339">
        <v>181</v>
      </c>
      <c r="O1339">
        <v>405</v>
      </c>
      <c r="P1339">
        <v>475</v>
      </c>
      <c r="Q1339">
        <v>176</v>
      </c>
      <c r="R1339">
        <v>374</v>
      </c>
      <c r="S1339">
        <v>425</v>
      </c>
      <c r="T1339" t="s">
        <v>31</v>
      </c>
      <c r="U1339" t="s">
        <v>31</v>
      </c>
      <c r="V1339" t="s">
        <v>31</v>
      </c>
      <c r="W1339" t="s">
        <v>31</v>
      </c>
      <c r="X1339" t="s">
        <v>31</v>
      </c>
      <c r="Y1339" t="s">
        <v>31</v>
      </c>
    </row>
    <row r="1340" spans="1:25" hidden="1">
      <c r="A1340" t="s">
        <v>25</v>
      </c>
      <c r="B1340" t="s">
        <v>26</v>
      </c>
      <c r="C1340" t="s">
        <v>53</v>
      </c>
      <c r="D1340" s="1">
        <v>43757</v>
      </c>
      <c r="E1340" s="2">
        <v>0.66666666666666663</v>
      </c>
      <c r="F1340" t="s">
        <v>50</v>
      </c>
      <c r="G1340" t="s">
        <v>32</v>
      </c>
      <c r="H1340">
        <v>7</v>
      </c>
      <c r="I1340">
        <v>2</v>
      </c>
      <c r="J1340" t="s">
        <v>34</v>
      </c>
      <c r="K1340">
        <v>12</v>
      </c>
      <c r="L1340">
        <v>742</v>
      </c>
      <c r="M1340">
        <v>1199</v>
      </c>
      <c r="N1340">
        <v>125</v>
      </c>
      <c r="O1340">
        <v>76</v>
      </c>
      <c r="P1340">
        <v>18</v>
      </c>
      <c r="Q1340">
        <v>118</v>
      </c>
      <c r="R1340">
        <v>696</v>
      </c>
      <c r="S1340">
        <v>1291</v>
      </c>
      <c r="T1340" t="s">
        <v>31</v>
      </c>
      <c r="U1340" t="s">
        <v>31</v>
      </c>
      <c r="V1340" t="s">
        <v>31</v>
      </c>
      <c r="W1340" t="s">
        <v>31</v>
      </c>
      <c r="X1340" t="s">
        <v>31</v>
      </c>
      <c r="Y1340" t="s">
        <v>31</v>
      </c>
    </row>
    <row r="1341" spans="1:25" hidden="1">
      <c r="A1341" t="s">
        <v>25</v>
      </c>
      <c r="B1341" t="s">
        <v>26</v>
      </c>
      <c r="C1341" t="s">
        <v>53</v>
      </c>
      <c r="D1341" s="1">
        <v>43757</v>
      </c>
      <c r="E1341" s="2">
        <v>0.66666666666666663</v>
      </c>
      <c r="F1341" t="s">
        <v>28</v>
      </c>
      <c r="G1341" t="s">
        <v>29</v>
      </c>
      <c r="H1341">
        <v>1</v>
      </c>
      <c r="I1341">
        <v>1</v>
      </c>
      <c r="J1341" t="s">
        <v>41</v>
      </c>
      <c r="K1341">
        <v>687</v>
      </c>
      <c r="L1341">
        <v>483</v>
      </c>
      <c r="M1341">
        <v>145</v>
      </c>
      <c r="N1341">
        <v>875</v>
      </c>
      <c r="O1341">
        <v>54</v>
      </c>
      <c r="P1341">
        <v>146</v>
      </c>
      <c r="Q1341">
        <v>705</v>
      </c>
      <c r="R1341">
        <v>494</v>
      </c>
      <c r="S1341">
        <v>138</v>
      </c>
      <c r="T1341" t="s">
        <v>31</v>
      </c>
      <c r="U1341" t="s">
        <v>31</v>
      </c>
      <c r="V1341" t="s">
        <v>31</v>
      </c>
      <c r="W1341" t="s">
        <v>31</v>
      </c>
      <c r="X1341" t="s">
        <v>31</v>
      </c>
      <c r="Y1341" t="s">
        <v>31</v>
      </c>
    </row>
    <row r="1342" spans="1:25" hidden="1">
      <c r="A1342" t="s">
        <v>25</v>
      </c>
      <c r="B1342" t="s">
        <v>26</v>
      </c>
      <c r="C1342" t="s">
        <v>53</v>
      </c>
      <c r="D1342" s="1">
        <v>43758</v>
      </c>
      <c r="E1342" s="2">
        <v>0.5625</v>
      </c>
      <c r="F1342" t="s">
        <v>48</v>
      </c>
      <c r="G1342" t="s">
        <v>40</v>
      </c>
      <c r="H1342">
        <v>2</v>
      </c>
      <c r="I1342">
        <v>2</v>
      </c>
      <c r="J1342" t="s">
        <v>41</v>
      </c>
      <c r="K1342">
        <v>335</v>
      </c>
      <c r="L1342">
        <v>372</v>
      </c>
      <c r="M1342">
        <v>214</v>
      </c>
      <c r="N1342">
        <v>35</v>
      </c>
      <c r="O1342">
        <v>378</v>
      </c>
      <c r="P1342">
        <v>215</v>
      </c>
      <c r="Q1342">
        <v>324</v>
      </c>
      <c r="R1342">
        <v>358</v>
      </c>
      <c r="S1342">
        <v>207</v>
      </c>
      <c r="T1342" t="s">
        <v>31</v>
      </c>
      <c r="U1342" t="s">
        <v>31</v>
      </c>
      <c r="V1342" t="s">
        <v>31</v>
      </c>
      <c r="W1342" t="s">
        <v>31</v>
      </c>
      <c r="X1342" t="s">
        <v>31</v>
      </c>
      <c r="Y1342" t="s">
        <v>31</v>
      </c>
    </row>
    <row r="1343" spans="1:25" hidden="1">
      <c r="A1343" t="s">
        <v>25</v>
      </c>
      <c r="B1343" t="s">
        <v>26</v>
      </c>
      <c r="C1343" t="s">
        <v>53</v>
      </c>
      <c r="D1343" s="1">
        <v>43758</v>
      </c>
      <c r="E1343" s="2">
        <v>0.5625</v>
      </c>
      <c r="F1343" t="s">
        <v>54</v>
      </c>
      <c r="G1343" t="s">
        <v>52</v>
      </c>
      <c r="H1343">
        <v>0</v>
      </c>
      <c r="I1343">
        <v>1</v>
      </c>
      <c r="J1343" t="s">
        <v>30</v>
      </c>
      <c r="K1343">
        <v>203</v>
      </c>
      <c r="L1343">
        <v>408</v>
      </c>
      <c r="M1343">
        <v>338</v>
      </c>
      <c r="N1343">
        <v>206</v>
      </c>
      <c r="O1343">
        <v>41</v>
      </c>
      <c r="P1343">
        <v>35</v>
      </c>
      <c r="Q1343">
        <v>199</v>
      </c>
      <c r="R1343">
        <v>389</v>
      </c>
      <c r="S1343">
        <v>322</v>
      </c>
      <c r="T1343" t="s">
        <v>31</v>
      </c>
      <c r="U1343" t="s">
        <v>31</v>
      </c>
      <c r="V1343" t="s">
        <v>31</v>
      </c>
      <c r="W1343" t="s">
        <v>31</v>
      </c>
      <c r="X1343" t="s">
        <v>31</v>
      </c>
      <c r="Y1343" t="s">
        <v>31</v>
      </c>
    </row>
    <row r="1344" spans="1:25" hidden="1">
      <c r="A1344" t="s">
        <v>25</v>
      </c>
      <c r="B1344" t="s">
        <v>26</v>
      </c>
      <c r="C1344" t="s">
        <v>53</v>
      </c>
      <c r="D1344" s="1">
        <v>43758</v>
      </c>
      <c r="E1344" s="2">
        <v>0.66666666666666663</v>
      </c>
      <c r="F1344" t="s">
        <v>35</v>
      </c>
      <c r="G1344" t="s">
        <v>39</v>
      </c>
      <c r="H1344">
        <v>1</v>
      </c>
      <c r="I1344">
        <v>1</v>
      </c>
      <c r="J1344" t="s">
        <v>41</v>
      </c>
      <c r="K1344">
        <v>233</v>
      </c>
      <c r="L1344">
        <v>399</v>
      </c>
      <c r="M1344">
        <v>282</v>
      </c>
      <c r="N1344">
        <v>24</v>
      </c>
      <c r="O1344">
        <v>399</v>
      </c>
      <c r="P1344">
        <v>29</v>
      </c>
      <c r="Q1344">
        <v>23</v>
      </c>
      <c r="R1344">
        <v>368</v>
      </c>
      <c r="S1344">
        <v>275</v>
      </c>
      <c r="T1344" t="s">
        <v>31</v>
      </c>
      <c r="U1344" t="s">
        <v>31</v>
      </c>
      <c r="V1344" t="s">
        <v>31</v>
      </c>
      <c r="W1344" t="s">
        <v>31</v>
      </c>
      <c r="X1344" t="s">
        <v>31</v>
      </c>
      <c r="Y1344" t="s">
        <v>31</v>
      </c>
    </row>
    <row r="1345" spans="1:25" hidden="1">
      <c r="A1345" t="s">
        <v>25</v>
      </c>
      <c r="B1345" t="s">
        <v>26</v>
      </c>
      <c r="C1345" t="s">
        <v>53</v>
      </c>
      <c r="D1345" s="1">
        <v>43764</v>
      </c>
      <c r="E1345" s="2">
        <v>0.66666666666666663</v>
      </c>
      <c r="F1345" t="s">
        <v>40</v>
      </c>
      <c r="G1345" t="s">
        <v>54</v>
      </c>
      <c r="H1345">
        <v>2</v>
      </c>
      <c r="I1345">
        <v>3</v>
      </c>
      <c r="J1345" t="s">
        <v>30</v>
      </c>
      <c r="K1345">
        <v>159</v>
      </c>
      <c r="L1345">
        <v>45</v>
      </c>
      <c r="M1345">
        <v>535</v>
      </c>
      <c r="N1345">
        <v>172</v>
      </c>
      <c r="O1345">
        <v>46</v>
      </c>
      <c r="P1345">
        <v>6</v>
      </c>
      <c r="Q1345">
        <v>159</v>
      </c>
      <c r="R1345">
        <v>425</v>
      </c>
      <c r="S1345">
        <v>489</v>
      </c>
      <c r="T1345" t="s">
        <v>31</v>
      </c>
      <c r="U1345" t="s">
        <v>31</v>
      </c>
      <c r="V1345" t="s">
        <v>31</v>
      </c>
      <c r="W1345" t="s">
        <v>31</v>
      </c>
      <c r="X1345" t="s">
        <v>31</v>
      </c>
      <c r="Y1345" t="s">
        <v>31</v>
      </c>
    </row>
    <row r="1346" spans="1:25" hidden="1">
      <c r="A1346" t="s">
        <v>25</v>
      </c>
      <c r="B1346" t="s">
        <v>26</v>
      </c>
      <c r="C1346" t="s">
        <v>53</v>
      </c>
      <c r="D1346" s="1">
        <v>43764</v>
      </c>
      <c r="E1346" s="2">
        <v>0.66666666666666663</v>
      </c>
      <c r="F1346" t="s">
        <v>52</v>
      </c>
      <c r="G1346" t="s">
        <v>32</v>
      </c>
      <c r="H1346">
        <v>3</v>
      </c>
      <c r="I1346">
        <v>1</v>
      </c>
      <c r="J1346" t="s">
        <v>34</v>
      </c>
      <c r="K1346">
        <v>193</v>
      </c>
      <c r="L1346">
        <v>436</v>
      </c>
      <c r="M1346">
        <v>35</v>
      </c>
      <c r="N1346">
        <v>195</v>
      </c>
      <c r="O1346">
        <v>436</v>
      </c>
      <c r="P1346">
        <v>4</v>
      </c>
      <c r="Q1346">
        <v>189</v>
      </c>
      <c r="R1346">
        <v>404</v>
      </c>
      <c r="S1346">
        <v>34</v>
      </c>
      <c r="T1346" t="s">
        <v>31</v>
      </c>
      <c r="U1346" t="s">
        <v>31</v>
      </c>
      <c r="V1346" t="s">
        <v>31</v>
      </c>
      <c r="W1346" t="s">
        <v>31</v>
      </c>
      <c r="X1346" t="s">
        <v>31</v>
      </c>
      <c r="Y1346" t="s">
        <v>31</v>
      </c>
    </row>
    <row r="1347" spans="1:25" hidden="1">
      <c r="A1347" t="s">
        <v>25</v>
      </c>
      <c r="B1347" t="s">
        <v>26</v>
      </c>
      <c r="C1347" t="s">
        <v>53</v>
      </c>
      <c r="D1347" s="1">
        <v>43764</v>
      </c>
      <c r="E1347" s="2">
        <v>0.66666666666666663</v>
      </c>
      <c r="F1347" t="s">
        <v>48</v>
      </c>
      <c r="G1347" t="s">
        <v>28</v>
      </c>
      <c r="H1347">
        <v>0</v>
      </c>
      <c r="I1347">
        <v>4</v>
      </c>
      <c r="J1347" t="s">
        <v>30</v>
      </c>
      <c r="K1347">
        <v>429</v>
      </c>
      <c r="L1347">
        <v>398</v>
      </c>
      <c r="M1347">
        <v>181</v>
      </c>
      <c r="N1347">
        <v>429</v>
      </c>
      <c r="O1347">
        <v>398</v>
      </c>
      <c r="P1347">
        <v>186</v>
      </c>
      <c r="Q1347">
        <v>404</v>
      </c>
      <c r="R1347">
        <v>373</v>
      </c>
      <c r="S1347">
        <v>18</v>
      </c>
      <c r="T1347" t="s">
        <v>31</v>
      </c>
      <c r="U1347" t="s">
        <v>31</v>
      </c>
      <c r="V1347" t="s">
        <v>31</v>
      </c>
      <c r="W1347" t="s">
        <v>31</v>
      </c>
      <c r="X1347" t="s">
        <v>31</v>
      </c>
      <c r="Y1347" t="s">
        <v>31</v>
      </c>
    </row>
    <row r="1348" spans="1:25" hidden="1">
      <c r="A1348" t="s">
        <v>25</v>
      </c>
      <c r="B1348" t="s">
        <v>26</v>
      </c>
      <c r="C1348" t="s">
        <v>53</v>
      </c>
      <c r="D1348" s="1">
        <v>43765</v>
      </c>
      <c r="E1348" s="2">
        <v>0.5625</v>
      </c>
      <c r="F1348" t="s">
        <v>45</v>
      </c>
      <c r="G1348" t="s">
        <v>50</v>
      </c>
      <c r="H1348">
        <v>0</v>
      </c>
      <c r="I1348">
        <v>1</v>
      </c>
      <c r="J1348" t="s">
        <v>30</v>
      </c>
      <c r="K1348">
        <v>652</v>
      </c>
      <c r="L1348">
        <v>457</v>
      </c>
      <c r="M1348">
        <v>15</v>
      </c>
      <c r="N1348">
        <v>652</v>
      </c>
      <c r="O1348">
        <v>46</v>
      </c>
      <c r="P1348">
        <v>159</v>
      </c>
      <c r="Q1348">
        <v>601</v>
      </c>
      <c r="R1348">
        <v>433</v>
      </c>
      <c r="S1348">
        <v>149</v>
      </c>
      <c r="T1348" t="s">
        <v>31</v>
      </c>
      <c r="U1348" t="s">
        <v>31</v>
      </c>
      <c r="V1348" t="s">
        <v>31</v>
      </c>
      <c r="W1348" t="s">
        <v>31</v>
      </c>
      <c r="X1348" t="s">
        <v>31</v>
      </c>
      <c r="Y1348" t="s">
        <v>31</v>
      </c>
    </row>
    <row r="1349" spans="1:25" hidden="1">
      <c r="A1349" t="s">
        <v>25</v>
      </c>
      <c r="B1349" t="s">
        <v>26</v>
      </c>
      <c r="C1349" t="s">
        <v>53</v>
      </c>
      <c r="D1349" s="1">
        <v>43765</v>
      </c>
      <c r="E1349" s="2">
        <v>0.5625</v>
      </c>
      <c r="F1349" t="s">
        <v>39</v>
      </c>
      <c r="G1349" t="s">
        <v>37</v>
      </c>
      <c r="H1349">
        <v>2</v>
      </c>
      <c r="I1349">
        <v>2</v>
      </c>
      <c r="J1349" t="s">
        <v>41</v>
      </c>
      <c r="K1349">
        <v>134</v>
      </c>
      <c r="L1349">
        <v>562</v>
      </c>
      <c r="M1349">
        <v>856</v>
      </c>
      <c r="N1349">
        <v>138</v>
      </c>
      <c r="O1349">
        <v>564</v>
      </c>
      <c r="P1349">
        <v>856</v>
      </c>
      <c r="Q1349">
        <v>134</v>
      </c>
      <c r="R1349">
        <v>516</v>
      </c>
      <c r="S1349">
        <v>758</v>
      </c>
      <c r="T1349" t="s">
        <v>31</v>
      </c>
      <c r="U1349" t="s">
        <v>31</v>
      </c>
      <c r="V1349" t="s">
        <v>31</v>
      </c>
      <c r="W1349" t="s">
        <v>31</v>
      </c>
      <c r="X1349" t="s">
        <v>31</v>
      </c>
      <c r="Y1349" t="s">
        <v>31</v>
      </c>
    </row>
    <row r="1350" spans="1:25" hidden="1">
      <c r="A1350" t="s">
        <v>25</v>
      </c>
      <c r="B1350" t="s">
        <v>26</v>
      </c>
      <c r="C1350" t="s">
        <v>53</v>
      </c>
      <c r="D1350" s="1">
        <v>43765</v>
      </c>
      <c r="E1350" s="2">
        <v>0.66666666666666663</v>
      </c>
      <c r="F1350" t="s">
        <v>29</v>
      </c>
      <c r="G1350" t="s">
        <v>35</v>
      </c>
      <c r="H1350">
        <v>3</v>
      </c>
      <c r="I1350">
        <v>2</v>
      </c>
      <c r="J1350" t="s">
        <v>34</v>
      </c>
      <c r="K1350">
        <v>132</v>
      </c>
      <c r="L1350">
        <v>58</v>
      </c>
      <c r="M1350">
        <v>893</v>
      </c>
      <c r="N1350">
        <v>135</v>
      </c>
      <c r="O1350">
        <v>625</v>
      </c>
      <c r="P1350">
        <v>9</v>
      </c>
      <c r="Q1350">
        <v>13</v>
      </c>
      <c r="R1350">
        <v>569</v>
      </c>
      <c r="S1350">
        <v>789</v>
      </c>
      <c r="T1350" t="s">
        <v>31</v>
      </c>
      <c r="U1350" t="s">
        <v>31</v>
      </c>
      <c r="V1350" t="s">
        <v>31</v>
      </c>
      <c r="W1350" t="s">
        <v>31</v>
      </c>
      <c r="X1350" t="s">
        <v>31</v>
      </c>
      <c r="Y1350" t="s">
        <v>31</v>
      </c>
    </row>
    <row r="1351" spans="1:25" hidden="1">
      <c r="A1351" t="s">
        <v>25</v>
      </c>
      <c r="B1351" t="s">
        <v>26</v>
      </c>
      <c r="C1351" t="s">
        <v>53</v>
      </c>
      <c r="D1351" s="1">
        <v>43771</v>
      </c>
      <c r="E1351" s="2">
        <v>0.66666666666666663</v>
      </c>
      <c r="F1351" t="s">
        <v>32</v>
      </c>
      <c r="G1351" t="s">
        <v>29</v>
      </c>
      <c r="H1351">
        <v>0</v>
      </c>
      <c r="I1351">
        <v>3</v>
      </c>
      <c r="J1351" t="s">
        <v>30</v>
      </c>
      <c r="K1351">
        <v>173</v>
      </c>
      <c r="L1351">
        <v>97</v>
      </c>
      <c r="M1351">
        <v>113</v>
      </c>
      <c r="N1351">
        <v>19</v>
      </c>
      <c r="O1351">
        <v>10</v>
      </c>
      <c r="P1351">
        <v>118</v>
      </c>
      <c r="Q1351">
        <v>1467</v>
      </c>
      <c r="R1351">
        <v>878</v>
      </c>
      <c r="S1351">
        <v>113</v>
      </c>
      <c r="T1351" t="s">
        <v>31</v>
      </c>
      <c r="U1351" t="s">
        <v>31</v>
      </c>
      <c r="V1351" t="s">
        <v>31</v>
      </c>
      <c r="W1351" t="s">
        <v>31</v>
      </c>
      <c r="X1351" t="s">
        <v>31</v>
      </c>
      <c r="Y1351" t="s">
        <v>31</v>
      </c>
    </row>
    <row r="1352" spans="1:25" hidden="1">
      <c r="A1352" t="s">
        <v>25</v>
      </c>
      <c r="B1352" t="s">
        <v>26</v>
      </c>
      <c r="C1352" t="s">
        <v>53</v>
      </c>
      <c r="D1352" s="1">
        <v>43771</v>
      </c>
      <c r="E1352" s="2">
        <v>0.66666666666666663</v>
      </c>
      <c r="F1352" t="s">
        <v>35</v>
      </c>
      <c r="G1352" t="s">
        <v>48</v>
      </c>
      <c r="H1352">
        <v>0</v>
      </c>
      <c r="I1352">
        <v>1</v>
      </c>
      <c r="J1352" t="s">
        <v>30</v>
      </c>
      <c r="K1352">
        <v>125</v>
      </c>
      <c r="L1352">
        <v>601</v>
      </c>
      <c r="M1352">
        <v>1163</v>
      </c>
      <c r="N1352">
        <v>129</v>
      </c>
      <c r="O1352">
        <v>65</v>
      </c>
      <c r="P1352">
        <v>1163</v>
      </c>
      <c r="Q1352">
        <v>125</v>
      </c>
      <c r="R1352">
        <v>578</v>
      </c>
      <c r="S1352">
        <v>1012</v>
      </c>
      <c r="T1352" t="s">
        <v>31</v>
      </c>
      <c r="U1352" t="s">
        <v>31</v>
      </c>
      <c r="V1352" t="s">
        <v>31</v>
      </c>
      <c r="W1352" t="s">
        <v>31</v>
      </c>
      <c r="X1352" t="s">
        <v>31</v>
      </c>
      <c r="Y1352" t="s">
        <v>31</v>
      </c>
    </row>
    <row r="1353" spans="1:25" hidden="1">
      <c r="A1353" t="s">
        <v>25</v>
      </c>
      <c r="B1353" t="s">
        <v>26</v>
      </c>
      <c r="C1353" t="s">
        <v>53</v>
      </c>
      <c r="D1353" s="1">
        <v>43771</v>
      </c>
      <c r="E1353" s="2">
        <v>0.66666666666666663</v>
      </c>
      <c r="F1353" t="s">
        <v>28</v>
      </c>
      <c r="G1353" t="s">
        <v>39</v>
      </c>
      <c r="H1353">
        <v>0</v>
      </c>
      <c r="I1353">
        <v>4</v>
      </c>
      <c r="J1353" t="s">
        <v>30</v>
      </c>
      <c r="K1353">
        <v>279</v>
      </c>
      <c r="L1353">
        <v>373</v>
      </c>
      <c r="M1353">
        <v>245</v>
      </c>
      <c r="N1353">
        <v>288</v>
      </c>
      <c r="O1353">
        <v>373</v>
      </c>
      <c r="P1353">
        <v>265</v>
      </c>
      <c r="Q1353">
        <v>274</v>
      </c>
      <c r="R1353">
        <v>344</v>
      </c>
      <c r="S1353">
        <v>241</v>
      </c>
      <c r="T1353" t="s">
        <v>31</v>
      </c>
      <c r="U1353" t="s">
        <v>31</v>
      </c>
      <c r="V1353" t="s">
        <v>31</v>
      </c>
      <c r="W1353" t="s">
        <v>31</v>
      </c>
      <c r="X1353" t="s">
        <v>31</v>
      </c>
      <c r="Y1353" t="s">
        <v>31</v>
      </c>
    </row>
    <row r="1354" spans="1:25" hidden="1">
      <c r="A1354" t="s">
        <v>25</v>
      </c>
      <c r="B1354" t="s">
        <v>26</v>
      </c>
      <c r="C1354" t="s">
        <v>53</v>
      </c>
      <c r="D1354" s="1">
        <v>43772</v>
      </c>
      <c r="E1354" s="2">
        <v>0.5625</v>
      </c>
      <c r="F1354" t="s">
        <v>37</v>
      </c>
      <c r="G1354" t="s">
        <v>52</v>
      </c>
      <c r="H1354">
        <v>0</v>
      </c>
      <c r="I1354">
        <v>1</v>
      </c>
      <c r="J1354" t="s">
        <v>30</v>
      </c>
      <c r="K1354">
        <v>207</v>
      </c>
      <c r="L1354">
        <v>382</v>
      </c>
      <c r="M1354">
        <v>345</v>
      </c>
      <c r="N1354">
        <v>24</v>
      </c>
      <c r="O1354">
        <v>394</v>
      </c>
      <c r="P1354">
        <v>38</v>
      </c>
      <c r="Q1354">
        <v>214</v>
      </c>
      <c r="R1354">
        <v>365</v>
      </c>
      <c r="S1354">
        <v>306</v>
      </c>
      <c r="T1354" t="s">
        <v>31</v>
      </c>
      <c r="U1354" t="s">
        <v>31</v>
      </c>
      <c r="V1354" t="s">
        <v>31</v>
      </c>
      <c r="W1354" t="s">
        <v>31</v>
      </c>
      <c r="X1354" t="s">
        <v>31</v>
      </c>
      <c r="Y1354" t="s">
        <v>31</v>
      </c>
    </row>
    <row r="1355" spans="1:25" hidden="1">
      <c r="A1355" t="s">
        <v>25</v>
      </c>
      <c r="B1355" t="s">
        <v>26</v>
      </c>
      <c r="C1355" t="s">
        <v>53</v>
      </c>
      <c r="D1355" s="1">
        <v>43772</v>
      </c>
      <c r="E1355" s="2">
        <v>0.5625</v>
      </c>
      <c r="F1355" t="s">
        <v>54</v>
      </c>
      <c r="G1355" t="s">
        <v>45</v>
      </c>
      <c r="H1355">
        <v>0</v>
      </c>
      <c r="I1355">
        <v>4</v>
      </c>
      <c r="J1355" t="s">
        <v>30</v>
      </c>
      <c r="K1355">
        <v>259</v>
      </c>
      <c r="L1355">
        <v>364</v>
      </c>
      <c r="M1355">
        <v>267</v>
      </c>
      <c r="N1355">
        <v>26</v>
      </c>
      <c r="O1355">
        <v>37</v>
      </c>
      <c r="P1355">
        <v>275</v>
      </c>
      <c r="Q1355">
        <v>251</v>
      </c>
      <c r="R1355">
        <v>345</v>
      </c>
      <c r="S1355">
        <v>261</v>
      </c>
      <c r="T1355" t="s">
        <v>31</v>
      </c>
      <c r="U1355" t="s">
        <v>31</v>
      </c>
      <c r="V1355" t="s">
        <v>31</v>
      </c>
      <c r="W1355" t="s">
        <v>31</v>
      </c>
      <c r="X1355" t="s">
        <v>31</v>
      </c>
      <c r="Y1355" t="s">
        <v>31</v>
      </c>
    </row>
    <row r="1356" spans="1:25" hidden="1">
      <c r="A1356" t="s">
        <v>25</v>
      </c>
      <c r="B1356" t="s">
        <v>26</v>
      </c>
      <c r="C1356" t="s">
        <v>53</v>
      </c>
      <c r="D1356" s="1">
        <v>43772</v>
      </c>
      <c r="E1356" s="2">
        <v>0.66666666666666663</v>
      </c>
      <c r="F1356" t="s">
        <v>50</v>
      </c>
      <c r="G1356" t="s">
        <v>40</v>
      </c>
      <c r="H1356">
        <v>2</v>
      </c>
      <c r="I1356">
        <v>0</v>
      </c>
      <c r="J1356" t="s">
        <v>34</v>
      </c>
      <c r="K1356">
        <v>132</v>
      </c>
      <c r="L1356">
        <v>596</v>
      </c>
      <c r="M1356">
        <v>867</v>
      </c>
      <c r="N1356">
        <v>137</v>
      </c>
      <c r="O1356">
        <v>596</v>
      </c>
      <c r="P1356">
        <v>94</v>
      </c>
      <c r="Q1356">
        <v>13</v>
      </c>
      <c r="R1356">
        <v>554</v>
      </c>
      <c r="S1356">
        <v>818</v>
      </c>
      <c r="T1356" t="s">
        <v>31</v>
      </c>
      <c r="U1356" t="s">
        <v>31</v>
      </c>
      <c r="V1356" t="s">
        <v>31</v>
      </c>
      <c r="W1356" t="s">
        <v>31</v>
      </c>
      <c r="X1356" t="s">
        <v>31</v>
      </c>
      <c r="Y1356" t="s">
        <v>31</v>
      </c>
    </row>
    <row r="1357" spans="1:25" hidden="1">
      <c r="A1357" t="s">
        <v>25</v>
      </c>
      <c r="B1357" t="s">
        <v>26</v>
      </c>
      <c r="C1357" t="s">
        <v>53</v>
      </c>
      <c r="D1357" s="1">
        <v>43778</v>
      </c>
      <c r="E1357" s="2">
        <v>0.66666666666666663</v>
      </c>
      <c r="F1357" t="s">
        <v>45</v>
      </c>
      <c r="G1357" t="s">
        <v>35</v>
      </c>
      <c r="H1357">
        <v>0</v>
      </c>
      <c r="I1357">
        <v>3</v>
      </c>
      <c r="J1357" t="s">
        <v>30</v>
      </c>
      <c r="K1357">
        <v>385</v>
      </c>
      <c r="L1357">
        <v>401</v>
      </c>
      <c r="M1357">
        <v>191</v>
      </c>
      <c r="N1357">
        <v>395</v>
      </c>
      <c r="O1357">
        <v>401</v>
      </c>
      <c r="P1357">
        <v>202</v>
      </c>
      <c r="Q1357">
        <v>368</v>
      </c>
      <c r="R1357">
        <v>368</v>
      </c>
      <c r="S1357">
        <v>19</v>
      </c>
      <c r="T1357" t="s">
        <v>31</v>
      </c>
      <c r="U1357" t="s">
        <v>31</v>
      </c>
      <c r="V1357" t="s">
        <v>31</v>
      </c>
      <c r="W1357" t="s">
        <v>31</v>
      </c>
      <c r="X1357" t="s">
        <v>31</v>
      </c>
      <c r="Y1357" t="s">
        <v>31</v>
      </c>
    </row>
    <row r="1358" spans="1:25" hidden="1">
      <c r="A1358" t="s">
        <v>25</v>
      </c>
      <c r="B1358" t="s">
        <v>26</v>
      </c>
      <c r="C1358" t="s">
        <v>53</v>
      </c>
      <c r="D1358" s="1">
        <v>43778</v>
      </c>
      <c r="E1358" s="2">
        <v>0.66666666666666663</v>
      </c>
      <c r="F1358" t="s">
        <v>48</v>
      </c>
      <c r="G1358" t="s">
        <v>54</v>
      </c>
      <c r="H1358">
        <v>5</v>
      </c>
      <c r="I1358">
        <v>1</v>
      </c>
      <c r="J1358" t="s">
        <v>34</v>
      </c>
      <c r="K1358">
        <v>222</v>
      </c>
      <c r="L1358">
        <v>368</v>
      </c>
      <c r="M1358">
        <v>319</v>
      </c>
      <c r="N1358">
        <v>24</v>
      </c>
      <c r="O1358">
        <v>38</v>
      </c>
      <c r="P1358">
        <v>319</v>
      </c>
      <c r="Q1358">
        <v>219</v>
      </c>
      <c r="R1358">
        <v>354</v>
      </c>
      <c r="S1358">
        <v>302</v>
      </c>
      <c r="T1358" t="s">
        <v>31</v>
      </c>
      <c r="U1358" t="s">
        <v>31</v>
      </c>
      <c r="V1358" t="s">
        <v>31</v>
      </c>
      <c r="W1358" t="s">
        <v>31</v>
      </c>
      <c r="X1358" t="s">
        <v>31</v>
      </c>
      <c r="Y1358" t="s">
        <v>31</v>
      </c>
    </row>
    <row r="1359" spans="1:25" hidden="1">
      <c r="A1359" t="s">
        <v>25</v>
      </c>
      <c r="B1359" t="s">
        <v>26</v>
      </c>
      <c r="C1359" t="s">
        <v>53</v>
      </c>
      <c r="D1359" s="1">
        <v>43778</v>
      </c>
      <c r="E1359" s="2">
        <v>0.66666666666666663</v>
      </c>
      <c r="F1359" t="s">
        <v>28</v>
      </c>
      <c r="G1359" t="s">
        <v>52</v>
      </c>
      <c r="H1359">
        <v>3</v>
      </c>
      <c r="I1359">
        <v>1</v>
      </c>
      <c r="J1359" t="s">
        <v>34</v>
      </c>
      <c r="K1359">
        <v>147</v>
      </c>
      <c r="L1359">
        <v>494</v>
      </c>
      <c r="M1359">
        <v>635</v>
      </c>
      <c r="N1359">
        <v>152</v>
      </c>
      <c r="O1359">
        <v>5</v>
      </c>
      <c r="P1359">
        <v>65</v>
      </c>
      <c r="Q1359">
        <v>145</v>
      </c>
      <c r="R1359">
        <v>469</v>
      </c>
      <c r="S1359">
        <v>6</v>
      </c>
      <c r="T1359" t="s">
        <v>31</v>
      </c>
      <c r="U1359" t="s">
        <v>31</v>
      </c>
      <c r="V1359" t="s">
        <v>31</v>
      </c>
      <c r="W1359" t="s">
        <v>31</v>
      </c>
      <c r="X1359" t="s">
        <v>31</v>
      </c>
      <c r="Y1359" t="s">
        <v>31</v>
      </c>
    </row>
    <row r="1360" spans="1:25" hidden="1">
      <c r="A1360" t="s">
        <v>25</v>
      </c>
      <c r="B1360" t="s">
        <v>26</v>
      </c>
      <c r="C1360" t="s">
        <v>53</v>
      </c>
      <c r="D1360" s="1">
        <v>43779</v>
      </c>
      <c r="E1360" s="2">
        <v>0.5625</v>
      </c>
      <c r="F1360" t="s">
        <v>40</v>
      </c>
      <c r="G1360" t="s">
        <v>32</v>
      </c>
      <c r="H1360">
        <v>2</v>
      </c>
      <c r="I1360">
        <v>1</v>
      </c>
      <c r="J1360" t="s">
        <v>34</v>
      </c>
      <c r="K1360">
        <v>169</v>
      </c>
      <c r="L1360">
        <v>452</v>
      </c>
      <c r="M1360">
        <v>446</v>
      </c>
      <c r="N1360">
        <v>18</v>
      </c>
      <c r="O1360">
        <v>452</v>
      </c>
      <c r="P1360">
        <v>49</v>
      </c>
      <c r="Q1360">
        <v>169</v>
      </c>
      <c r="R1360">
        <v>414</v>
      </c>
      <c r="S1360">
        <v>422</v>
      </c>
      <c r="T1360" t="s">
        <v>31</v>
      </c>
      <c r="U1360" t="s">
        <v>31</v>
      </c>
      <c r="V1360" t="s">
        <v>31</v>
      </c>
      <c r="W1360" t="s">
        <v>31</v>
      </c>
      <c r="X1360" t="s">
        <v>31</v>
      </c>
      <c r="Y1360" t="s">
        <v>31</v>
      </c>
    </row>
    <row r="1361" spans="1:25" hidden="1">
      <c r="A1361" t="s">
        <v>25</v>
      </c>
      <c r="B1361" t="s">
        <v>26</v>
      </c>
      <c r="C1361" t="s">
        <v>53</v>
      </c>
      <c r="D1361" s="1">
        <v>43779</v>
      </c>
      <c r="E1361" s="2">
        <v>0.5625</v>
      </c>
      <c r="F1361" t="s">
        <v>50</v>
      </c>
      <c r="G1361" t="s">
        <v>37</v>
      </c>
      <c r="H1361">
        <v>1</v>
      </c>
      <c r="I1361">
        <v>0</v>
      </c>
      <c r="J1361" t="s">
        <v>34</v>
      </c>
      <c r="K1361">
        <v>118</v>
      </c>
      <c r="L1361">
        <v>736</v>
      </c>
      <c r="M1361">
        <v>1547</v>
      </c>
      <c r="N1361">
        <v>122</v>
      </c>
      <c r="O1361">
        <v>74</v>
      </c>
      <c r="P1361">
        <v>17</v>
      </c>
      <c r="Q1361">
        <v>118</v>
      </c>
      <c r="R1361">
        <v>69</v>
      </c>
      <c r="S1361">
        <v>1291</v>
      </c>
      <c r="T1361" t="s">
        <v>31</v>
      </c>
      <c r="U1361" t="s">
        <v>31</v>
      </c>
      <c r="V1361" t="s">
        <v>31</v>
      </c>
      <c r="W1361" t="s">
        <v>31</v>
      </c>
      <c r="X1361" t="s">
        <v>31</v>
      </c>
      <c r="Y1361" t="s">
        <v>31</v>
      </c>
    </row>
    <row r="1362" spans="1:25" hidden="1">
      <c r="A1362" t="s">
        <v>25</v>
      </c>
      <c r="B1362" t="s">
        <v>26</v>
      </c>
      <c r="C1362" t="s">
        <v>53</v>
      </c>
      <c r="D1362" s="1">
        <v>43779</v>
      </c>
      <c r="E1362" s="2">
        <v>0.66666666666666663</v>
      </c>
      <c r="F1362" t="s">
        <v>39</v>
      </c>
      <c r="G1362" t="s">
        <v>29</v>
      </c>
      <c r="H1362">
        <v>0</v>
      </c>
      <c r="I1362">
        <v>3</v>
      </c>
      <c r="J1362" t="s">
        <v>30</v>
      </c>
      <c r="K1362">
        <v>54</v>
      </c>
      <c r="L1362">
        <v>519</v>
      </c>
      <c r="M1362">
        <v>151</v>
      </c>
      <c r="N1362">
        <v>54</v>
      </c>
      <c r="O1362">
        <v>519</v>
      </c>
      <c r="P1362">
        <v>16</v>
      </c>
      <c r="Q1362">
        <v>498</v>
      </c>
      <c r="R1362">
        <v>466</v>
      </c>
      <c r="S1362">
        <v>153</v>
      </c>
      <c r="T1362" t="s">
        <v>31</v>
      </c>
      <c r="U1362" t="s">
        <v>31</v>
      </c>
      <c r="V1362" t="s">
        <v>31</v>
      </c>
      <c r="W1362" t="s">
        <v>31</v>
      </c>
      <c r="X1362" t="s">
        <v>31</v>
      </c>
      <c r="Y1362" t="s">
        <v>31</v>
      </c>
    </row>
    <row r="1363" spans="1:25" hidden="1">
      <c r="A1363" t="s">
        <v>25</v>
      </c>
      <c r="B1363" t="s">
        <v>26</v>
      </c>
      <c r="C1363" t="s">
        <v>53</v>
      </c>
      <c r="D1363" s="1">
        <v>43792</v>
      </c>
      <c r="E1363" s="2">
        <v>0.66666666666666663</v>
      </c>
      <c r="F1363" t="s">
        <v>32</v>
      </c>
      <c r="G1363" t="s">
        <v>39</v>
      </c>
      <c r="H1363">
        <v>1</v>
      </c>
      <c r="I1363">
        <v>4</v>
      </c>
      <c r="J1363" t="s">
        <v>30</v>
      </c>
      <c r="K1363">
        <v>668</v>
      </c>
      <c r="L1363">
        <v>555</v>
      </c>
      <c r="M1363">
        <v>14</v>
      </c>
      <c r="N1363">
        <v>8</v>
      </c>
      <c r="O1363">
        <v>555</v>
      </c>
      <c r="P1363">
        <v>151</v>
      </c>
      <c r="Q1363">
        <v>666</v>
      </c>
      <c r="R1363">
        <v>504</v>
      </c>
      <c r="S1363">
        <v>139</v>
      </c>
      <c r="T1363" t="s">
        <v>31</v>
      </c>
      <c r="U1363" t="s">
        <v>31</v>
      </c>
      <c r="V1363" t="s">
        <v>31</v>
      </c>
      <c r="W1363" t="s">
        <v>31</v>
      </c>
      <c r="X1363" t="s">
        <v>31</v>
      </c>
      <c r="Y1363" t="s">
        <v>31</v>
      </c>
    </row>
    <row r="1364" spans="1:25" hidden="1">
      <c r="A1364" t="s">
        <v>25</v>
      </c>
      <c r="B1364" t="s">
        <v>26</v>
      </c>
      <c r="C1364" t="s">
        <v>53</v>
      </c>
      <c r="D1364" s="1">
        <v>43792</v>
      </c>
      <c r="E1364" s="2">
        <v>0.66666666666666663</v>
      </c>
      <c r="F1364" t="s">
        <v>29</v>
      </c>
      <c r="G1364" t="s">
        <v>48</v>
      </c>
      <c r="H1364">
        <v>2</v>
      </c>
      <c r="I1364">
        <v>2</v>
      </c>
      <c r="J1364" t="s">
        <v>41</v>
      </c>
      <c r="K1364">
        <v>108</v>
      </c>
      <c r="L1364">
        <v>1104</v>
      </c>
      <c r="M1364">
        <v>2208</v>
      </c>
      <c r="N1364">
        <v>109</v>
      </c>
      <c r="O1364">
        <v>15</v>
      </c>
      <c r="P1364">
        <v>31</v>
      </c>
      <c r="Q1364">
        <v>107</v>
      </c>
      <c r="R1364">
        <v>1137</v>
      </c>
      <c r="S1364">
        <v>222</v>
      </c>
      <c r="T1364" t="s">
        <v>31</v>
      </c>
      <c r="U1364" t="s">
        <v>31</v>
      </c>
      <c r="V1364" t="s">
        <v>31</v>
      </c>
      <c r="W1364" t="s">
        <v>31</v>
      </c>
      <c r="X1364" t="s">
        <v>31</v>
      </c>
      <c r="Y1364" t="s">
        <v>31</v>
      </c>
    </row>
    <row r="1365" spans="1:25" hidden="1">
      <c r="A1365" t="s">
        <v>25</v>
      </c>
      <c r="B1365" t="s">
        <v>26</v>
      </c>
      <c r="C1365" t="s">
        <v>53</v>
      </c>
      <c r="D1365" s="1">
        <v>43792</v>
      </c>
      <c r="E1365" s="2">
        <v>0.66666666666666663</v>
      </c>
      <c r="F1365" t="s">
        <v>54</v>
      </c>
      <c r="G1365" t="s">
        <v>50</v>
      </c>
      <c r="H1365">
        <v>0</v>
      </c>
      <c r="I1365">
        <v>2</v>
      </c>
      <c r="J1365" t="s">
        <v>30</v>
      </c>
      <c r="K1365">
        <v>949</v>
      </c>
      <c r="L1365">
        <v>572</v>
      </c>
      <c r="M1365">
        <v>131</v>
      </c>
      <c r="N1365">
        <v>105</v>
      </c>
      <c r="O1365">
        <v>58</v>
      </c>
      <c r="P1365">
        <v>135</v>
      </c>
      <c r="Q1365">
        <v>907</v>
      </c>
      <c r="R1365">
        <v>538</v>
      </c>
      <c r="S1365">
        <v>129</v>
      </c>
      <c r="T1365" t="s">
        <v>31</v>
      </c>
      <c r="U1365" t="s">
        <v>31</v>
      </c>
      <c r="V1365" t="s">
        <v>31</v>
      </c>
      <c r="W1365" t="s">
        <v>31</v>
      </c>
      <c r="X1365" t="s">
        <v>31</v>
      </c>
      <c r="Y1365" t="s">
        <v>31</v>
      </c>
    </row>
    <row r="1366" spans="1:25" hidden="1">
      <c r="A1366" t="s">
        <v>25</v>
      </c>
      <c r="B1366" t="s">
        <v>26</v>
      </c>
      <c r="C1366" t="s">
        <v>53</v>
      </c>
      <c r="D1366" s="1">
        <v>43793</v>
      </c>
      <c r="E1366" s="2">
        <v>0.5625</v>
      </c>
      <c r="F1366" t="s">
        <v>37</v>
      </c>
      <c r="G1366" t="s">
        <v>40</v>
      </c>
      <c r="H1366">
        <v>0</v>
      </c>
      <c r="I1366">
        <v>0</v>
      </c>
      <c r="J1366" t="s">
        <v>41</v>
      </c>
      <c r="K1366">
        <v>308</v>
      </c>
      <c r="L1366">
        <v>368</v>
      </c>
      <c r="M1366">
        <v>228</v>
      </c>
      <c r="N1366">
        <v>325</v>
      </c>
      <c r="O1366">
        <v>375</v>
      </c>
      <c r="P1366">
        <v>229</v>
      </c>
      <c r="Q1366">
        <v>3</v>
      </c>
      <c r="R1366">
        <v>348</v>
      </c>
      <c r="S1366">
        <v>222</v>
      </c>
      <c r="T1366" t="s">
        <v>31</v>
      </c>
      <c r="U1366" t="s">
        <v>31</v>
      </c>
      <c r="V1366" t="s">
        <v>31</v>
      </c>
      <c r="W1366" t="s">
        <v>31</v>
      </c>
      <c r="X1366" t="s">
        <v>31</v>
      </c>
      <c r="Y1366" t="s">
        <v>31</v>
      </c>
    </row>
    <row r="1367" spans="1:25" hidden="1">
      <c r="A1367" t="s">
        <v>25</v>
      </c>
      <c r="B1367" t="s">
        <v>26</v>
      </c>
      <c r="C1367" t="s">
        <v>53</v>
      </c>
      <c r="D1367" s="1">
        <v>43793</v>
      </c>
      <c r="E1367" s="2">
        <v>0.5625</v>
      </c>
      <c r="F1367" t="s">
        <v>52</v>
      </c>
      <c r="G1367" t="s">
        <v>45</v>
      </c>
      <c r="H1367">
        <v>2</v>
      </c>
      <c r="I1367">
        <v>1</v>
      </c>
      <c r="J1367" t="s">
        <v>34</v>
      </c>
      <c r="K1367">
        <v>251</v>
      </c>
      <c r="L1367">
        <v>372</v>
      </c>
      <c r="M1367">
        <v>272</v>
      </c>
      <c r="N1367">
        <v>251</v>
      </c>
      <c r="O1367">
        <v>372</v>
      </c>
      <c r="P1367">
        <v>29</v>
      </c>
      <c r="Q1367">
        <v>238</v>
      </c>
      <c r="R1367">
        <v>352</v>
      </c>
      <c r="S1367">
        <v>273</v>
      </c>
      <c r="T1367" t="s">
        <v>31</v>
      </c>
      <c r="U1367" t="s">
        <v>31</v>
      </c>
      <c r="V1367" t="s">
        <v>31</v>
      </c>
      <c r="W1367" t="s">
        <v>31</v>
      </c>
      <c r="X1367" t="s">
        <v>31</v>
      </c>
      <c r="Y1367" t="s">
        <v>31</v>
      </c>
    </row>
    <row r="1368" spans="1:25" hidden="1">
      <c r="A1368" t="s">
        <v>25</v>
      </c>
      <c r="B1368" t="s">
        <v>26</v>
      </c>
      <c r="C1368" t="s">
        <v>53</v>
      </c>
      <c r="D1368" s="1">
        <v>43793</v>
      </c>
      <c r="E1368" s="2">
        <v>0.66666666666666663</v>
      </c>
      <c r="F1368" t="s">
        <v>35</v>
      </c>
      <c r="G1368" t="s">
        <v>28</v>
      </c>
      <c r="H1368">
        <v>1</v>
      </c>
      <c r="I1368">
        <v>1</v>
      </c>
      <c r="J1368" t="s">
        <v>41</v>
      </c>
      <c r="K1368">
        <v>188</v>
      </c>
      <c r="L1368">
        <v>399</v>
      </c>
      <c r="M1368">
        <v>4</v>
      </c>
      <c r="N1368">
        <v>189</v>
      </c>
      <c r="O1368">
        <v>41</v>
      </c>
      <c r="P1368">
        <v>433</v>
      </c>
      <c r="Q1368">
        <v>183</v>
      </c>
      <c r="R1368">
        <v>376</v>
      </c>
      <c r="S1368">
        <v>392</v>
      </c>
      <c r="T1368" t="s">
        <v>31</v>
      </c>
      <c r="U1368" t="s">
        <v>31</v>
      </c>
      <c r="V1368" t="s">
        <v>31</v>
      </c>
      <c r="W1368" t="s">
        <v>31</v>
      </c>
      <c r="X1368" t="s">
        <v>31</v>
      </c>
      <c r="Y1368" t="s">
        <v>31</v>
      </c>
    </row>
    <row r="1369" spans="1:25" hidden="1">
      <c r="A1369" t="s">
        <v>25</v>
      </c>
      <c r="B1369" t="s">
        <v>26</v>
      </c>
      <c r="C1369" t="s">
        <v>53</v>
      </c>
      <c r="D1369" s="1">
        <v>43799</v>
      </c>
      <c r="E1369" s="2">
        <v>0.66666666666666663</v>
      </c>
      <c r="F1369" t="s">
        <v>40</v>
      </c>
      <c r="G1369" t="s">
        <v>52</v>
      </c>
      <c r="H1369">
        <v>5</v>
      </c>
      <c r="I1369">
        <v>0</v>
      </c>
      <c r="J1369" t="s">
        <v>34</v>
      </c>
      <c r="K1369">
        <v>173</v>
      </c>
      <c r="L1369">
        <v>42</v>
      </c>
      <c r="M1369">
        <v>45</v>
      </c>
      <c r="N1369">
        <v>175</v>
      </c>
      <c r="O1369">
        <v>433</v>
      </c>
      <c r="P1369">
        <v>48</v>
      </c>
      <c r="Q1369">
        <v>17</v>
      </c>
      <c r="R1369">
        <v>407</v>
      </c>
      <c r="S1369">
        <v>427</v>
      </c>
      <c r="T1369" t="s">
        <v>31</v>
      </c>
      <c r="U1369" t="s">
        <v>31</v>
      </c>
      <c r="V1369" t="s">
        <v>31</v>
      </c>
      <c r="W1369" t="s">
        <v>31</v>
      </c>
      <c r="X1369" t="s">
        <v>31</v>
      </c>
      <c r="Y1369" t="s">
        <v>31</v>
      </c>
    </row>
    <row r="1370" spans="1:25" hidden="1">
      <c r="A1370" t="s">
        <v>25</v>
      </c>
      <c r="B1370" t="s">
        <v>26</v>
      </c>
      <c r="C1370" t="s">
        <v>53</v>
      </c>
      <c r="D1370" s="1">
        <v>43799</v>
      </c>
      <c r="E1370" s="2">
        <v>0.66666666666666663</v>
      </c>
      <c r="F1370" t="s">
        <v>48</v>
      </c>
      <c r="G1370" t="s">
        <v>32</v>
      </c>
      <c r="H1370">
        <v>0</v>
      </c>
      <c r="I1370">
        <v>0</v>
      </c>
      <c r="J1370" t="s">
        <v>41</v>
      </c>
      <c r="K1370">
        <v>183</v>
      </c>
      <c r="L1370">
        <v>417</v>
      </c>
      <c r="M1370">
        <v>403</v>
      </c>
      <c r="N1370">
        <v>187</v>
      </c>
      <c r="O1370">
        <v>417</v>
      </c>
      <c r="P1370">
        <v>45</v>
      </c>
      <c r="Q1370">
        <v>18</v>
      </c>
      <c r="R1370">
        <v>381</v>
      </c>
      <c r="S1370">
        <v>397</v>
      </c>
      <c r="T1370" t="s">
        <v>31</v>
      </c>
      <c r="U1370" t="s">
        <v>31</v>
      </c>
      <c r="V1370" t="s">
        <v>31</v>
      </c>
      <c r="W1370" t="s">
        <v>31</v>
      </c>
      <c r="X1370" t="s">
        <v>31</v>
      </c>
      <c r="Y1370" t="s">
        <v>31</v>
      </c>
    </row>
    <row r="1371" spans="1:25" hidden="1">
      <c r="A1371" t="s">
        <v>25</v>
      </c>
      <c r="B1371" t="s">
        <v>26</v>
      </c>
      <c r="C1371" t="s">
        <v>53</v>
      </c>
      <c r="D1371" s="1">
        <v>43799</v>
      </c>
      <c r="E1371" s="2">
        <v>0.66666666666666663</v>
      </c>
      <c r="F1371" t="s">
        <v>54</v>
      </c>
      <c r="G1371" t="s">
        <v>28</v>
      </c>
      <c r="H1371">
        <v>1</v>
      </c>
      <c r="I1371">
        <v>5</v>
      </c>
      <c r="J1371" t="s">
        <v>30</v>
      </c>
      <c r="K1371">
        <v>407</v>
      </c>
      <c r="L1371">
        <v>369</v>
      </c>
      <c r="M1371">
        <v>193</v>
      </c>
      <c r="N1371">
        <v>42</v>
      </c>
      <c r="O1371">
        <v>375</v>
      </c>
      <c r="P1371">
        <v>195</v>
      </c>
      <c r="Q1371">
        <v>382</v>
      </c>
      <c r="R1371">
        <v>361</v>
      </c>
      <c r="S1371">
        <v>188</v>
      </c>
      <c r="T1371" t="s">
        <v>31</v>
      </c>
      <c r="U1371" t="s">
        <v>31</v>
      </c>
      <c r="V1371" t="s">
        <v>31</v>
      </c>
      <c r="W1371" t="s">
        <v>31</v>
      </c>
      <c r="X1371" t="s">
        <v>31</v>
      </c>
      <c r="Y1371" t="s">
        <v>31</v>
      </c>
    </row>
    <row r="1372" spans="1:25" hidden="1">
      <c r="A1372" t="s">
        <v>25</v>
      </c>
      <c r="B1372" t="s">
        <v>26</v>
      </c>
      <c r="C1372" t="s">
        <v>53</v>
      </c>
      <c r="D1372" s="1">
        <v>43800</v>
      </c>
      <c r="E1372" s="2">
        <v>0.5625</v>
      </c>
      <c r="F1372" t="s">
        <v>37</v>
      </c>
      <c r="G1372" t="s">
        <v>29</v>
      </c>
      <c r="H1372">
        <v>1</v>
      </c>
      <c r="I1372">
        <v>1</v>
      </c>
      <c r="J1372" t="s">
        <v>41</v>
      </c>
      <c r="K1372">
        <v>128</v>
      </c>
      <c r="L1372">
        <v>818</v>
      </c>
      <c r="M1372">
        <v>116</v>
      </c>
      <c r="N1372">
        <v>17</v>
      </c>
      <c r="O1372">
        <v>9</v>
      </c>
      <c r="P1372">
        <v>119</v>
      </c>
      <c r="Q1372">
        <v>1331</v>
      </c>
      <c r="R1372">
        <v>765</v>
      </c>
      <c r="S1372">
        <v>116</v>
      </c>
      <c r="T1372" t="s">
        <v>31</v>
      </c>
      <c r="U1372" t="s">
        <v>31</v>
      </c>
      <c r="V1372" t="s">
        <v>31</v>
      </c>
      <c r="W1372" t="s">
        <v>31</v>
      </c>
      <c r="X1372" t="s">
        <v>31</v>
      </c>
      <c r="Y1372" t="s">
        <v>31</v>
      </c>
    </row>
    <row r="1373" spans="1:25" hidden="1">
      <c r="A1373" t="s">
        <v>25</v>
      </c>
      <c r="B1373" t="s">
        <v>26</v>
      </c>
      <c r="C1373" t="s">
        <v>53</v>
      </c>
      <c r="D1373" s="1">
        <v>43800</v>
      </c>
      <c r="E1373" s="2">
        <v>0.5625</v>
      </c>
      <c r="F1373" t="s">
        <v>45</v>
      </c>
      <c r="G1373" t="s">
        <v>39</v>
      </c>
      <c r="H1373">
        <v>2</v>
      </c>
      <c r="I1373">
        <v>1</v>
      </c>
      <c r="J1373" t="s">
        <v>34</v>
      </c>
      <c r="K1373">
        <v>431</v>
      </c>
      <c r="L1373">
        <v>418</v>
      </c>
      <c r="M1373">
        <v>177</v>
      </c>
      <c r="N1373">
        <v>433</v>
      </c>
      <c r="O1373">
        <v>418</v>
      </c>
      <c r="P1373">
        <v>186</v>
      </c>
      <c r="Q1373">
        <v>405</v>
      </c>
      <c r="R1373">
        <v>394</v>
      </c>
      <c r="S1373">
        <v>176</v>
      </c>
      <c r="T1373" t="s">
        <v>31</v>
      </c>
      <c r="U1373" t="s">
        <v>31</v>
      </c>
      <c r="V1373" t="s">
        <v>31</v>
      </c>
      <c r="W1373" t="s">
        <v>31</v>
      </c>
      <c r="X1373" t="s">
        <v>31</v>
      </c>
      <c r="Y1373" t="s">
        <v>31</v>
      </c>
    </row>
    <row r="1374" spans="1:25" hidden="1">
      <c r="A1374" t="s">
        <v>25</v>
      </c>
      <c r="B1374" t="s">
        <v>26</v>
      </c>
      <c r="C1374" t="s">
        <v>53</v>
      </c>
      <c r="D1374" s="1">
        <v>43800</v>
      </c>
      <c r="E1374" s="2">
        <v>0.66666666666666663</v>
      </c>
      <c r="F1374" t="s">
        <v>50</v>
      </c>
      <c r="G1374" t="s">
        <v>35</v>
      </c>
      <c r="H1374">
        <v>0</v>
      </c>
      <c r="I1374">
        <v>4</v>
      </c>
      <c r="J1374" t="s">
        <v>30</v>
      </c>
      <c r="K1374">
        <v>175</v>
      </c>
      <c r="L1374">
        <v>394</v>
      </c>
      <c r="M1374">
        <v>477</v>
      </c>
      <c r="N1374">
        <v>177</v>
      </c>
      <c r="O1374">
        <v>4</v>
      </c>
      <c r="P1374">
        <v>487</v>
      </c>
      <c r="Q1374">
        <v>172</v>
      </c>
      <c r="R1374">
        <v>376</v>
      </c>
      <c r="S1374">
        <v>45</v>
      </c>
      <c r="T1374" t="s">
        <v>31</v>
      </c>
      <c r="U1374" t="s">
        <v>31</v>
      </c>
      <c r="V1374" t="s">
        <v>31</v>
      </c>
      <c r="W1374" t="s">
        <v>31</v>
      </c>
      <c r="X1374" t="s">
        <v>31</v>
      </c>
      <c r="Y1374" t="s">
        <v>31</v>
      </c>
    </row>
    <row r="1375" spans="1:25" hidden="1">
      <c r="A1375" t="s">
        <v>25</v>
      </c>
      <c r="B1375" t="s">
        <v>26</v>
      </c>
      <c r="C1375" t="s">
        <v>53</v>
      </c>
      <c r="D1375" s="1">
        <v>43806</v>
      </c>
      <c r="E1375" s="2">
        <v>0.66666666666666663</v>
      </c>
      <c r="F1375" t="s">
        <v>52</v>
      </c>
      <c r="G1375" t="s">
        <v>48</v>
      </c>
      <c r="H1375">
        <v>3</v>
      </c>
      <c r="I1375">
        <v>2</v>
      </c>
      <c r="J1375" t="s">
        <v>34</v>
      </c>
      <c r="K1375">
        <v>237</v>
      </c>
      <c r="L1375">
        <v>375</v>
      </c>
      <c r="M1375">
        <v>289</v>
      </c>
      <c r="N1375">
        <v>24</v>
      </c>
      <c r="O1375">
        <v>378</v>
      </c>
      <c r="P1375">
        <v>327</v>
      </c>
      <c r="Q1375">
        <v>231</v>
      </c>
      <c r="R1375">
        <v>359</v>
      </c>
      <c r="S1375">
        <v>28</v>
      </c>
      <c r="T1375" t="s">
        <v>31</v>
      </c>
      <c r="U1375" t="s">
        <v>31</v>
      </c>
      <c r="V1375" t="s">
        <v>31</v>
      </c>
      <c r="W1375" t="s">
        <v>31</v>
      </c>
      <c r="X1375" t="s">
        <v>31</v>
      </c>
      <c r="Y1375" t="s">
        <v>31</v>
      </c>
    </row>
    <row r="1376" spans="1:25" hidden="1">
      <c r="A1376" t="s">
        <v>25</v>
      </c>
      <c r="B1376" t="s">
        <v>26</v>
      </c>
      <c r="C1376" t="s">
        <v>53</v>
      </c>
      <c r="D1376" s="1">
        <v>43806</v>
      </c>
      <c r="E1376" s="2">
        <v>0.66666666666666663</v>
      </c>
      <c r="F1376" t="s">
        <v>29</v>
      </c>
      <c r="G1376" t="s">
        <v>54</v>
      </c>
      <c r="H1376">
        <v>5</v>
      </c>
      <c r="I1376">
        <v>1</v>
      </c>
      <c r="J1376" t="s">
        <v>34</v>
      </c>
      <c r="K1376">
        <v>106</v>
      </c>
      <c r="L1376">
        <v>131</v>
      </c>
      <c r="M1376">
        <v>2816</v>
      </c>
      <c r="N1376">
        <v>115</v>
      </c>
      <c r="O1376">
        <v>14</v>
      </c>
      <c r="P1376">
        <v>32</v>
      </c>
      <c r="Q1376">
        <v>106</v>
      </c>
      <c r="R1376">
        <v>1184</v>
      </c>
      <c r="S1376">
        <v>2403</v>
      </c>
      <c r="T1376" t="s">
        <v>31</v>
      </c>
      <c r="U1376" t="s">
        <v>31</v>
      </c>
      <c r="V1376" t="s">
        <v>31</v>
      </c>
      <c r="W1376" t="s">
        <v>31</v>
      </c>
      <c r="X1376" t="s">
        <v>31</v>
      </c>
      <c r="Y1376" t="s">
        <v>31</v>
      </c>
    </row>
    <row r="1377" spans="1:25" hidden="1">
      <c r="A1377" t="s">
        <v>25</v>
      </c>
      <c r="B1377" t="s">
        <v>26</v>
      </c>
      <c r="C1377" t="s">
        <v>53</v>
      </c>
      <c r="D1377" s="1">
        <v>43806</v>
      </c>
      <c r="E1377" s="2">
        <v>0.66666666666666663</v>
      </c>
      <c r="F1377" t="s">
        <v>39</v>
      </c>
      <c r="G1377" t="s">
        <v>50</v>
      </c>
      <c r="H1377">
        <v>1</v>
      </c>
      <c r="I1377">
        <v>3</v>
      </c>
      <c r="J1377" t="s">
        <v>30</v>
      </c>
      <c r="K1377">
        <v>313</v>
      </c>
      <c r="L1377">
        <v>361</v>
      </c>
      <c r="M1377">
        <v>228</v>
      </c>
      <c r="N1377">
        <v>325</v>
      </c>
      <c r="O1377">
        <v>361</v>
      </c>
      <c r="P1377">
        <v>231</v>
      </c>
      <c r="Q1377">
        <v>302</v>
      </c>
      <c r="R1377">
        <v>341</v>
      </c>
      <c r="S1377">
        <v>224</v>
      </c>
      <c r="T1377" t="s">
        <v>31</v>
      </c>
      <c r="U1377" t="s">
        <v>31</v>
      </c>
      <c r="V1377" t="s">
        <v>31</v>
      </c>
      <c r="W1377" t="s">
        <v>31</v>
      </c>
      <c r="X1377" t="s">
        <v>31</v>
      </c>
      <c r="Y1377" t="s">
        <v>31</v>
      </c>
    </row>
    <row r="1378" spans="1:25" hidden="1">
      <c r="A1378" t="s">
        <v>25</v>
      </c>
      <c r="B1378" t="s">
        <v>26</v>
      </c>
      <c r="C1378" t="s">
        <v>53</v>
      </c>
      <c r="D1378" s="1">
        <v>43807</v>
      </c>
      <c r="E1378" s="2">
        <v>0.5625</v>
      </c>
      <c r="F1378" t="s">
        <v>32</v>
      </c>
      <c r="G1378" t="s">
        <v>37</v>
      </c>
      <c r="H1378">
        <v>1</v>
      </c>
      <c r="I1378">
        <v>2</v>
      </c>
      <c r="J1378" t="s">
        <v>30</v>
      </c>
      <c r="K1378">
        <v>316</v>
      </c>
      <c r="L1378">
        <v>341</v>
      </c>
      <c r="M1378">
        <v>235</v>
      </c>
      <c r="N1378">
        <v>32</v>
      </c>
      <c r="O1378">
        <v>35</v>
      </c>
      <c r="P1378">
        <v>268</v>
      </c>
      <c r="Q1378">
        <v>3</v>
      </c>
      <c r="R1378">
        <v>326</v>
      </c>
      <c r="S1378">
        <v>233</v>
      </c>
      <c r="T1378" t="s">
        <v>31</v>
      </c>
      <c r="U1378" t="s">
        <v>31</v>
      </c>
      <c r="V1378" t="s">
        <v>31</v>
      </c>
      <c r="W1378" t="s">
        <v>31</v>
      </c>
      <c r="X1378" t="s">
        <v>31</v>
      </c>
      <c r="Y1378" t="s">
        <v>31</v>
      </c>
    </row>
    <row r="1379" spans="1:25" hidden="1">
      <c r="A1379" t="s">
        <v>25</v>
      </c>
      <c r="B1379" t="s">
        <v>26</v>
      </c>
      <c r="C1379" t="s">
        <v>53</v>
      </c>
      <c r="D1379" s="1">
        <v>43807</v>
      </c>
      <c r="E1379" s="2">
        <v>0.5625</v>
      </c>
      <c r="F1379" t="s">
        <v>28</v>
      </c>
      <c r="G1379" t="s">
        <v>45</v>
      </c>
      <c r="H1379">
        <v>1</v>
      </c>
      <c r="I1379">
        <v>2</v>
      </c>
      <c r="J1379" t="s">
        <v>30</v>
      </c>
      <c r="K1379">
        <v>171</v>
      </c>
      <c r="L1379">
        <v>382</v>
      </c>
      <c r="M1379">
        <v>523</v>
      </c>
      <c r="N1379">
        <v>181</v>
      </c>
      <c r="O1379">
        <v>4</v>
      </c>
      <c r="P1379">
        <v>523</v>
      </c>
      <c r="Q1379">
        <v>17</v>
      </c>
      <c r="R1379">
        <v>379</v>
      </c>
      <c r="S1379">
        <v>459</v>
      </c>
      <c r="T1379" t="s">
        <v>31</v>
      </c>
      <c r="U1379" t="s">
        <v>31</v>
      </c>
      <c r="V1379" t="s">
        <v>31</v>
      </c>
      <c r="W1379" t="s">
        <v>31</v>
      </c>
      <c r="X1379" t="s">
        <v>31</v>
      </c>
      <c r="Y1379" t="s">
        <v>31</v>
      </c>
    </row>
    <row r="1380" spans="1:25" hidden="1">
      <c r="A1380" t="s">
        <v>25</v>
      </c>
      <c r="B1380" t="s">
        <v>26</v>
      </c>
      <c r="C1380" t="s">
        <v>53</v>
      </c>
      <c r="D1380" s="1">
        <v>43807</v>
      </c>
      <c r="E1380" s="2">
        <v>0.66666666666666663</v>
      </c>
      <c r="F1380" t="s">
        <v>35</v>
      </c>
      <c r="G1380" t="s">
        <v>40</v>
      </c>
      <c r="H1380">
        <v>2</v>
      </c>
      <c r="I1380">
        <v>2</v>
      </c>
      <c r="J1380" t="s">
        <v>41</v>
      </c>
      <c r="K1380">
        <v>168</v>
      </c>
      <c r="L1380">
        <v>441</v>
      </c>
      <c r="M1380">
        <v>463</v>
      </c>
      <c r="N1380">
        <v>185</v>
      </c>
      <c r="O1380">
        <v>441</v>
      </c>
      <c r="P1380">
        <v>5</v>
      </c>
      <c r="Q1380">
        <v>168</v>
      </c>
      <c r="R1380">
        <v>408</v>
      </c>
      <c r="S1380">
        <v>441</v>
      </c>
      <c r="T1380" t="s">
        <v>31</v>
      </c>
      <c r="U1380" t="s">
        <v>31</v>
      </c>
      <c r="V1380" t="s">
        <v>31</v>
      </c>
      <c r="W1380" t="s">
        <v>31</v>
      </c>
      <c r="X1380" t="s">
        <v>31</v>
      </c>
      <c r="Y1380" t="s">
        <v>31</v>
      </c>
    </row>
    <row r="1381" spans="1:25" hidden="1">
      <c r="A1381" t="s">
        <v>25</v>
      </c>
      <c r="B1381" t="s">
        <v>26</v>
      </c>
      <c r="C1381" t="s">
        <v>53</v>
      </c>
      <c r="D1381" s="1">
        <v>43813</v>
      </c>
      <c r="E1381" s="2">
        <v>0.66666666666666663</v>
      </c>
      <c r="F1381" t="s">
        <v>37</v>
      </c>
      <c r="G1381" t="s">
        <v>35</v>
      </c>
      <c r="H1381">
        <v>0</v>
      </c>
      <c r="I1381">
        <v>3</v>
      </c>
      <c r="J1381" t="s">
        <v>30</v>
      </c>
      <c r="K1381">
        <v>608</v>
      </c>
      <c r="L1381">
        <v>493</v>
      </c>
      <c r="M1381">
        <v>148</v>
      </c>
      <c r="N1381">
        <v>65</v>
      </c>
      <c r="O1381">
        <v>493</v>
      </c>
      <c r="P1381">
        <v>153</v>
      </c>
      <c r="Q1381">
        <v>587</v>
      </c>
      <c r="R1381">
        <v>443</v>
      </c>
      <c r="S1381">
        <v>148</v>
      </c>
      <c r="T1381" t="s">
        <v>31</v>
      </c>
      <c r="U1381" t="s">
        <v>31</v>
      </c>
      <c r="V1381" t="s">
        <v>31</v>
      </c>
      <c r="W1381" t="s">
        <v>31</v>
      </c>
      <c r="X1381" t="s">
        <v>31</v>
      </c>
      <c r="Y1381" t="s">
        <v>31</v>
      </c>
    </row>
    <row r="1382" spans="1:25" hidden="1">
      <c r="A1382" t="s">
        <v>25</v>
      </c>
      <c r="B1382" t="s">
        <v>26</v>
      </c>
      <c r="C1382" t="s">
        <v>53</v>
      </c>
      <c r="D1382" s="1">
        <v>43813</v>
      </c>
      <c r="E1382" s="2">
        <v>0.66666666666666663</v>
      </c>
      <c r="F1382" t="s">
        <v>52</v>
      </c>
      <c r="G1382" t="s">
        <v>29</v>
      </c>
      <c r="H1382">
        <v>2</v>
      </c>
      <c r="I1382">
        <v>2</v>
      </c>
      <c r="J1382" t="s">
        <v>41</v>
      </c>
      <c r="K1382">
        <v>809</v>
      </c>
      <c r="L1382">
        <v>658</v>
      </c>
      <c r="M1382">
        <v>126</v>
      </c>
      <c r="N1382">
        <v>14</v>
      </c>
      <c r="O1382">
        <v>76</v>
      </c>
      <c r="P1382">
        <v>128</v>
      </c>
      <c r="Q1382">
        <v>893</v>
      </c>
      <c r="R1382">
        <v>66</v>
      </c>
      <c r="S1382">
        <v>124</v>
      </c>
      <c r="T1382" t="s">
        <v>31</v>
      </c>
      <c r="U1382" t="s">
        <v>31</v>
      </c>
      <c r="V1382" t="s">
        <v>31</v>
      </c>
      <c r="W1382" t="s">
        <v>31</v>
      </c>
      <c r="X1382" t="s">
        <v>31</v>
      </c>
      <c r="Y1382" t="s">
        <v>31</v>
      </c>
    </row>
    <row r="1383" spans="1:25" hidden="1">
      <c r="A1383" t="s">
        <v>25</v>
      </c>
      <c r="B1383" t="s">
        <v>26</v>
      </c>
      <c r="C1383" t="s">
        <v>53</v>
      </c>
      <c r="D1383" s="1">
        <v>43813</v>
      </c>
      <c r="E1383" s="2">
        <v>0.66666666666666663</v>
      </c>
      <c r="F1383" t="s">
        <v>48</v>
      </c>
      <c r="G1383" t="s">
        <v>45</v>
      </c>
      <c r="H1383">
        <v>0</v>
      </c>
      <c r="I1383">
        <v>3</v>
      </c>
      <c r="J1383" t="s">
        <v>30</v>
      </c>
      <c r="K1383">
        <v>225</v>
      </c>
      <c r="L1383">
        <v>362</v>
      </c>
      <c r="M1383">
        <v>313</v>
      </c>
      <c r="N1383">
        <v>25</v>
      </c>
      <c r="O1383">
        <v>363</v>
      </c>
      <c r="P1383">
        <v>315</v>
      </c>
      <c r="Q1383">
        <v>227</v>
      </c>
      <c r="R1383">
        <v>342</v>
      </c>
      <c r="S1383">
        <v>297</v>
      </c>
      <c r="T1383" t="s">
        <v>31</v>
      </c>
      <c r="U1383" t="s">
        <v>31</v>
      </c>
      <c r="V1383" t="s">
        <v>31</v>
      </c>
      <c r="W1383" t="s">
        <v>31</v>
      </c>
      <c r="X1383" t="s">
        <v>31</v>
      </c>
      <c r="Y1383" t="s">
        <v>31</v>
      </c>
    </row>
    <row r="1384" spans="1:25" hidden="1">
      <c r="A1384" t="s">
        <v>25</v>
      </c>
      <c r="B1384" t="s">
        <v>26</v>
      </c>
      <c r="C1384" t="s">
        <v>53</v>
      </c>
      <c r="D1384" s="1">
        <v>43814</v>
      </c>
      <c r="E1384" s="2">
        <v>0.5625</v>
      </c>
      <c r="F1384" t="s">
        <v>40</v>
      </c>
      <c r="G1384" t="s">
        <v>39</v>
      </c>
      <c r="H1384">
        <v>1</v>
      </c>
      <c r="I1384">
        <v>1</v>
      </c>
      <c r="J1384" t="s">
        <v>41</v>
      </c>
      <c r="K1384">
        <v>275</v>
      </c>
      <c r="L1384">
        <v>398</v>
      </c>
      <c r="M1384">
        <v>236</v>
      </c>
      <c r="N1384">
        <v>278</v>
      </c>
      <c r="O1384">
        <v>41</v>
      </c>
      <c r="P1384">
        <v>25</v>
      </c>
      <c r="Q1384">
        <v>265</v>
      </c>
      <c r="R1384">
        <v>38</v>
      </c>
      <c r="S1384">
        <v>233</v>
      </c>
      <c r="T1384" t="s">
        <v>31</v>
      </c>
      <c r="U1384" t="s">
        <v>31</v>
      </c>
      <c r="V1384" t="s">
        <v>31</v>
      </c>
      <c r="W1384" t="s">
        <v>31</v>
      </c>
      <c r="X1384" t="s">
        <v>31</v>
      </c>
      <c r="Y1384" t="s">
        <v>31</v>
      </c>
    </row>
    <row r="1385" spans="1:25" hidden="1">
      <c r="A1385" t="s">
        <v>25</v>
      </c>
      <c r="B1385" t="s">
        <v>26</v>
      </c>
      <c r="C1385" t="s">
        <v>53</v>
      </c>
      <c r="D1385" s="1">
        <v>43814</v>
      </c>
      <c r="E1385" s="2">
        <v>0.5625</v>
      </c>
      <c r="F1385" t="s">
        <v>54</v>
      </c>
      <c r="G1385" t="s">
        <v>32</v>
      </c>
      <c r="H1385">
        <v>1</v>
      </c>
      <c r="I1385">
        <v>3</v>
      </c>
      <c r="J1385" t="s">
        <v>30</v>
      </c>
      <c r="K1385">
        <v>193</v>
      </c>
      <c r="L1385">
        <v>385</v>
      </c>
      <c r="M1385">
        <v>386</v>
      </c>
      <c r="N1385">
        <v>206</v>
      </c>
      <c r="O1385">
        <v>385</v>
      </c>
      <c r="P1385">
        <v>39</v>
      </c>
      <c r="Q1385">
        <v>191</v>
      </c>
      <c r="R1385">
        <v>364</v>
      </c>
      <c r="S1385">
        <v>365</v>
      </c>
      <c r="T1385" t="s">
        <v>31</v>
      </c>
      <c r="U1385" t="s">
        <v>31</v>
      </c>
      <c r="V1385" t="s">
        <v>31</v>
      </c>
      <c r="W1385" t="s">
        <v>31</v>
      </c>
      <c r="X1385" t="s">
        <v>31</v>
      </c>
      <c r="Y1385" t="s">
        <v>31</v>
      </c>
    </row>
    <row r="1386" spans="1:25" hidden="1">
      <c r="A1386" t="s">
        <v>25</v>
      </c>
      <c r="B1386" t="s">
        <v>26</v>
      </c>
      <c r="C1386" t="s">
        <v>53</v>
      </c>
      <c r="D1386" s="1">
        <v>43814</v>
      </c>
      <c r="E1386" s="2">
        <v>0.66666666666666663</v>
      </c>
      <c r="F1386" t="s">
        <v>50</v>
      </c>
      <c r="G1386" t="s">
        <v>28</v>
      </c>
      <c r="H1386">
        <v>3</v>
      </c>
      <c r="I1386">
        <v>3</v>
      </c>
      <c r="J1386" t="s">
        <v>41</v>
      </c>
      <c r="K1386">
        <v>157</v>
      </c>
      <c r="L1386">
        <v>415</v>
      </c>
      <c r="M1386">
        <v>604</v>
      </c>
      <c r="N1386">
        <v>158</v>
      </c>
      <c r="O1386">
        <v>45</v>
      </c>
      <c r="P1386">
        <v>7</v>
      </c>
      <c r="Q1386">
        <v>152</v>
      </c>
      <c r="R1386">
        <v>41</v>
      </c>
      <c r="S1386">
        <v>591</v>
      </c>
      <c r="T1386" t="s">
        <v>31</v>
      </c>
      <c r="U1386" t="s">
        <v>31</v>
      </c>
      <c r="V1386" t="s">
        <v>31</v>
      </c>
      <c r="W1386" t="s">
        <v>31</v>
      </c>
      <c r="X1386" t="s">
        <v>31</v>
      </c>
      <c r="Y1386" t="s">
        <v>31</v>
      </c>
    </row>
    <row r="1387" spans="1:25" hidden="1">
      <c r="A1387" t="s">
        <v>25</v>
      </c>
      <c r="B1387" t="s">
        <v>26</v>
      </c>
      <c r="C1387" t="s">
        <v>53</v>
      </c>
      <c r="D1387" s="1">
        <v>43875</v>
      </c>
      <c r="E1387" s="2">
        <v>0.75</v>
      </c>
      <c r="F1387" t="s">
        <v>29</v>
      </c>
      <c r="G1387" t="s">
        <v>50</v>
      </c>
      <c r="H1387">
        <v>2</v>
      </c>
      <c r="I1387">
        <v>3</v>
      </c>
      <c r="J1387" t="s">
        <v>30</v>
      </c>
      <c r="K1387">
        <v>181</v>
      </c>
      <c r="L1387">
        <v>423</v>
      </c>
      <c r="M1387">
        <v>4</v>
      </c>
      <c r="N1387">
        <v>183</v>
      </c>
      <c r="O1387">
        <v>45</v>
      </c>
      <c r="P1387">
        <v>476</v>
      </c>
      <c r="Q1387">
        <v>175</v>
      </c>
      <c r="R1387">
        <v>398</v>
      </c>
      <c r="S1387">
        <v>399</v>
      </c>
      <c r="T1387" t="s">
        <v>31</v>
      </c>
      <c r="U1387" t="s">
        <v>31</v>
      </c>
      <c r="V1387" t="s">
        <v>31</v>
      </c>
      <c r="W1387" t="s">
        <v>31</v>
      </c>
      <c r="X1387" t="s">
        <v>31</v>
      </c>
      <c r="Y1387" t="s">
        <v>31</v>
      </c>
    </row>
    <row r="1388" spans="1:25" hidden="1">
      <c r="A1388" t="s">
        <v>25</v>
      </c>
      <c r="B1388" t="s">
        <v>26</v>
      </c>
      <c r="C1388" t="s">
        <v>53</v>
      </c>
      <c r="D1388" s="1">
        <v>43876</v>
      </c>
      <c r="E1388" s="2">
        <v>0.66666666666666663</v>
      </c>
      <c r="F1388" t="s">
        <v>45</v>
      </c>
      <c r="G1388" t="s">
        <v>40</v>
      </c>
      <c r="H1388">
        <v>2</v>
      </c>
      <c r="I1388">
        <v>2</v>
      </c>
      <c r="J1388" t="s">
        <v>41</v>
      </c>
      <c r="K1388">
        <v>291</v>
      </c>
      <c r="L1388">
        <v>376</v>
      </c>
      <c r="M1388">
        <v>233</v>
      </c>
      <c r="N1388">
        <v>31</v>
      </c>
      <c r="O1388">
        <v>378</v>
      </c>
      <c r="P1388">
        <v>246</v>
      </c>
      <c r="Q1388">
        <v>281</v>
      </c>
      <c r="R1388">
        <v>359</v>
      </c>
      <c r="S1388">
        <v>229</v>
      </c>
      <c r="T1388" t="s">
        <v>31</v>
      </c>
      <c r="U1388" t="s">
        <v>31</v>
      </c>
      <c r="V1388" t="s">
        <v>31</v>
      </c>
      <c r="W1388" t="s">
        <v>31</v>
      </c>
      <c r="X1388" t="s">
        <v>31</v>
      </c>
      <c r="Y1388" t="s">
        <v>31</v>
      </c>
    </row>
    <row r="1389" spans="1:25" hidden="1">
      <c r="A1389" t="s">
        <v>25</v>
      </c>
      <c r="B1389" t="s">
        <v>26</v>
      </c>
      <c r="C1389" t="s">
        <v>53</v>
      </c>
      <c r="D1389" s="1">
        <v>43876</v>
      </c>
      <c r="E1389" s="2">
        <v>0.66666666666666663</v>
      </c>
      <c r="F1389" t="s">
        <v>39</v>
      </c>
      <c r="G1389" t="s">
        <v>52</v>
      </c>
      <c r="H1389">
        <v>3</v>
      </c>
      <c r="I1389">
        <v>0</v>
      </c>
      <c r="J1389" t="s">
        <v>34</v>
      </c>
      <c r="K1389">
        <v>14</v>
      </c>
      <c r="L1389">
        <v>57</v>
      </c>
      <c r="M1389">
        <v>652</v>
      </c>
      <c r="N1389">
        <v>143</v>
      </c>
      <c r="O1389">
        <v>575</v>
      </c>
      <c r="P1389">
        <v>9</v>
      </c>
      <c r="Q1389">
        <v>134</v>
      </c>
      <c r="R1389">
        <v>549</v>
      </c>
      <c r="S1389">
        <v>698</v>
      </c>
      <c r="T1389" t="s">
        <v>31</v>
      </c>
      <c r="U1389" t="s">
        <v>31</v>
      </c>
      <c r="V1389" t="s">
        <v>31</v>
      </c>
      <c r="W1389" t="s">
        <v>31</v>
      </c>
      <c r="X1389" t="s">
        <v>31</v>
      </c>
      <c r="Y1389" t="s">
        <v>31</v>
      </c>
    </row>
    <row r="1390" spans="1:25" hidden="1">
      <c r="A1390" t="s">
        <v>25</v>
      </c>
      <c r="B1390" t="s">
        <v>26</v>
      </c>
      <c r="C1390" t="s">
        <v>53</v>
      </c>
      <c r="D1390" s="1">
        <v>43877</v>
      </c>
      <c r="E1390" s="2">
        <v>0.5625</v>
      </c>
      <c r="F1390" t="s">
        <v>48</v>
      </c>
      <c r="G1390" t="s">
        <v>37</v>
      </c>
      <c r="H1390">
        <v>2</v>
      </c>
      <c r="I1390">
        <v>2</v>
      </c>
      <c r="J1390" t="s">
        <v>41</v>
      </c>
      <c r="K1390">
        <v>22</v>
      </c>
      <c r="L1390">
        <v>357</v>
      </c>
      <c r="M1390">
        <v>341</v>
      </c>
      <c r="N1390">
        <v>221</v>
      </c>
      <c r="O1390">
        <v>357</v>
      </c>
      <c r="P1390">
        <v>355</v>
      </c>
      <c r="Q1390">
        <v>214</v>
      </c>
      <c r="R1390">
        <v>339</v>
      </c>
      <c r="S1390">
        <v>323</v>
      </c>
      <c r="T1390" t="s">
        <v>31</v>
      </c>
      <c r="U1390" t="s">
        <v>31</v>
      </c>
      <c r="V1390" t="s">
        <v>31</v>
      </c>
      <c r="W1390" t="s">
        <v>31</v>
      </c>
      <c r="X1390" t="s">
        <v>31</v>
      </c>
      <c r="Y1390" t="s">
        <v>31</v>
      </c>
    </row>
    <row r="1391" spans="1:25" hidden="1">
      <c r="A1391" t="s">
        <v>25</v>
      </c>
      <c r="B1391" t="s">
        <v>26</v>
      </c>
      <c r="C1391" t="s">
        <v>53</v>
      </c>
      <c r="D1391" s="1">
        <v>43877</v>
      </c>
      <c r="E1391" s="2">
        <v>0.5625</v>
      </c>
      <c r="F1391" t="s">
        <v>28</v>
      </c>
      <c r="G1391" t="s">
        <v>32</v>
      </c>
      <c r="H1391">
        <v>1</v>
      </c>
      <c r="I1391">
        <v>2</v>
      </c>
      <c r="J1391" t="s">
        <v>30</v>
      </c>
      <c r="K1391">
        <v>182</v>
      </c>
      <c r="L1391">
        <v>388</v>
      </c>
      <c r="M1391">
        <v>449</v>
      </c>
      <c r="N1391">
        <v>183</v>
      </c>
      <c r="O1391">
        <v>472</v>
      </c>
      <c r="P1391">
        <v>599</v>
      </c>
      <c r="Q1391">
        <v>175</v>
      </c>
      <c r="R1391">
        <v>38</v>
      </c>
      <c r="S1391">
        <v>425</v>
      </c>
      <c r="T1391" t="s">
        <v>31</v>
      </c>
      <c r="U1391" t="s">
        <v>31</v>
      </c>
      <c r="V1391" t="s">
        <v>31</v>
      </c>
      <c r="W1391" t="s">
        <v>31</v>
      </c>
      <c r="X1391" t="s">
        <v>31</v>
      </c>
      <c r="Y1391" t="s">
        <v>31</v>
      </c>
    </row>
    <row r="1392" spans="1:25" hidden="1">
      <c r="A1392" t="s">
        <v>25</v>
      </c>
      <c r="B1392" t="s">
        <v>26</v>
      </c>
      <c r="C1392" t="s">
        <v>53</v>
      </c>
      <c r="D1392" s="1">
        <v>43877</v>
      </c>
      <c r="E1392" s="2">
        <v>0.66666666666666663</v>
      </c>
      <c r="F1392" t="s">
        <v>35</v>
      </c>
      <c r="G1392" t="s">
        <v>54</v>
      </c>
      <c r="H1392">
        <v>2</v>
      </c>
      <c r="I1392">
        <v>0</v>
      </c>
      <c r="J1392" t="s">
        <v>34</v>
      </c>
      <c r="K1392">
        <v>125</v>
      </c>
      <c r="L1392">
        <v>732</v>
      </c>
      <c r="M1392">
        <v>1032</v>
      </c>
      <c r="N1392">
        <v>126</v>
      </c>
      <c r="O1392">
        <v>732</v>
      </c>
      <c r="P1392">
        <v>115</v>
      </c>
      <c r="Q1392">
        <v>123</v>
      </c>
      <c r="R1392">
        <v>638</v>
      </c>
      <c r="S1392">
        <v>986</v>
      </c>
      <c r="T1392" t="s">
        <v>31</v>
      </c>
      <c r="U1392" t="s">
        <v>31</v>
      </c>
      <c r="V1392" t="s">
        <v>31</v>
      </c>
      <c r="W1392" t="s">
        <v>31</v>
      </c>
      <c r="X1392" t="s">
        <v>31</v>
      </c>
      <c r="Y1392" t="s">
        <v>31</v>
      </c>
    </row>
    <row r="1393" spans="1:25" hidden="1">
      <c r="A1393" t="s">
        <v>25</v>
      </c>
      <c r="B1393" t="s">
        <v>26</v>
      </c>
      <c r="C1393" t="s">
        <v>53</v>
      </c>
      <c r="D1393" s="1">
        <v>43883</v>
      </c>
      <c r="E1393" s="2">
        <v>0.66666666666666663</v>
      </c>
      <c r="F1393" t="s">
        <v>37</v>
      </c>
      <c r="G1393" t="s">
        <v>28</v>
      </c>
      <c r="H1393">
        <v>0</v>
      </c>
      <c r="I1393">
        <v>2</v>
      </c>
      <c r="J1393" t="s">
        <v>30</v>
      </c>
      <c r="K1393">
        <v>335</v>
      </c>
      <c r="L1393">
        <v>363</v>
      </c>
      <c r="M1393">
        <v>215</v>
      </c>
      <c r="N1393">
        <v>345</v>
      </c>
      <c r="O1393">
        <v>363</v>
      </c>
      <c r="P1393">
        <v>22</v>
      </c>
      <c r="Q1393">
        <v>322</v>
      </c>
      <c r="R1393">
        <v>344</v>
      </c>
      <c r="S1393">
        <v>212</v>
      </c>
      <c r="T1393" t="s">
        <v>31</v>
      </c>
      <c r="U1393" t="s">
        <v>31</v>
      </c>
      <c r="V1393" t="s">
        <v>31</v>
      </c>
      <c r="W1393" t="s">
        <v>31</v>
      </c>
      <c r="X1393" t="s">
        <v>31</v>
      </c>
      <c r="Y1393" t="s">
        <v>31</v>
      </c>
    </row>
    <row r="1394" spans="1:25" hidden="1">
      <c r="A1394" t="s">
        <v>25</v>
      </c>
      <c r="B1394" t="s">
        <v>26</v>
      </c>
      <c r="C1394" t="s">
        <v>53</v>
      </c>
      <c r="D1394" s="1">
        <v>43883</v>
      </c>
      <c r="E1394" s="2">
        <v>0.66666666666666663</v>
      </c>
      <c r="F1394" t="s">
        <v>32</v>
      </c>
      <c r="G1394" t="s">
        <v>45</v>
      </c>
      <c r="H1394">
        <v>0</v>
      </c>
      <c r="I1394">
        <v>0</v>
      </c>
      <c r="J1394" t="s">
        <v>41</v>
      </c>
      <c r="K1394">
        <v>291</v>
      </c>
      <c r="L1394">
        <v>352</v>
      </c>
      <c r="M1394">
        <v>243</v>
      </c>
      <c r="N1394">
        <v>294</v>
      </c>
      <c r="O1394">
        <v>36</v>
      </c>
      <c r="P1394">
        <v>255</v>
      </c>
      <c r="Q1394">
        <v>27</v>
      </c>
      <c r="R1394">
        <v>343</v>
      </c>
      <c r="S1394">
        <v>244</v>
      </c>
      <c r="T1394" t="s">
        <v>31</v>
      </c>
      <c r="U1394" t="s">
        <v>31</v>
      </c>
      <c r="V1394" t="s">
        <v>31</v>
      </c>
      <c r="W1394" t="s">
        <v>31</v>
      </c>
      <c r="X1394" t="s">
        <v>31</v>
      </c>
      <c r="Y1394" t="s">
        <v>31</v>
      </c>
    </row>
    <row r="1395" spans="1:25" hidden="1">
      <c r="A1395" t="s">
        <v>25</v>
      </c>
      <c r="B1395" t="s">
        <v>26</v>
      </c>
      <c r="C1395" t="s">
        <v>53</v>
      </c>
      <c r="D1395" s="1">
        <v>43883</v>
      </c>
      <c r="E1395" s="2">
        <v>0.66666666666666663</v>
      </c>
      <c r="F1395" t="s">
        <v>54</v>
      </c>
      <c r="G1395" t="s">
        <v>39</v>
      </c>
      <c r="H1395">
        <v>2</v>
      </c>
      <c r="I1395">
        <v>0</v>
      </c>
      <c r="J1395" t="s">
        <v>34</v>
      </c>
      <c r="K1395">
        <v>442</v>
      </c>
      <c r="L1395">
        <v>408</v>
      </c>
      <c r="M1395">
        <v>176</v>
      </c>
      <c r="N1395">
        <v>471</v>
      </c>
      <c r="O1395">
        <v>427</v>
      </c>
      <c r="P1395">
        <v>177</v>
      </c>
      <c r="Q1395">
        <v>425</v>
      </c>
      <c r="R1395">
        <v>403</v>
      </c>
      <c r="S1395">
        <v>17</v>
      </c>
      <c r="T1395" t="s">
        <v>31</v>
      </c>
      <c r="U1395" t="s">
        <v>31</v>
      </c>
      <c r="V1395" t="s">
        <v>31</v>
      </c>
      <c r="W1395" t="s">
        <v>31</v>
      </c>
      <c r="X1395" t="s">
        <v>31</v>
      </c>
      <c r="Y1395" t="s">
        <v>31</v>
      </c>
    </row>
    <row r="1396" spans="1:25" hidden="1">
      <c r="A1396" t="s">
        <v>25</v>
      </c>
      <c r="B1396" t="s">
        <v>26</v>
      </c>
      <c r="C1396" t="s">
        <v>53</v>
      </c>
      <c r="D1396" s="1">
        <v>43884</v>
      </c>
      <c r="E1396" s="2">
        <v>0.5625</v>
      </c>
      <c r="F1396" t="s">
        <v>52</v>
      </c>
      <c r="G1396" t="s">
        <v>35</v>
      </c>
      <c r="H1396">
        <v>2</v>
      </c>
      <c r="I1396">
        <v>2</v>
      </c>
      <c r="J1396" t="s">
        <v>41</v>
      </c>
      <c r="K1396">
        <v>472</v>
      </c>
      <c r="L1396">
        <v>467</v>
      </c>
      <c r="M1396">
        <v>163</v>
      </c>
      <c r="N1396">
        <v>55</v>
      </c>
      <c r="O1396">
        <v>484</v>
      </c>
      <c r="P1396">
        <v>163</v>
      </c>
      <c r="Q1396">
        <v>487</v>
      </c>
      <c r="R1396">
        <v>447</v>
      </c>
      <c r="S1396">
        <v>156</v>
      </c>
      <c r="T1396" t="s">
        <v>31</v>
      </c>
      <c r="U1396" t="s">
        <v>31</v>
      </c>
      <c r="V1396" t="s">
        <v>31</v>
      </c>
      <c r="W1396" t="s">
        <v>31</v>
      </c>
      <c r="X1396" t="s">
        <v>31</v>
      </c>
      <c r="Y1396" t="s">
        <v>31</v>
      </c>
    </row>
    <row r="1397" spans="1:25" hidden="1">
      <c r="A1397" t="s">
        <v>25</v>
      </c>
      <c r="B1397" t="s">
        <v>26</v>
      </c>
      <c r="C1397" t="s">
        <v>53</v>
      </c>
      <c r="D1397" s="1">
        <v>43884</v>
      </c>
      <c r="E1397" s="2">
        <v>0.5625</v>
      </c>
      <c r="F1397" t="s">
        <v>50</v>
      </c>
      <c r="G1397" t="s">
        <v>48</v>
      </c>
      <c r="H1397">
        <v>4</v>
      </c>
      <c r="I1397">
        <v>1</v>
      </c>
      <c r="J1397" t="s">
        <v>34</v>
      </c>
      <c r="K1397">
        <v>126</v>
      </c>
      <c r="L1397">
        <v>619</v>
      </c>
      <c r="M1397">
        <v>1134</v>
      </c>
      <c r="N1397">
        <v>129</v>
      </c>
      <c r="O1397">
        <v>619</v>
      </c>
      <c r="P1397">
        <v>12</v>
      </c>
      <c r="Q1397">
        <v>126</v>
      </c>
      <c r="R1397">
        <v>568</v>
      </c>
      <c r="S1397">
        <v>1013</v>
      </c>
      <c r="T1397" t="s">
        <v>31</v>
      </c>
      <c r="U1397" t="s">
        <v>31</v>
      </c>
      <c r="V1397" t="s">
        <v>31</v>
      </c>
      <c r="W1397" t="s">
        <v>31</v>
      </c>
      <c r="X1397" t="s">
        <v>31</v>
      </c>
      <c r="Y1397" t="s">
        <v>31</v>
      </c>
    </row>
    <row r="1398" spans="1:25" hidden="1">
      <c r="A1398" t="s">
        <v>25</v>
      </c>
      <c r="B1398" t="s">
        <v>26</v>
      </c>
      <c r="C1398" t="s">
        <v>53</v>
      </c>
      <c r="D1398" s="1">
        <v>43884</v>
      </c>
      <c r="E1398" s="2">
        <v>0.66666666666666663</v>
      </c>
      <c r="F1398" t="s">
        <v>40</v>
      </c>
      <c r="G1398" t="s">
        <v>29</v>
      </c>
      <c r="H1398">
        <v>2</v>
      </c>
      <c r="I1398">
        <v>2</v>
      </c>
      <c r="J1398" t="s">
        <v>41</v>
      </c>
      <c r="K1398">
        <v>517</v>
      </c>
      <c r="L1398">
        <v>479</v>
      </c>
      <c r="M1398">
        <v>156</v>
      </c>
      <c r="N1398">
        <v>588</v>
      </c>
      <c r="O1398">
        <v>49</v>
      </c>
      <c r="P1398">
        <v>161</v>
      </c>
      <c r="Q1398">
        <v>507</v>
      </c>
      <c r="R1398">
        <v>454</v>
      </c>
      <c r="S1398">
        <v>153</v>
      </c>
      <c r="T1398" t="s">
        <v>31</v>
      </c>
      <c r="U1398" t="s">
        <v>31</v>
      </c>
      <c r="V1398" t="s">
        <v>31</v>
      </c>
      <c r="W1398" t="s">
        <v>31</v>
      </c>
      <c r="X1398" t="s">
        <v>31</v>
      </c>
      <c r="Y1398" t="s">
        <v>31</v>
      </c>
    </row>
    <row r="1399" spans="1:25" hidden="1">
      <c r="A1399" t="s">
        <v>25</v>
      </c>
      <c r="B1399" t="s">
        <v>26</v>
      </c>
      <c r="C1399" t="s">
        <v>53</v>
      </c>
      <c r="D1399" s="1">
        <v>43891</v>
      </c>
      <c r="E1399" s="2">
        <v>0.66666666666666663</v>
      </c>
      <c r="F1399" t="s">
        <v>50</v>
      </c>
      <c r="G1399" t="s">
        <v>52</v>
      </c>
      <c r="H1399">
        <v>5</v>
      </c>
      <c r="I1399">
        <v>1</v>
      </c>
      <c r="J1399" t="s">
        <v>34</v>
      </c>
      <c r="K1399">
        <v>124</v>
      </c>
      <c r="L1399">
        <v>672</v>
      </c>
      <c r="M1399">
        <v>1145</v>
      </c>
      <c r="N1399">
        <v>125</v>
      </c>
      <c r="O1399">
        <v>701</v>
      </c>
      <c r="P1399">
        <v>15</v>
      </c>
      <c r="Q1399">
        <v>121</v>
      </c>
      <c r="R1399">
        <v>654</v>
      </c>
      <c r="S1399">
        <v>1139</v>
      </c>
      <c r="T1399" t="s">
        <v>31</v>
      </c>
      <c r="U1399" t="s">
        <v>31</v>
      </c>
      <c r="V1399" t="s">
        <v>31</v>
      </c>
      <c r="W1399" t="s">
        <v>31</v>
      </c>
      <c r="X1399" t="s">
        <v>31</v>
      </c>
      <c r="Y1399" t="s">
        <v>31</v>
      </c>
    </row>
    <row r="1400" spans="1:25" hidden="1">
      <c r="A1400" t="s">
        <v>25</v>
      </c>
      <c r="B1400" t="s">
        <v>26</v>
      </c>
      <c r="C1400" t="s">
        <v>53</v>
      </c>
      <c r="D1400" s="1">
        <v>43891</v>
      </c>
      <c r="E1400" s="2">
        <v>0.66666666666666663</v>
      </c>
      <c r="F1400" t="s">
        <v>35</v>
      </c>
      <c r="G1400" t="s">
        <v>32</v>
      </c>
      <c r="H1400">
        <v>3</v>
      </c>
      <c r="I1400">
        <v>1</v>
      </c>
      <c r="J1400" t="s">
        <v>34</v>
      </c>
      <c r="K1400">
        <v>127</v>
      </c>
      <c r="L1400">
        <v>592</v>
      </c>
      <c r="M1400">
        <v>1122</v>
      </c>
      <c r="N1400">
        <v>133</v>
      </c>
      <c r="O1400">
        <v>605</v>
      </c>
      <c r="P1400">
        <v>1122</v>
      </c>
      <c r="Q1400">
        <v>126</v>
      </c>
      <c r="R1400">
        <v>56</v>
      </c>
      <c r="S1400">
        <v>992</v>
      </c>
      <c r="T1400" t="s">
        <v>31</v>
      </c>
      <c r="U1400" t="s">
        <v>31</v>
      </c>
      <c r="V1400" t="s">
        <v>31</v>
      </c>
      <c r="W1400" t="s">
        <v>31</v>
      </c>
      <c r="X1400" t="s">
        <v>31</v>
      </c>
      <c r="Y1400" t="s">
        <v>31</v>
      </c>
    </row>
    <row r="1401" spans="1:25" hidden="1">
      <c r="A1401" t="s">
        <v>25</v>
      </c>
      <c r="B1401" t="s">
        <v>26</v>
      </c>
      <c r="C1401" t="s">
        <v>53</v>
      </c>
      <c r="D1401" s="1">
        <v>43891</v>
      </c>
      <c r="E1401" s="2">
        <v>0.66666666666666663</v>
      </c>
      <c r="F1401" t="s">
        <v>48</v>
      </c>
      <c r="G1401" t="s">
        <v>39</v>
      </c>
      <c r="H1401">
        <v>0</v>
      </c>
      <c r="I1401">
        <v>4</v>
      </c>
      <c r="J1401" t="s">
        <v>30</v>
      </c>
      <c r="K1401">
        <v>463</v>
      </c>
      <c r="L1401">
        <v>433</v>
      </c>
      <c r="M1401">
        <v>168</v>
      </c>
      <c r="N1401">
        <v>525</v>
      </c>
      <c r="O1401">
        <v>433</v>
      </c>
      <c r="P1401">
        <v>178</v>
      </c>
      <c r="Q1401">
        <v>45</v>
      </c>
      <c r="R1401">
        <v>408</v>
      </c>
      <c r="S1401">
        <v>166</v>
      </c>
      <c r="T1401" t="s">
        <v>31</v>
      </c>
      <c r="U1401" t="s">
        <v>31</v>
      </c>
      <c r="V1401" t="s">
        <v>31</v>
      </c>
      <c r="W1401" t="s">
        <v>31</v>
      </c>
      <c r="X1401" t="s">
        <v>31</v>
      </c>
      <c r="Y1401" t="s">
        <v>31</v>
      </c>
    </row>
    <row r="1402" spans="1:25" hidden="1">
      <c r="A1402" t="s">
        <v>25</v>
      </c>
      <c r="B1402" t="s">
        <v>26</v>
      </c>
      <c r="C1402" t="s">
        <v>53</v>
      </c>
      <c r="D1402" s="1">
        <v>43891</v>
      </c>
      <c r="E1402" s="2">
        <v>0.66666666666666663</v>
      </c>
      <c r="F1402" t="s">
        <v>28</v>
      </c>
      <c r="G1402" t="s">
        <v>40</v>
      </c>
      <c r="H1402">
        <v>1</v>
      </c>
      <c r="I1402">
        <v>1</v>
      </c>
      <c r="J1402" t="s">
        <v>41</v>
      </c>
      <c r="K1402">
        <v>209</v>
      </c>
      <c r="L1402">
        <v>376</v>
      </c>
      <c r="M1402">
        <v>338</v>
      </c>
      <c r="N1402">
        <v>225</v>
      </c>
      <c r="O1402">
        <v>376</v>
      </c>
      <c r="P1402">
        <v>34</v>
      </c>
      <c r="Q1402">
        <v>209</v>
      </c>
      <c r="R1402">
        <v>356</v>
      </c>
      <c r="S1402">
        <v>32</v>
      </c>
      <c r="T1402" t="s">
        <v>31</v>
      </c>
      <c r="U1402" t="s">
        <v>31</v>
      </c>
      <c r="V1402" t="s">
        <v>31</v>
      </c>
      <c r="W1402" t="s">
        <v>31</v>
      </c>
      <c r="X1402" t="s">
        <v>31</v>
      </c>
      <c r="Y1402" t="s">
        <v>31</v>
      </c>
    </row>
    <row r="1403" spans="1:25" hidden="1">
      <c r="A1403" t="s">
        <v>25</v>
      </c>
      <c r="B1403" t="s">
        <v>26</v>
      </c>
      <c r="C1403" t="s">
        <v>53</v>
      </c>
      <c r="D1403" s="1">
        <v>43891</v>
      </c>
      <c r="E1403" s="2">
        <v>0.66666666666666663</v>
      </c>
      <c r="F1403" t="s">
        <v>54</v>
      </c>
      <c r="G1403" t="s">
        <v>37</v>
      </c>
      <c r="H1403">
        <v>1</v>
      </c>
      <c r="I1403">
        <v>1</v>
      </c>
      <c r="J1403" t="s">
        <v>41</v>
      </c>
      <c r="K1403">
        <v>209</v>
      </c>
      <c r="L1403">
        <v>375</v>
      </c>
      <c r="M1403">
        <v>34</v>
      </c>
      <c r="N1403">
        <v>218</v>
      </c>
      <c r="O1403">
        <v>375</v>
      </c>
      <c r="P1403">
        <v>36</v>
      </c>
      <c r="Q1403">
        <v>205</v>
      </c>
      <c r="R1403">
        <v>355</v>
      </c>
      <c r="S1403">
        <v>332</v>
      </c>
      <c r="T1403" t="s">
        <v>31</v>
      </c>
      <c r="U1403" t="s">
        <v>31</v>
      </c>
      <c r="V1403" t="s">
        <v>31</v>
      </c>
      <c r="W1403" t="s">
        <v>31</v>
      </c>
      <c r="X1403" t="s">
        <v>31</v>
      </c>
      <c r="Y1403" t="s">
        <v>31</v>
      </c>
    </row>
    <row r="1404" spans="1:25" hidden="1">
      <c r="A1404" t="s">
        <v>25</v>
      </c>
      <c r="B1404" t="s">
        <v>26</v>
      </c>
      <c r="C1404" t="s">
        <v>53</v>
      </c>
      <c r="D1404" s="1">
        <v>43892</v>
      </c>
      <c r="E1404" s="2">
        <v>0.75</v>
      </c>
      <c r="F1404" t="s">
        <v>45</v>
      </c>
      <c r="G1404" t="s">
        <v>29</v>
      </c>
      <c r="H1404">
        <v>3</v>
      </c>
      <c r="I1404">
        <v>2</v>
      </c>
      <c r="J1404" t="s">
        <v>34</v>
      </c>
      <c r="K1404">
        <v>585</v>
      </c>
      <c r="L1404">
        <v>485</v>
      </c>
      <c r="M1404">
        <v>15</v>
      </c>
      <c r="N1404">
        <v>659</v>
      </c>
      <c r="O1404">
        <v>504</v>
      </c>
      <c r="P1404">
        <v>152</v>
      </c>
      <c r="Q1404">
        <v>581</v>
      </c>
      <c r="R1404">
        <v>478</v>
      </c>
      <c r="S1404">
        <v>145</v>
      </c>
      <c r="T1404" t="s">
        <v>31</v>
      </c>
      <c r="U1404" t="s">
        <v>31</v>
      </c>
      <c r="V1404" t="s">
        <v>31</v>
      </c>
      <c r="W1404" t="s">
        <v>31</v>
      </c>
      <c r="X1404" t="s">
        <v>31</v>
      </c>
      <c r="Y1404" t="s">
        <v>31</v>
      </c>
    </row>
    <row r="1405" spans="1:25" hidden="1">
      <c r="A1405" t="s">
        <v>25</v>
      </c>
      <c r="B1405" t="s">
        <v>26</v>
      </c>
      <c r="C1405" t="s">
        <v>53</v>
      </c>
      <c r="D1405" s="1">
        <v>43897</v>
      </c>
      <c r="E1405" s="2">
        <v>0.66666666666666663</v>
      </c>
      <c r="F1405" t="s">
        <v>37</v>
      </c>
      <c r="G1405" t="s">
        <v>45</v>
      </c>
      <c r="H1405">
        <v>2</v>
      </c>
      <c r="I1405">
        <v>0</v>
      </c>
      <c r="J1405" t="s">
        <v>34</v>
      </c>
      <c r="K1405">
        <v>294</v>
      </c>
      <c r="L1405">
        <v>33</v>
      </c>
      <c r="M1405">
        <v>252</v>
      </c>
      <c r="N1405">
        <v>32</v>
      </c>
      <c r="O1405">
        <v>346</v>
      </c>
      <c r="P1405">
        <v>252</v>
      </c>
      <c r="Q1405">
        <v>291</v>
      </c>
      <c r="R1405">
        <v>323</v>
      </c>
      <c r="S1405">
        <v>241</v>
      </c>
      <c r="T1405" t="s">
        <v>31</v>
      </c>
      <c r="U1405" t="s">
        <v>31</v>
      </c>
      <c r="V1405" t="s">
        <v>31</v>
      </c>
      <c r="W1405" t="s">
        <v>31</v>
      </c>
      <c r="X1405" t="s">
        <v>31</v>
      </c>
      <c r="Y1405" t="s">
        <v>31</v>
      </c>
    </row>
    <row r="1406" spans="1:25" hidden="1">
      <c r="A1406" t="s">
        <v>25</v>
      </c>
      <c r="B1406" t="s">
        <v>26</v>
      </c>
      <c r="C1406" t="s">
        <v>53</v>
      </c>
      <c r="D1406" s="1">
        <v>43897</v>
      </c>
      <c r="E1406" s="2">
        <v>0.66666666666666663</v>
      </c>
      <c r="F1406" t="s">
        <v>40</v>
      </c>
      <c r="G1406" t="s">
        <v>48</v>
      </c>
      <c r="H1406">
        <v>0</v>
      </c>
      <c r="I1406">
        <v>0</v>
      </c>
      <c r="J1406" t="s">
        <v>41</v>
      </c>
      <c r="K1406">
        <v>154</v>
      </c>
      <c r="L1406">
        <v>467</v>
      </c>
      <c r="M1406">
        <v>557</v>
      </c>
      <c r="N1406">
        <v>16</v>
      </c>
      <c r="O1406">
        <v>467</v>
      </c>
      <c r="P1406">
        <v>579</v>
      </c>
      <c r="Q1406">
        <v>152</v>
      </c>
      <c r="R1406">
        <v>441</v>
      </c>
      <c r="S1406">
        <v>541</v>
      </c>
      <c r="T1406" t="s">
        <v>31</v>
      </c>
      <c r="U1406" t="s">
        <v>31</v>
      </c>
      <c r="V1406" t="s">
        <v>31</v>
      </c>
      <c r="W1406" t="s">
        <v>31</v>
      </c>
      <c r="X1406" t="s">
        <v>31</v>
      </c>
      <c r="Y1406" t="s">
        <v>31</v>
      </c>
    </row>
    <row r="1407" spans="1:25" hidden="1">
      <c r="A1407" t="s">
        <v>25</v>
      </c>
      <c r="B1407" t="s">
        <v>26</v>
      </c>
      <c r="C1407" t="s">
        <v>53</v>
      </c>
      <c r="D1407" s="1">
        <v>43897</v>
      </c>
      <c r="E1407" s="2">
        <v>0.66666666666666663</v>
      </c>
      <c r="F1407" t="s">
        <v>52</v>
      </c>
      <c r="G1407" t="s">
        <v>54</v>
      </c>
      <c r="H1407">
        <v>0</v>
      </c>
      <c r="I1407">
        <v>3</v>
      </c>
      <c r="J1407" t="s">
        <v>30</v>
      </c>
      <c r="K1407">
        <v>247</v>
      </c>
      <c r="L1407">
        <v>368</v>
      </c>
      <c r="M1407">
        <v>275</v>
      </c>
      <c r="N1407">
        <v>255</v>
      </c>
      <c r="O1407">
        <v>382</v>
      </c>
      <c r="P1407">
        <v>286</v>
      </c>
      <c r="Q1407">
        <v>241</v>
      </c>
      <c r="R1407">
        <v>357</v>
      </c>
      <c r="S1407">
        <v>266</v>
      </c>
      <c r="T1407" t="s">
        <v>31</v>
      </c>
      <c r="U1407" t="s">
        <v>31</v>
      </c>
      <c r="V1407" t="s">
        <v>31</v>
      </c>
      <c r="W1407" t="s">
        <v>31</v>
      </c>
      <c r="X1407" t="s">
        <v>31</v>
      </c>
      <c r="Y1407" t="s">
        <v>31</v>
      </c>
    </row>
    <row r="1408" spans="1:25" hidden="1">
      <c r="A1408" t="s">
        <v>25</v>
      </c>
      <c r="B1408" t="s">
        <v>26</v>
      </c>
      <c r="C1408" t="s">
        <v>53</v>
      </c>
      <c r="D1408" s="1">
        <v>43897</v>
      </c>
      <c r="E1408" s="2">
        <v>0.66666666666666663</v>
      </c>
      <c r="F1408" t="s">
        <v>39</v>
      </c>
      <c r="G1408" t="s">
        <v>35</v>
      </c>
      <c r="H1408">
        <v>2</v>
      </c>
      <c r="I1408">
        <v>2</v>
      </c>
      <c r="J1408" t="s">
        <v>41</v>
      </c>
      <c r="K1408">
        <v>251</v>
      </c>
      <c r="L1408">
        <v>382</v>
      </c>
      <c r="M1408">
        <v>263</v>
      </c>
      <c r="N1408">
        <v>254</v>
      </c>
      <c r="O1408">
        <v>382</v>
      </c>
      <c r="P1408">
        <v>288</v>
      </c>
      <c r="Q1408">
        <v>243</v>
      </c>
      <c r="R1408">
        <v>363</v>
      </c>
      <c r="S1408">
        <v>262</v>
      </c>
      <c r="T1408" t="s">
        <v>31</v>
      </c>
      <c r="U1408" t="s">
        <v>31</v>
      </c>
      <c r="V1408" t="s">
        <v>31</v>
      </c>
      <c r="W1408" t="s">
        <v>31</v>
      </c>
      <c r="X1408" t="s">
        <v>31</v>
      </c>
      <c r="Y1408" t="s">
        <v>31</v>
      </c>
    </row>
    <row r="1409" spans="1:25" hidden="1">
      <c r="A1409" t="s">
        <v>25</v>
      </c>
      <c r="B1409" t="s">
        <v>26</v>
      </c>
      <c r="C1409" t="s">
        <v>53</v>
      </c>
      <c r="D1409" s="1">
        <v>43898</v>
      </c>
      <c r="E1409" s="2">
        <v>0.5625</v>
      </c>
      <c r="F1409" t="s">
        <v>32</v>
      </c>
      <c r="G1409" t="s">
        <v>50</v>
      </c>
      <c r="H1409">
        <v>0</v>
      </c>
      <c r="I1409">
        <v>1</v>
      </c>
      <c r="J1409" t="s">
        <v>30</v>
      </c>
      <c r="K1409">
        <v>727</v>
      </c>
      <c r="L1409">
        <v>481</v>
      </c>
      <c r="M1409">
        <v>143</v>
      </c>
      <c r="N1409">
        <v>816</v>
      </c>
      <c r="O1409">
        <v>5</v>
      </c>
      <c r="P1409">
        <v>148</v>
      </c>
      <c r="Q1409">
        <v>687</v>
      </c>
      <c r="R1409">
        <v>47</v>
      </c>
      <c r="S1409">
        <v>141</v>
      </c>
      <c r="T1409" t="s">
        <v>31</v>
      </c>
      <c r="U1409" t="s">
        <v>31</v>
      </c>
      <c r="V1409" t="s">
        <v>31</v>
      </c>
      <c r="W1409" t="s">
        <v>31</v>
      </c>
      <c r="X1409" t="s">
        <v>31</v>
      </c>
      <c r="Y1409" t="s">
        <v>31</v>
      </c>
    </row>
    <row r="1410" spans="1:25" hidden="1">
      <c r="A1410" t="s">
        <v>25</v>
      </c>
      <c r="B1410" t="s">
        <v>26</v>
      </c>
      <c r="C1410" t="s">
        <v>53</v>
      </c>
      <c r="D1410" s="1">
        <v>43898</v>
      </c>
      <c r="E1410" s="2">
        <v>0.5625</v>
      </c>
      <c r="F1410" t="s">
        <v>29</v>
      </c>
      <c r="G1410" t="s">
        <v>28</v>
      </c>
      <c r="H1410">
        <v>2</v>
      </c>
      <c r="I1410">
        <v>0</v>
      </c>
      <c r="J1410" t="s">
        <v>34</v>
      </c>
      <c r="K1410">
        <v>14</v>
      </c>
      <c r="L1410">
        <v>527</v>
      </c>
      <c r="M1410">
        <v>708</v>
      </c>
      <c r="N1410">
        <v>143</v>
      </c>
      <c r="O1410">
        <v>54</v>
      </c>
      <c r="P1410">
        <v>8</v>
      </c>
      <c r="Q1410">
        <v>138</v>
      </c>
      <c r="R1410">
        <v>511</v>
      </c>
      <c r="S1410">
        <v>679</v>
      </c>
      <c r="T1410" t="s">
        <v>31</v>
      </c>
      <c r="U1410" t="s">
        <v>31</v>
      </c>
      <c r="V1410" t="s">
        <v>31</v>
      </c>
      <c r="W1410" t="s">
        <v>31</v>
      </c>
      <c r="X1410" t="s">
        <v>31</v>
      </c>
      <c r="Y1410" t="s">
        <v>31</v>
      </c>
    </row>
    <row r="1411" spans="1:25" hidden="1">
      <c r="A1411" t="s">
        <v>25</v>
      </c>
      <c r="B1411" t="s">
        <v>26</v>
      </c>
      <c r="C1411" t="s">
        <v>53</v>
      </c>
      <c r="D1411" s="1">
        <v>43984</v>
      </c>
      <c r="E1411" s="2">
        <v>0.72916666666666663</v>
      </c>
      <c r="F1411" t="s">
        <v>32</v>
      </c>
      <c r="G1411" t="s">
        <v>45</v>
      </c>
      <c r="H1411">
        <v>1</v>
      </c>
      <c r="I1411">
        <v>1</v>
      </c>
      <c r="J1411" t="s">
        <v>41</v>
      </c>
      <c r="K1411">
        <v>293</v>
      </c>
      <c r="L1411">
        <v>335</v>
      </c>
      <c r="M1411">
        <v>25</v>
      </c>
      <c r="N1411">
        <v>317</v>
      </c>
      <c r="O1411">
        <v>344</v>
      </c>
      <c r="P1411">
        <v>25</v>
      </c>
      <c r="Q1411">
        <v>285</v>
      </c>
      <c r="R1411">
        <v>328</v>
      </c>
      <c r="S1411">
        <v>24</v>
      </c>
      <c r="T1411" t="s">
        <v>31</v>
      </c>
      <c r="U1411" t="s">
        <v>31</v>
      </c>
      <c r="V1411" t="s">
        <v>31</v>
      </c>
      <c r="W1411" t="s">
        <v>31</v>
      </c>
      <c r="X1411" t="s">
        <v>31</v>
      </c>
      <c r="Y1411" t="s">
        <v>31</v>
      </c>
    </row>
    <row r="1412" spans="1:25" hidden="1">
      <c r="A1412" t="s">
        <v>25</v>
      </c>
      <c r="B1412" t="s">
        <v>26</v>
      </c>
      <c r="C1412" t="s">
        <v>53</v>
      </c>
      <c r="D1412" s="1">
        <v>43984</v>
      </c>
      <c r="E1412" s="2">
        <v>0.72916666666666663</v>
      </c>
      <c r="F1412" t="s">
        <v>54</v>
      </c>
      <c r="G1412" t="s">
        <v>48</v>
      </c>
      <c r="H1412">
        <v>0</v>
      </c>
      <c r="I1412">
        <v>5</v>
      </c>
      <c r="J1412" t="s">
        <v>30</v>
      </c>
      <c r="K1412">
        <v>219</v>
      </c>
      <c r="L1412">
        <v>352</v>
      </c>
      <c r="M1412">
        <v>333</v>
      </c>
      <c r="N1412">
        <v>225</v>
      </c>
      <c r="O1412">
        <v>362</v>
      </c>
      <c r="P1412">
        <v>339</v>
      </c>
      <c r="Q1412">
        <v>215</v>
      </c>
      <c r="R1412">
        <v>345</v>
      </c>
      <c r="S1412">
        <v>316</v>
      </c>
      <c r="T1412" t="s">
        <v>31</v>
      </c>
      <c r="U1412" t="s">
        <v>31</v>
      </c>
      <c r="V1412" t="s">
        <v>31</v>
      </c>
      <c r="W1412" t="s">
        <v>31</v>
      </c>
      <c r="X1412" t="s">
        <v>31</v>
      </c>
      <c r="Y1412" t="s">
        <v>31</v>
      </c>
    </row>
    <row r="1413" spans="1:25" hidden="1">
      <c r="A1413" t="s">
        <v>25</v>
      </c>
      <c r="B1413" t="s">
        <v>26</v>
      </c>
      <c r="C1413" t="s">
        <v>53</v>
      </c>
      <c r="D1413" s="1">
        <v>43984</v>
      </c>
      <c r="E1413" s="2">
        <v>0.8125</v>
      </c>
      <c r="F1413" t="s">
        <v>40</v>
      </c>
      <c r="G1413" t="s">
        <v>37</v>
      </c>
      <c r="H1413">
        <v>1</v>
      </c>
      <c r="I1413">
        <v>0</v>
      </c>
      <c r="J1413" t="s">
        <v>34</v>
      </c>
      <c r="K1413">
        <v>171</v>
      </c>
      <c r="L1413">
        <v>411</v>
      </c>
      <c r="M1413">
        <v>47</v>
      </c>
      <c r="N1413">
        <v>175</v>
      </c>
      <c r="O1413">
        <v>428</v>
      </c>
      <c r="P1413">
        <v>489</v>
      </c>
      <c r="Q1413">
        <v>168</v>
      </c>
      <c r="R1413">
        <v>396</v>
      </c>
      <c r="S1413">
        <v>454</v>
      </c>
      <c r="T1413" t="s">
        <v>31</v>
      </c>
      <c r="U1413" t="s">
        <v>31</v>
      </c>
      <c r="V1413" t="s">
        <v>31</v>
      </c>
      <c r="W1413" t="s">
        <v>31</v>
      </c>
      <c r="X1413" t="s">
        <v>31</v>
      </c>
      <c r="Y1413" t="s">
        <v>31</v>
      </c>
    </row>
    <row r="1414" spans="1:25" hidden="1">
      <c r="A1414" t="s">
        <v>25</v>
      </c>
      <c r="B1414" t="s">
        <v>26</v>
      </c>
      <c r="C1414" t="s">
        <v>53</v>
      </c>
      <c r="D1414" s="1">
        <v>43985</v>
      </c>
      <c r="E1414" s="2">
        <v>0.72916666666666663</v>
      </c>
      <c r="F1414" t="s">
        <v>50</v>
      </c>
      <c r="G1414" t="s">
        <v>52</v>
      </c>
      <c r="H1414">
        <v>1</v>
      </c>
      <c r="I1414">
        <v>2</v>
      </c>
      <c r="J1414" t="s">
        <v>30</v>
      </c>
      <c r="K1414">
        <v>124</v>
      </c>
      <c r="L1414">
        <v>643</v>
      </c>
      <c r="M1414">
        <v>1114</v>
      </c>
      <c r="N1414">
        <v>128</v>
      </c>
      <c r="O1414">
        <v>753</v>
      </c>
      <c r="P1414">
        <v>1481</v>
      </c>
      <c r="Q1414">
        <v>124</v>
      </c>
      <c r="R1414">
        <v>622</v>
      </c>
      <c r="S1414">
        <v>1007</v>
      </c>
      <c r="T1414" t="s">
        <v>31</v>
      </c>
      <c r="U1414" t="s">
        <v>31</v>
      </c>
      <c r="V1414" t="s">
        <v>31</v>
      </c>
      <c r="W1414" t="s">
        <v>31</v>
      </c>
      <c r="X1414" t="s">
        <v>31</v>
      </c>
      <c r="Y1414" t="s">
        <v>31</v>
      </c>
    </row>
    <row r="1415" spans="1:25" hidden="1">
      <c r="A1415" t="s">
        <v>25</v>
      </c>
      <c r="B1415" t="s">
        <v>26</v>
      </c>
      <c r="C1415" t="s">
        <v>53</v>
      </c>
      <c r="D1415" s="1">
        <v>43985</v>
      </c>
      <c r="E1415" s="2">
        <v>0.72916666666666663</v>
      </c>
      <c r="F1415" t="s">
        <v>28</v>
      </c>
      <c r="G1415" t="s">
        <v>39</v>
      </c>
      <c r="H1415">
        <v>1</v>
      </c>
      <c r="I1415">
        <v>2</v>
      </c>
      <c r="J1415" t="s">
        <v>30</v>
      </c>
      <c r="K1415">
        <v>318</v>
      </c>
      <c r="L1415">
        <v>364</v>
      </c>
      <c r="M1415">
        <v>222</v>
      </c>
      <c r="N1415">
        <v>343</v>
      </c>
      <c r="O1415">
        <v>37</v>
      </c>
      <c r="P1415">
        <v>225</v>
      </c>
      <c r="Q1415">
        <v>31</v>
      </c>
      <c r="R1415">
        <v>351</v>
      </c>
      <c r="S1415">
        <v>216</v>
      </c>
      <c r="T1415" t="s">
        <v>31</v>
      </c>
      <c r="U1415" t="s">
        <v>31</v>
      </c>
      <c r="V1415" t="s">
        <v>31</v>
      </c>
      <c r="W1415" t="s">
        <v>31</v>
      </c>
      <c r="X1415" t="s">
        <v>31</v>
      </c>
      <c r="Y1415" t="s">
        <v>31</v>
      </c>
    </row>
    <row r="1416" spans="1:25" hidden="1">
      <c r="A1416" t="s">
        <v>25</v>
      </c>
      <c r="B1416" t="s">
        <v>26</v>
      </c>
      <c r="C1416" t="s">
        <v>53</v>
      </c>
      <c r="D1416" s="1">
        <v>43985</v>
      </c>
      <c r="E1416" s="2">
        <v>0.8125</v>
      </c>
      <c r="F1416" t="s">
        <v>29</v>
      </c>
      <c r="G1416" t="s">
        <v>35</v>
      </c>
      <c r="H1416">
        <v>2</v>
      </c>
      <c r="I1416">
        <v>0</v>
      </c>
      <c r="J1416" t="s">
        <v>34</v>
      </c>
      <c r="K1416">
        <v>141</v>
      </c>
      <c r="L1416">
        <v>535</v>
      </c>
      <c r="M1416">
        <v>671</v>
      </c>
      <c r="N1416">
        <v>145</v>
      </c>
      <c r="O1416">
        <v>537</v>
      </c>
      <c r="P1416">
        <v>8</v>
      </c>
      <c r="Q1416">
        <v>138</v>
      </c>
      <c r="R1416">
        <v>504</v>
      </c>
      <c r="S1416">
        <v>665</v>
      </c>
      <c r="T1416" t="s">
        <v>31</v>
      </c>
      <c r="U1416" t="s">
        <v>31</v>
      </c>
      <c r="V1416" t="s">
        <v>31</v>
      </c>
      <c r="W1416" t="s">
        <v>31</v>
      </c>
      <c r="X1416" t="s">
        <v>31</v>
      </c>
      <c r="Y1416" t="s">
        <v>31</v>
      </c>
    </row>
    <row r="1417" spans="1:25" hidden="1">
      <c r="A1417" t="s">
        <v>25</v>
      </c>
      <c r="B1417" t="s">
        <v>26</v>
      </c>
      <c r="C1417" t="s">
        <v>53</v>
      </c>
      <c r="D1417" s="1">
        <v>43988</v>
      </c>
      <c r="E1417" s="2">
        <v>0.66666666666666663</v>
      </c>
      <c r="F1417" t="s">
        <v>37</v>
      </c>
      <c r="G1417" t="s">
        <v>32</v>
      </c>
      <c r="H1417">
        <v>0</v>
      </c>
      <c r="I1417">
        <v>2</v>
      </c>
      <c r="J1417" t="s">
        <v>30</v>
      </c>
      <c r="K1417">
        <v>245</v>
      </c>
      <c r="L1417">
        <v>338</v>
      </c>
      <c r="M1417">
        <v>298</v>
      </c>
      <c r="N1417">
        <v>26</v>
      </c>
      <c r="O1417">
        <v>35</v>
      </c>
      <c r="P1417">
        <v>3</v>
      </c>
      <c r="Q1417">
        <v>242</v>
      </c>
      <c r="R1417">
        <v>329</v>
      </c>
      <c r="S1417">
        <v>284</v>
      </c>
      <c r="T1417" t="s">
        <v>31</v>
      </c>
      <c r="U1417" t="s">
        <v>31</v>
      </c>
      <c r="V1417" t="s">
        <v>31</v>
      </c>
      <c r="W1417" t="s">
        <v>31</v>
      </c>
      <c r="X1417" t="s">
        <v>31</v>
      </c>
      <c r="Y1417" t="s">
        <v>31</v>
      </c>
    </row>
    <row r="1418" spans="1:25" hidden="1">
      <c r="A1418" t="s">
        <v>25</v>
      </c>
      <c r="B1418" t="s">
        <v>26</v>
      </c>
      <c r="C1418" t="s">
        <v>53</v>
      </c>
      <c r="D1418" s="1">
        <v>43988</v>
      </c>
      <c r="E1418" s="2">
        <v>0.66666666666666663</v>
      </c>
      <c r="F1418" t="s">
        <v>45</v>
      </c>
      <c r="G1418" t="s">
        <v>54</v>
      </c>
      <c r="H1418">
        <v>1</v>
      </c>
      <c r="I1418">
        <v>1</v>
      </c>
      <c r="J1418" t="s">
        <v>41</v>
      </c>
      <c r="K1418">
        <v>185</v>
      </c>
      <c r="L1418">
        <v>387</v>
      </c>
      <c r="M1418">
        <v>417</v>
      </c>
      <c r="N1418">
        <v>189</v>
      </c>
      <c r="O1418">
        <v>4</v>
      </c>
      <c r="P1418">
        <v>459</v>
      </c>
      <c r="Q1418">
        <v>179</v>
      </c>
      <c r="R1418">
        <v>373</v>
      </c>
      <c r="S1418">
        <v>412</v>
      </c>
      <c r="T1418" t="s">
        <v>31</v>
      </c>
      <c r="U1418" t="s">
        <v>31</v>
      </c>
      <c r="V1418" t="s">
        <v>31</v>
      </c>
      <c r="W1418" t="s">
        <v>31</v>
      </c>
      <c r="X1418" t="s">
        <v>31</v>
      </c>
      <c r="Y1418" t="s">
        <v>31</v>
      </c>
    </row>
    <row r="1419" spans="1:25" hidden="1">
      <c r="A1419" t="s">
        <v>25</v>
      </c>
      <c r="B1419" t="s">
        <v>26</v>
      </c>
      <c r="C1419" t="s">
        <v>53</v>
      </c>
      <c r="D1419" s="1">
        <v>43988</v>
      </c>
      <c r="E1419" s="2">
        <v>0.66666666666666663</v>
      </c>
      <c r="F1419" t="s">
        <v>48</v>
      </c>
      <c r="G1419" t="s">
        <v>40</v>
      </c>
      <c r="H1419">
        <v>1</v>
      </c>
      <c r="I1419">
        <v>1</v>
      </c>
      <c r="J1419" t="s">
        <v>41</v>
      </c>
      <c r="K1419">
        <v>277</v>
      </c>
      <c r="L1419">
        <v>348</v>
      </c>
      <c r="M1419">
        <v>256</v>
      </c>
      <c r="N1419">
        <v>29</v>
      </c>
      <c r="O1419">
        <v>354</v>
      </c>
      <c r="P1419">
        <v>26</v>
      </c>
      <c r="Q1419">
        <v>277</v>
      </c>
      <c r="R1419">
        <v>338</v>
      </c>
      <c r="S1419">
        <v>243</v>
      </c>
      <c r="T1419" t="s">
        <v>31</v>
      </c>
      <c r="U1419" t="s">
        <v>31</v>
      </c>
      <c r="V1419" t="s">
        <v>31</v>
      </c>
      <c r="W1419" t="s">
        <v>31</v>
      </c>
      <c r="X1419" t="s">
        <v>31</v>
      </c>
      <c r="Y1419" t="s">
        <v>31</v>
      </c>
    </row>
    <row r="1420" spans="1:25" hidden="1">
      <c r="A1420" t="s">
        <v>25</v>
      </c>
      <c r="B1420" t="s">
        <v>26</v>
      </c>
      <c r="C1420" t="s">
        <v>53</v>
      </c>
      <c r="D1420" s="1">
        <v>43989</v>
      </c>
      <c r="E1420" s="2">
        <v>0.66666666666666663</v>
      </c>
      <c r="F1420" t="s">
        <v>52</v>
      </c>
      <c r="G1420" t="s">
        <v>29</v>
      </c>
      <c r="H1420">
        <v>0</v>
      </c>
      <c r="I1420">
        <v>6</v>
      </c>
      <c r="J1420" t="s">
        <v>30</v>
      </c>
      <c r="K1420">
        <v>1329</v>
      </c>
      <c r="L1420">
        <v>848</v>
      </c>
      <c r="M1420">
        <v>119</v>
      </c>
      <c r="N1420">
        <v>145</v>
      </c>
      <c r="O1420">
        <v>848</v>
      </c>
      <c r="P1420">
        <v>125</v>
      </c>
      <c r="Q1420">
        <v>121</v>
      </c>
      <c r="R1420">
        <v>75</v>
      </c>
      <c r="S1420">
        <v>117</v>
      </c>
      <c r="T1420" t="s">
        <v>31</v>
      </c>
      <c r="U1420" t="s">
        <v>31</v>
      </c>
      <c r="V1420" t="s">
        <v>31</v>
      </c>
      <c r="W1420" t="s">
        <v>31</v>
      </c>
      <c r="X1420" t="s">
        <v>31</v>
      </c>
      <c r="Y1420" t="s">
        <v>31</v>
      </c>
    </row>
    <row r="1421" spans="1:25" hidden="1">
      <c r="A1421" t="s">
        <v>25</v>
      </c>
      <c r="B1421" t="s">
        <v>26</v>
      </c>
      <c r="C1421" t="s">
        <v>53</v>
      </c>
      <c r="D1421" s="1">
        <v>43989</v>
      </c>
      <c r="E1421" s="2">
        <v>0.66666666666666663</v>
      </c>
      <c r="F1421" t="s">
        <v>39</v>
      </c>
      <c r="G1421" t="s">
        <v>50</v>
      </c>
      <c r="H1421">
        <v>3</v>
      </c>
      <c r="I1421">
        <v>3</v>
      </c>
      <c r="J1421" t="s">
        <v>41</v>
      </c>
      <c r="K1421">
        <v>306</v>
      </c>
      <c r="L1421">
        <v>379</v>
      </c>
      <c r="M1421">
        <v>227</v>
      </c>
      <c r="N1421">
        <v>318</v>
      </c>
      <c r="O1421">
        <v>379</v>
      </c>
      <c r="P1421">
        <v>235</v>
      </c>
      <c r="Q1421">
        <v>294</v>
      </c>
      <c r="R1421">
        <v>355</v>
      </c>
      <c r="S1421">
        <v>224</v>
      </c>
      <c r="T1421" t="s">
        <v>31</v>
      </c>
      <c r="U1421" t="s">
        <v>31</v>
      </c>
      <c r="V1421" t="s">
        <v>31</v>
      </c>
      <c r="W1421" t="s">
        <v>31</v>
      </c>
      <c r="X1421" t="s">
        <v>31</v>
      </c>
      <c r="Y1421" t="s">
        <v>31</v>
      </c>
    </row>
    <row r="1422" spans="1:25" hidden="1">
      <c r="A1422" t="s">
        <v>25</v>
      </c>
      <c r="B1422" t="s">
        <v>26</v>
      </c>
      <c r="C1422" t="s">
        <v>53</v>
      </c>
      <c r="D1422" s="1">
        <v>43989</v>
      </c>
      <c r="E1422" s="2">
        <v>0.77083333333333337</v>
      </c>
      <c r="F1422" t="s">
        <v>35</v>
      </c>
      <c r="G1422" t="s">
        <v>28</v>
      </c>
      <c r="H1422">
        <v>4</v>
      </c>
      <c r="I1422">
        <v>0</v>
      </c>
      <c r="J1422" t="s">
        <v>34</v>
      </c>
      <c r="K1422">
        <v>203</v>
      </c>
      <c r="L1422">
        <v>377</v>
      </c>
      <c r="M1422">
        <v>367</v>
      </c>
      <c r="N1422">
        <v>205</v>
      </c>
      <c r="O1422">
        <v>377</v>
      </c>
      <c r="P1422">
        <v>38</v>
      </c>
      <c r="Q1422">
        <v>196</v>
      </c>
      <c r="R1422">
        <v>361</v>
      </c>
      <c r="S1422">
        <v>354</v>
      </c>
      <c r="T1422" t="s">
        <v>31</v>
      </c>
      <c r="U1422" t="s">
        <v>31</v>
      </c>
      <c r="V1422" t="s">
        <v>31</v>
      </c>
      <c r="W1422" t="s">
        <v>31</v>
      </c>
      <c r="X1422" t="s">
        <v>31</v>
      </c>
      <c r="Y1422" t="s">
        <v>31</v>
      </c>
    </row>
    <row r="1423" spans="1:25" hidden="1">
      <c r="A1423" t="s">
        <v>25</v>
      </c>
      <c r="B1423" t="s">
        <v>26</v>
      </c>
      <c r="C1423" t="s">
        <v>53</v>
      </c>
      <c r="D1423" s="1">
        <v>43991</v>
      </c>
      <c r="E1423" s="2">
        <v>0.72916666666666663</v>
      </c>
      <c r="F1423" t="s">
        <v>48</v>
      </c>
      <c r="G1423" t="s">
        <v>37</v>
      </c>
      <c r="H1423">
        <v>0</v>
      </c>
      <c r="I1423">
        <v>3</v>
      </c>
      <c r="J1423" t="s">
        <v>30</v>
      </c>
      <c r="K1423">
        <v>247</v>
      </c>
      <c r="L1423">
        <v>332</v>
      </c>
      <c r="M1423">
        <v>308</v>
      </c>
      <c r="N1423">
        <v>248</v>
      </c>
      <c r="O1423">
        <v>334</v>
      </c>
      <c r="P1423">
        <v>318</v>
      </c>
      <c r="Q1423">
        <v>238</v>
      </c>
      <c r="R1423">
        <v>321</v>
      </c>
      <c r="S1423">
        <v>296</v>
      </c>
      <c r="T1423" t="s">
        <v>31</v>
      </c>
      <c r="U1423" t="s">
        <v>31</v>
      </c>
      <c r="V1423" t="s">
        <v>31</v>
      </c>
      <c r="W1423" t="s">
        <v>31</v>
      </c>
      <c r="X1423" t="s">
        <v>31</v>
      </c>
      <c r="Y1423" t="s">
        <v>31</v>
      </c>
    </row>
    <row r="1424" spans="1:25" hidden="1">
      <c r="A1424" t="s">
        <v>25</v>
      </c>
      <c r="B1424" t="s">
        <v>26</v>
      </c>
      <c r="C1424" t="s">
        <v>53</v>
      </c>
      <c r="D1424" s="1">
        <v>43991</v>
      </c>
      <c r="E1424" s="2">
        <v>0.72916666666666663</v>
      </c>
      <c r="F1424" t="s">
        <v>54</v>
      </c>
      <c r="G1424" t="s">
        <v>32</v>
      </c>
      <c r="H1424">
        <v>1</v>
      </c>
      <c r="I1424">
        <v>1</v>
      </c>
      <c r="J1424" t="s">
        <v>41</v>
      </c>
      <c r="K1424">
        <v>219</v>
      </c>
      <c r="L1424">
        <v>37</v>
      </c>
      <c r="M1424">
        <v>329</v>
      </c>
      <c r="N1424">
        <v>23</v>
      </c>
      <c r="O1424">
        <v>371</v>
      </c>
      <c r="P1424">
        <v>335</v>
      </c>
      <c r="Q1424">
        <v>218</v>
      </c>
      <c r="R1424">
        <v>351</v>
      </c>
      <c r="S1424">
        <v>306</v>
      </c>
      <c r="T1424" t="s">
        <v>31</v>
      </c>
      <c r="U1424" t="s">
        <v>31</v>
      </c>
      <c r="V1424" t="s">
        <v>31</v>
      </c>
      <c r="W1424" t="s">
        <v>31</v>
      </c>
      <c r="X1424" t="s">
        <v>31</v>
      </c>
      <c r="Y1424" t="s">
        <v>31</v>
      </c>
    </row>
    <row r="1425" spans="1:25" hidden="1">
      <c r="A1425" t="s">
        <v>25</v>
      </c>
      <c r="B1425" t="s">
        <v>26</v>
      </c>
      <c r="C1425" t="s">
        <v>53</v>
      </c>
      <c r="D1425" s="1">
        <v>43991</v>
      </c>
      <c r="E1425" s="2">
        <v>0.8125</v>
      </c>
      <c r="F1425" t="s">
        <v>40</v>
      </c>
      <c r="G1425" t="s">
        <v>45</v>
      </c>
      <c r="H1425">
        <v>0</v>
      </c>
      <c r="I1425">
        <v>2</v>
      </c>
      <c r="J1425" t="s">
        <v>30</v>
      </c>
      <c r="K1425">
        <v>208</v>
      </c>
      <c r="L1425">
        <v>369</v>
      </c>
      <c r="M1425">
        <v>357</v>
      </c>
      <c r="N1425">
        <v>212</v>
      </c>
      <c r="O1425">
        <v>371</v>
      </c>
      <c r="P1425">
        <v>365</v>
      </c>
      <c r="Q1425">
        <v>203</v>
      </c>
      <c r="R1425">
        <v>354</v>
      </c>
      <c r="S1425">
        <v>336</v>
      </c>
      <c r="T1425" t="s">
        <v>31</v>
      </c>
      <c r="U1425" t="s">
        <v>31</v>
      </c>
      <c r="V1425" t="s">
        <v>31</v>
      </c>
      <c r="W1425" t="s">
        <v>31</v>
      </c>
      <c r="X1425" t="s">
        <v>31</v>
      </c>
      <c r="Y1425" t="s">
        <v>31</v>
      </c>
    </row>
    <row r="1426" spans="1:25" hidden="1">
      <c r="A1426" t="s">
        <v>25</v>
      </c>
      <c r="B1426" t="s">
        <v>26</v>
      </c>
      <c r="C1426" t="s">
        <v>53</v>
      </c>
      <c r="D1426" s="1">
        <v>43992</v>
      </c>
      <c r="E1426" s="2">
        <v>0.72916666666666663</v>
      </c>
      <c r="F1426" t="s">
        <v>50</v>
      </c>
      <c r="G1426" t="s">
        <v>35</v>
      </c>
      <c r="H1426">
        <v>0</v>
      </c>
      <c r="I1426">
        <v>1</v>
      </c>
      <c r="J1426" t="s">
        <v>30</v>
      </c>
      <c r="K1426">
        <v>18</v>
      </c>
      <c r="L1426">
        <v>424</v>
      </c>
      <c r="M1426">
        <v>413</v>
      </c>
      <c r="N1426">
        <v>19</v>
      </c>
      <c r="O1426">
        <v>425</v>
      </c>
      <c r="P1426">
        <v>433</v>
      </c>
      <c r="Q1426">
        <v>177</v>
      </c>
      <c r="R1426">
        <v>396</v>
      </c>
      <c r="S1426">
        <v>394</v>
      </c>
      <c r="T1426" t="s">
        <v>31</v>
      </c>
      <c r="U1426" t="s">
        <v>31</v>
      </c>
      <c r="V1426" t="s">
        <v>31</v>
      </c>
      <c r="W1426" t="s">
        <v>31</v>
      </c>
      <c r="X1426" t="s">
        <v>31</v>
      </c>
      <c r="Y1426" t="s">
        <v>31</v>
      </c>
    </row>
    <row r="1427" spans="1:25" hidden="1">
      <c r="A1427" t="s">
        <v>25</v>
      </c>
      <c r="B1427" t="s">
        <v>26</v>
      </c>
      <c r="C1427" t="s">
        <v>53</v>
      </c>
      <c r="D1427" s="1">
        <v>43992</v>
      </c>
      <c r="E1427" s="2">
        <v>0.72916666666666663</v>
      </c>
      <c r="F1427" t="s">
        <v>39</v>
      </c>
      <c r="G1427" t="s">
        <v>52</v>
      </c>
      <c r="H1427">
        <v>2</v>
      </c>
      <c r="I1427">
        <v>4</v>
      </c>
      <c r="J1427" t="s">
        <v>30</v>
      </c>
      <c r="K1427">
        <v>14</v>
      </c>
      <c r="L1427">
        <v>547</v>
      </c>
      <c r="M1427">
        <v>71</v>
      </c>
      <c r="N1427">
        <v>141</v>
      </c>
      <c r="O1427">
        <v>6</v>
      </c>
      <c r="P1427">
        <v>922</v>
      </c>
      <c r="Q1427">
        <v>135</v>
      </c>
      <c r="R1427">
        <v>528</v>
      </c>
      <c r="S1427">
        <v>729</v>
      </c>
      <c r="T1427" t="s">
        <v>31</v>
      </c>
      <c r="U1427" t="s">
        <v>31</v>
      </c>
      <c r="V1427" t="s">
        <v>31</v>
      </c>
      <c r="W1427" t="s">
        <v>31</v>
      </c>
      <c r="X1427" t="s">
        <v>31</v>
      </c>
      <c r="Y1427" t="s">
        <v>31</v>
      </c>
    </row>
    <row r="1428" spans="1:25" hidden="1">
      <c r="A1428" t="s">
        <v>25</v>
      </c>
      <c r="B1428" t="s">
        <v>26</v>
      </c>
      <c r="C1428" t="s">
        <v>53</v>
      </c>
      <c r="D1428" s="1">
        <v>43992</v>
      </c>
      <c r="E1428" s="2">
        <v>0.8125</v>
      </c>
      <c r="F1428" t="s">
        <v>28</v>
      </c>
      <c r="G1428" t="s">
        <v>29</v>
      </c>
      <c r="H1428">
        <v>1</v>
      </c>
      <c r="I1428">
        <v>5</v>
      </c>
      <c r="J1428" t="s">
        <v>30</v>
      </c>
      <c r="K1428">
        <v>903</v>
      </c>
      <c r="L1428">
        <v>602</v>
      </c>
      <c r="M1428">
        <v>132</v>
      </c>
      <c r="N1428">
        <v>99</v>
      </c>
      <c r="O1428">
        <v>62</v>
      </c>
      <c r="P1428">
        <v>134</v>
      </c>
      <c r="Q1428">
        <v>815</v>
      </c>
      <c r="R1428">
        <v>569</v>
      </c>
      <c r="S1428">
        <v>13</v>
      </c>
      <c r="T1428" t="s">
        <v>31</v>
      </c>
      <c r="U1428" t="s">
        <v>31</v>
      </c>
      <c r="V1428" t="s">
        <v>31</v>
      </c>
      <c r="W1428" t="s">
        <v>31</v>
      </c>
      <c r="X1428" t="s">
        <v>31</v>
      </c>
      <c r="Y1428" t="s">
        <v>31</v>
      </c>
    </row>
    <row r="1429" spans="1:25" hidden="1">
      <c r="A1429" t="s">
        <v>25</v>
      </c>
      <c r="B1429" t="s">
        <v>26</v>
      </c>
      <c r="C1429" t="s">
        <v>53</v>
      </c>
      <c r="D1429" s="1">
        <v>43995</v>
      </c>
      <c r="E1429" s="2">
        <v>0.66666666666666663</v>
      </c>
      <c r="F1429" t="s">
        <v>37</v>
      </c>
      <c r="G1429" t="s">
        <v>54</v>
      </c>
      <c r="H1429">
        <v>0</v>
      </c>
      <c r="I1429">
        <v>3</v>
      </c>
      <c r="J1429" t="s">
        <v>30</v>
      </c>
      <c r="K1429">
        <v>219</v>
      </c>
      <c r="L1429">
        <v>356</v>
      </c>
      <c r="M1429">
        <v>34</v>
      </c>
      <c r="N1429">
        <v>225</v>
      </c>
      <c r="O1429">
        <v>36</v>
      </c>
      <c r="P1429">
        <v>342</v>
      </c>
      <c r="Q1429">
        <v>213</v>
      </c>
      <c r="R1429">
        <v>342</v>
      </c>
      <c r="S1429">
        <v>323</v>
      </c>
      <c r="T1429" t="s">
        <v>31</v>
      </c>
      <c r="U1429" t="s">
        <v>31</v>
      </c>
      <c r="V1429" t="s">
        <v>31</v>
      </c>
      <c r="W1429" t="s">
        <v>31</v>
      </c>
      <c r="X1429" t="s">
        <v>31</v>
      </c>
      <c r="Y1429" t="s">
        <v>31</v>
      </c>
    </row>
    <row r="1430" spans="1:25" hidden="1">
      <c r="A1430" t="s">
        <v>25</v>
      </c>
      <c r="B1430" t="s">
        <v>26</v>
      </c>
      <c r="C1430" t="s">
        <v>53</v>
      </c>
      <c r="D1430" s="1">
        <v>43995</v>
      </c>
      <c r="E1430" s="2">
        <v>0.66666666666666663</v>
      </c>
      <c r="F1430" t="s">
        <v>45</v>
      </c>
      <c r="G1430" t="s">
        <v>48</v>
      </c>
      <c r="H1430">
        <v>2</v>
      </c>
      <c r="I1430">
        <v>0</v>
      </c>
      <c r="J1430" t="s">
        <v>34</v>
      </c>
      <c r="K1430">
        <v>193</v>
      </c>
      <c r="L1430">
        <v>387</v>
      </c>
      <c r="M1430">
        <v>389</v>
      </c>
      <c r="N1430">
        <v>195</v>
      </c>
      <c r="O1430">
        <v>387</v>
      </c>
      <c r="P1430">
        <v>395</v>
      </c>
      <c r="Q1430">
        <v>187</v>
      </c>
      <c r="R1430">
        <v>372</v>
      </c>
      <c r="S1430">
        <v>374</v>
      </c>
      <c r="T1430" t="s">
        <v>31</v>
      </c>
      <c r="U1430" t="s">
        <v>31</v>
      </c>
      <c r="V1430" t="s">
        <v>31</v>
      </c>
      <c r="W1430" t="s">
        <v>31</v>
      </c>
      <c r="X1430" t="s">
        <v>31</v>
      </c>
      <c r="Y1430" t="s">
        <v>31</v>
      </c>
    </row>
    <row r="1431" spans="1:25" hidden="1">
      <c r="A1431" t="s">
        <v>25</v>
      </c>
      <c r="B1431" t="s">
        <v>26</v>
      </c>
      <c r="C1431" t="s">
        <v>53</v>
      </c>
      <c r="D1431" s="1">
        <v>43995</v>
      </c>
      <c r="E1431" s="2">
        <v>0.66666666666666663</v>
      </c>
      <c r="F1431" t="s">
        <v>32</v>
      </c>
      <c r="G1431" t="s">
        <v>40</v>
      </c>
      <c r="H1431">
        <v>1</v>
      </c>
      <c r="I1431">
        <v>4</v>
      </c>
      <c r="J1431" t="s">
        <v>30</v>
      </c>
      <c r="K1431">
        <v>323</v>
      </c>
      <c r="L1431">
        <v>367</v>
      </c>
      <c r="M1431">
        <v>223</v>
      </c>
      <c r="N1431">
        <v>323</v>
      </c>
      <c r="O1431">
        <v>367</v>
      </c>
      <c r="P1431">
        <v>23</v>
      </c>
      <c r="Q1431">
        <v>302</v>
      </c>
      <c r="R1431">
        <v>351</v>
      </c>
      <c r="S1431">
        <v>22</v>
      </c>
      <c r="T1431" t="s">
        <v>31</v>
      </c>
      <c r="U1431" t="s">
        <v>31</v>
      </c>
      <c r="V1431" t="s">
        <v>31</v>
      </c>
      <c r="W1431" t="s">
        <v>31</v>
      </c>
      <c r="X1431" t="s">
        <v>31</v>
      </c>
      <c r="Y1431" t="s">
        <v>31</v>
      </c>
    </row>
    <row r="1432" spans="1:25" hidden="1">
      <c r="A1432" t="s">
        <v>25</v>
      </c>
      <c r="B1432" t="s">
        <v>26</v>
      </c>
      <c r="C1432" t="s">
        <v>53</v>
      </c>
      <c r="D1432" s="1">
        <v>43996</v>
      </c>
      <c r="E1432" s="2">
        <v>0.66666666666666663</v>
      </c>
      <c r="F1432" t="s">
        <v>52</v>
      </c>
      <c r="G1432" t="s">
        <v>28</v>
      </c>
      <c r="H1432">
        <v>1</v>
      </c>
      <c r="I1432">
        <v>2</v>
      </c>
      <c r="J1432" t="s">
        <v>30</v>
      </c>
      <c r="K1432">
        <v>295</v>
      </c>
      <c r="L1432">
        <v>387</v>
      </c>
      <c r="M1432">
        <v>231</v>
      </c>
      <c r="N1432">
        <v>296</v>
      </c>
      <c r="O1432">
        <v>388</v>
      </c>
      <c r="P1432">
        <v>248</v>
      </c>
      <c r="Q1432">
        <v>275</v>
      </c>
      <c r="R1432">
        <v>366</v>
      </c>
      <c r="S1432">
        <v>232</v>
      </c>
      <c r="T1432" t="s">
        <v>31</v>
      </c>
      <c r="U1432" t="s">
        <v>31</v>
      </c>
      <c r="V1432" t="s">
        <v>31</v>
      </c>
      <c r="W1432" t="s">
        <v>31</v>
      </c>
      <c r="X1432" t="s">
        <v>31</v>
      </c>
      <c r="Y1432" t="s">
        <v>31</v>
      </c>
    </row>
    <row r="1433" spans="1:25" hidden="1">
      <c r="A1433" t="s">
        <v>25</v>
      </c>
      <c r="B1433" t="s">
        <v>26</v>
      </c>
      <c r="C1433" t="s">
        <v>53</v>
      </c>
      <c r="D1433" s="1">
        <v>43996</v>
      </c>
      <c r="E1433" s="2">
        <v>0.66666666666666663</v>
      </c>
      <c r="F1433" t="s">
        <v>35</v>
      </c>
      <c r="G1433" t="s">
        <v>39</v>
      </c>
      <c r="H1433">
        <v>2</v>
      </c>
      <c r="I1433">
        <v>1</v>
      </c>
      <c r="J1433" t="s">
        <v>34</v>
      </c>
      <c r="K1433">
        <v>224</v>
      </c>
      <c r="L1433">
        <v>395</v>
      </c>
      <c r="M1433">
        <v>301</v>
      </c>
      <c r="N1433">
        <v>235</v>
      </c>
      <c r="O1433">
        <v>396</v>
      </c>
      <c r="P1433">
        <v>309</v>
      </c>
      <c r="Q1433">
        <v>221</v>
      </c>
      <c r="R1433">
        <v>37</v>
      </c>
      <c r="S1433">
        <v>288</v>
      </c>
      <c r="T1433" t="s">
        <v>31</v>
      </c>
      <c r="U1433" t="s">
        <v>31</v>
      </c>
      <c r="V1433" t="s">
        <v>31</v>
      </c>
      <c r="W1433" t="s">
        <v>31</v>
      </c>
      <c r="X1433" t="s">
        <v>31</v>
      </c>
      <c r="Y1433" t="s">
        <v>31</v>
      </c>
    </row>
    <row r="1434" spans="1:25" hidden="1">
      <c r="A1434" t="s">
        <v>25</v>
      </c>
      <c r="B1434" t="s">
        <v>26</v>
      </c>
      <c r="C1434" t="s">
        <v>53</v>
      </c>
      <c r="D1434" s="1">
        <v>43996</v>
      </c>
      <c r="E1434" s="2">
        <v>0.77083333333333337</v>
      </c>
      <c r="F1434" t="s">
        <v>29</v>
      </c>
      <c r="G1434" t="s">
        <v>50</v>
      </c>
      <c r="H1434">
        <v>3</v>
      </c>
      <c r="I1434">
        <v>1</v>
      </c>
      <c r="J1434" t="s">
        <v>34</v>
      </c>
      <c r="K1434">
        <v>145</v>
      </c>
      <c r="L1434">
        <v>513</v>
      </c>
      <c r="M1434">
        <v>668</v>
      </c>
      <c r="N1434">
        <v>15</v>
      </c>
      <c r="O1434">
        <v>513</v>
      </c>
      <c r="P1434">
        <v>75</v>
      </c>
      <c r="Q1434">
        <v>143</v>
      </c>
      <c r="R1434">
        <v>477</v>
      </c>
      <c r="S1434">
        <v>621</v>
      </c>
      <c r="T1434" t="s">
        <v>31</v>
      </c>
      <c r="U1434" t="s">
        <v>31</v>
      </c>
      <c r="V1434" t="s">
        <v>31</v>
      </c>
      <c r="W1434" t="s">
        <v>31</v>
      </c>
      <c r="X1434" t="s">
        <v>31</v>
      </c>
      <c r="Y1434" t="s">
        <v>31</v>
      </c>
    </row>
    <row r="1435" spans="1:25" hidden="1">
      <c r="A1435" t="s">
        <v>25</v>
      </c>
      <c r="B1435" t="s">
        <v>26</v>
      </c>
      <c r="C1435" t="s">
        <v>53</v>
      </c>
      <c r="D1435" s="1">
        <v>43998</v>
      </c>
      <c r="E1435" s="2">
        <v>0.72916666666666663</v>
      </c>
      <c r="F1435" t="s">
        <v>37</v>
      </c>
      <c r="G1435" t="s">
        <v>45</v>
      </c>
      <c r="H1435">
        <v>1</v>
      </c>
      <c r="I1435">
        <v>1</v>
      </c>
      <c r="J1435" t="s">
        <v>41</v>
      </c>
      <c r="K1435">
        <v>331</v>
      </c>
      <c r="L1435">
        <v>34</v>
      </c>
      <c r="M1435">
        <v>23</v>
      </c>
      <c r="N1435">
        <v>335</v>
      </c>
      <c r="O1435">
        <v>344</v>
      </c>
      <c r="P1435">
        <v>231</v>
      </c>
      <c r="Q1435">
        <v>313</v>
      </c>
      <c r="R1435">
        <v>328</v>
      </c>
      <c r="S1435">
        <v>224</v>
      </c>
      <c r="T1435" t="s">
        <v>31</v>
      </c>
      <c r="U1435" t="s">
        <v>31</v>
      </c>
      <c r="V1435" t="s">
        <v>31</v>
      </c>
      <c r="W1435" t="s">
        <v>31</v>
      </c>
      <c r="X1435" t="s">
        <v>31</v>
      </c>
      <c r="Y1435" t="s">
        <v>31</v>
      </c>
    </row>
    <row r="1436" spans="1:25" hidden="1">
      <c r="A1436" t="s">
        <v>25</v>
      </c>
      <c r="B1436" t="s">
        <v>26</v>
      </c>
      <c r="C1436" t="s">
        <v>53</v>
      </c>
      <c r="D1436" s="1">
        <v>43998</v>
      </c>
      <c r="E1436" s="2">
        <v>0.72916666666666663</v>
      </c>
      <c r="F1436" t="s">
        <v>48</v>
      </c>
      <c r="G1436" t="s">
        <v>32</v>
      </c>
      <c r="H1436">
        <v>1</v>
      </c>
      <c r="I1436">
        <v>0</v>
      </c>
      <c r="J1436" t="s">
        <v>34</v>
      </c>
      <c r="K1436">
        <v>241</v>
      </c>
      <c r="L1436">
        <v>35</v>
      </c>
      <c r="M1436">
        <v>303</v>
      </c>
      <c r="N1436">
        <v>245</v>
      </c>
      <c r="O1436">
        <v>354</v>
      </c>
      <c r="P1436">
        <v>31</v>
      </c>
      <c r="Q1436">
        <v>235</v>
      </c>
      <c r="R1436">
        <v>336</v>
      </c>
      <c r="S1436">
        <v>288</v>
      </c>
      <c r="T1436" t="s">
        <v>31</v>
      </c>
      <c r="U1436" t="s">
        <v>31</v>
      </c>
      <c r="V1436" t="s">
        <v>31</v>
      </c>
      <c r="W1436" t="s">
        <v>31</v>
      </c>
      <c r="X1436" t="s">
        <v>31</v>
      </c>
      <c r="Y1436" t="s">
        <v>31</v>
      </c>
    </row>
    <row r="1437" spans="1:25" hidden="1">
      <c r="A1437" t="s">
        <v>25</v>
      </c>
      <c r="B1437" t="s">
        <v>26</v>
      </c>
      <c r="C1437" t="s">
        <v>53</v>
      </c>
      <c r="D1437" s="1">
        <v>43998</v>
      </c>
      <c r="E1437" s="2">
        <v>0.8125</v>
      </c>
      <c r="F1437" t="s">
        <v>40</v>
      </c>
      <c r="G1437" t="s">
        <v>54</v>
      </c>
      <c r="H1437">
        <v>1</v>
      </c>
      <c r="I1437">
        <v>0</v>
      </c>
      <c r="J1437" t="s">
        <v>34</v>
      </c>
      <c r="K1437">
        <v>189</v>
      </c>
      <c r="L1437">
        <v>407</v>
      </c>
      <c r="M1437">
        <v>387</v>
      </c>
      <c r="N1437">
        <v>197</v>
      </c>
      <c r="O1437">
        <v>407</v>
      </c>
      <c r="P1437">
        <v>415</v>
      </c>
      <c r="Q1437">
        <v>188</v>
      </c>
      <c r="R1437">
        <v>375</v>
      </c>
      <c r="S1437">
        <v>368</v>
      </c>
      <c r="T1437" t="s">
        <v>31</v>
      </c>
      <c r="U1437" t="s">
        <v>31</v>
      </c>
      <c r="V1437" t="s">
        <v>31</v>
      </c>
      <c r="W1437" t="s">
        <v>31</v>
      </c>
      <c r="X1437" t="s">
        <v>31</v>
      </c>
      <c r="Y1437" t="s">
        <v>31</v>
      </c>
    </row>
    <row r="1438" spans="1:25" hidden="1">
      <c r="A1438" t="s">
        <v>25</v>
      </c>
      <c r="B1438" t="s">
        <v>26</v>
      </c>
      <c r="C1438" t="s">
        <v>53</v>
      </c>
      <c r="D1438" s="1">
        <v>43999</v>
      </c>
      <c r="E1438" s="2">
        <v>0.72916666666666663</v>
      </c>
      <c r="F1438" t="s">
        <v>52</v>
      </c>
      <c r="G1438" t="s">
        <v>35</v>
      </c>
      <c r="H1438">
        <v>0</v>
      </c>
      <c r="I1438">
        <v>1</v>
      </c>
      <c r="J1438" t="s">
        <v>30</v>
      </c>
      <c r="K1438">
        <v>719</v>
      </c>
      <c r="L1438">
        <v>548</v>
      </c>
      <c r="M1438">
        <v>14</v>
      </c>
      <c r="N1438">
        <v>768</v>
      </c>
      <c r="O1438">
        <v>548</v>
      </c>
      <c r="P1438">
        <v>148</v>
      </c>
      <c r="Q1438">
        <v>667</v>
      </c>
      <c r="R1438">
        <v>49</v>
      </c>
      <c r="S1438">
        <v>14</v>
      </c>
      <c r="T1438" t="s">
        <v>31</v>
      </c>
      <c r="U1438" t="s">
        <v>31</v>
      </c>
      <c r="V1438" t="s">
        <v>31</v>
      </c>
      <c r="W1438" t="s">
        <v>31</v>
      </c>
      <c r="X1438" t="s">
        <v>31</v>
      </c>
      <c r="Y1438" t="s">
        <v>31</v>
      </c>
    </row>
    <row r="1439" spans="1:25" hidden="1">
      <c r="A1439" t="s">
        <v>25</v>
      </c>
      <c r="B1439" t="s">
        <v>26</v>
      </c>
      <c r="C1439" t="s">
        <v>53</v>
      </c>
      <c r="D1439" s="1">
        <v>43999</v>
      </c>
      <c r="E1439" s="2">
        <v>0.72916666666666663</v>
      </c>
      <c r="F1439" t="s">
        <v>39</v>
      </c>
      <c r="G1439" t="s">
        <v>29</v>
      </c>
      <c r="H1439">
        <v>0</v>
      </c>
      <c r="I1439">
        <v>0</v>
      </c>
      <c r="J1439" t="s">
        <v>41</v>
      </c>
      <c r="K1439">
        <v>801</v>
      </c>
      <c r="L1439">
        <v>598</v>
      </c>
      <c r="M1439">
        <v>134</v>
      </c>
      <c r="N1439">
        <v>105</v>
      </c>
      <c r="O1439">
        <v>598</v>
      </c>
      <c r="P1439">
        <v>137</v>
      </c>
      <c r="Q1439">
        <v>744</v>
      </c>
      <c r="R1439">
        <v>545</v>
      </c>
      <c r="S1439">
        <v>133</v>
      </c>
      <c r="T1439" t="s">
        <v>31</v>
      </c>
      <c r="U1439" t="s">
        <v>31</v>
      </c>
      <c r="V1439" t="s">
        <v>31</v>
      </c>
      <c r="W1439" t="s">
        <v>31</v>
      </c>
      <c r="X1439" t="s">
        <v>31</v>
      </c>
      <c r="Y1439" t="s">
        <v>31</v>
      </c>
    </row>
    <row r="1440" spans="1:25" hidden="1">
      <c r="A1440" t="s">
        <v>25</v>
      </c>
      <c r="B1440" t="s">
        <v>26</v>
      </c>
      <c r="C1440" t="s">
        <v>53</v>
      </c>
      <c r="D1440" s="1">
        <v>43999</v>
      </c>
      <c r="E1440" s="2">
        <v>0.8125</v>
      </c>
      <c r="F1440" t="s">
        <v>50</v>
      </c>
      <c r="G1440" t="s">
        <v>28</v>
      </c>
      <c r="H1440">
        <v>4</v>
      </c>
      <c r="I1440">
        <v>0</v>
      </c>
      <c r="J1440" t="s">
        <v>34</v>
      </c>
      <c r="K1440">
        <v>157</v>
      </c>
      <c r="L1440">
        <v>464</v>
      </c>
      <c r="M1440">
        <v>545</v>
      </c>
      <c r="N1440">
        <v>162</v>
      </c>
      <c r="O1440">
        <v>466</v>
      </c>
      <c r="P1440">
        <v>55</v>
      </c>
      <c r="Q1440">
        <v>156</v>
      </c>
      <c r="R1440">
        <v>423</v>
      </c>
      <c r="S1440">
        <v>518</v>
      </c>
      <c r="T1440" t="s">
        <v>31</v>
      </c>
      <c r="U1440" t="s">
        <v>31</v>
      </c>
      <c r="V1440" t="s">
        <v>31</v>
      </c>
      <c r="W1440" t="s">
        <v>31</v>
      </c>
      <c r="X1440" t="s">
        <v>31</v>
      </c>
      <c r="Y1440" t="s">
        <v>31</v>
      </c>
    </row>
    <row r="1441" spans="1:25" hidden="1">
      <c r="A1441" t="s">
        <v>25</v>
      </c>
      <c r="B1441" t="s">
        <v>26</v>
      </c>
      <c r="C1441" t="s">
        <v>53</v>
      </c>
      <c r="D1441" s="1">
        <v>44002</v>
      </c>
      <c r="E1441" s="2">
        <v>0.66666666666666663</v>
      </c>
      <c r="F1441" t="s">
        <v>45</v>
      </c>
      <c r="G1441" t="s">
        <v>37</v>
      </c>
      <c r="H1441">
        <v>1</v>
      </c>
      <c r="I1441">
        <v>1</v>
      </c>
      <c r="J1441" t="s">
        <v>41</v>
      </c>
      <c r="K1441">
        <v>188</v>
      </c>
      <c r="L1441">
        <v>372</v>
      </c>
      <c r="M1441">
        <v>433</v>
      </c>
      <c r="N1441">
        <v>192</v>
      </c>
      <c r="O1441">
        <v>38</v>
      </c>
      <c r="P1441">
        <v>433</v>
      </c>
      <c r="Q1441">
        <v>186</v>
      </c>
      <c r="R1441">
        <v>355</v>
      </c>
      <c r="S1441">
        <v>397</v>
      </c>
      <c r="T1441" t="s">
        <v>31</v>
      </c>
      <c r="U1441" t="s">
        <v>31</v>
      </c>
      <c r="V1441" t="s">
        <v>31</v>
      </c>
      <c r="W1441" t="s">
        <v>31</v>
      </c>
      <c r="X1441" t="s">
        <v>31</v>
      </c>
      <c r="Y1441" t="s">
        <v>31</v>
      </c>
    </row>
    <row r="1442" spans="1:25" hidden="1">
      <c r="A1442" t="s">
        <v>25</v>
      </c>
      <c r="B1442" t="s">
        <v>26</v>
      </c>
      <c r="C1442" t="s">
        <v>53</v>
      </c>
      <c r="D1442" s="1">
        <v>44002</v>
      </c>
      <c r="E1442" s="2">
        <v>0.66666666666666663</v>
      </c>
      <c r="F1442" t="s">
        <v>32</v>
      </c>
      <c r="G1442" t="s">
        <v>48</v>
      </c>
      <c r="H1442">
        <v>2</v>
      </c>
      <c r="I1442">
        <v>0</v>
      </c>
      <c r="J1442" t="s">
        <v>34</v>
      </c>
      <c r="K1442">
        <v>275</v>
      </c>
      <c r="L1442">
        <v>344</v>
      </c>
      <c r="M1442">
        <v>266</v>
      </c>
      <c r="N1442">
        <v>28</v>
      </c>
      <c r="O1442">
        <v>35</v>
      </c>
      <c r="P1442">
        <v>266</v>
      </c>
      <c r="Q1442">
        <v>267</v>
      </c>
      <c r="R1442">
        <v>333</v>
      </c>
      <c r="S1442">
        <v>252</v>
      </c>
      <c r="T1442" t="s">
        <v>31</v>
      </c>
      <c r="U1442" t="s">
        <v>31</v>
      </c>
      <c r="V1442" t="s">
        <v>31</v>
      </c>
      <c r="W1442" t="s">
        <v>31</v>
      </c>
      <c r="X1442" t="s">
        <v>31</v>
      </c>
      <c r="Y1442" t="s">
        <v>31</v>
      </c>
    </row>
    <row r="1443" spans="1:25" hidden="1">
      <c r="A1443" t="s">
        <v>25</v>
      </c>
      <c r="B1443" t="s">
        <v>26</v>
      </c>
      <c r="C1443" t="s">
        <v>53</v>
      </c>
      <c r="D1443" s="1">
        <v>44002</v>
      </c>
      <c r="E1443" s="2">
        <v>0.66666666666666663</v>
      </c>
      <c r="F1443" t="s">
        <v>54</v>
      </c>
      <c r="G1443" t="s">
        <v>40</v>
      </c>
      <c r="H1443">
        <v>1</v>
      </c>
      <c r="I1443">
        <v>2</v>
      </c>
      <c r="J1443" t="s">
        <v>30</v>
      </c>
      <c r="K1443">
        <v>312</v>
      </c>
      <c r="L1443">
        <v>366</v>
      </c>
      <c r="M1443">
        <v>229</v>
      </c>
      <c r="N1443">
        <v>32</v>
      </c>
      <c r="O1443">
        <v>372</v>
      </c>
      <c r="P1443">
        <v>23</v>
      </c>
      <c r="Q1443">
        <v>298</v>
      </c>
      <c r="R1443">
        <v>351</v>
      </c>
      <c r="S1443">
        <v>222</v>
      </c>
      <c r="T1443" t="s">
        <v>31</v>
      </c>
      <c r="U1443" t="s">
        <v>31</v>
      </c>
      <c r="V1443" t="s">
        <v>31</v>
      </c>
      <c r="W1443" t="s">
        <v>31</v>
      </c>
      <c r="X1443" t="s">
        <v>31</v>
      </c>
      <c r="Y1443" t="s">
        <v>31</v>
      </c>
    </row>
    <row r="1444" spans="1:25" hidden="1">
      <c r="A1444" t="s">
        <v>25</v>
      </c>
      <c r="B1444" t="s">
        <v>26</v>
      </c>
      <c r="C1444" t="s">
        <v>53</v>
      </c>
      <c r="D1444" s="1">
        <v>44003</v>
      </c>
      <c r="E1444" s="2">
        <v>0.66666666666666663</v>
      </c>
      <c r="F1444" t="s">
        <v>35</v>
      </c>
      <c r="G1444" t="s">
        <v>52</v>
      </c>
      <c r="H1444">
        <v>0</v>
      </c>
      <c r="I1444">
        <v>1</v>
      </c>
      <c r="J1444" t="s">
        <v>30</v>
      </c>
      <c r="K1444">
        <v>141</v>
      </c>
      <c r="L1444">
        <v>527</v>
      </c>
      <c r="M1444">
        <v>724</v>
      </c>
      <c r="N1444">
        <v>145</v>
      </c>
      <c r="O1444">
        <v>527</v>
      </c>
      <c r="P1444">
        <v>817</v>
      </c>
      <c r="Q1444">
        <v>137</v>
      </c>
      <c r="R1444">
        <v>503</v>
      </c>
      <c r="S1444">
        <v>692</v>
      </c>
      <c r="T1444" t="s">
        <v>31</v>
      </c>
      <c r="U1444" t="s">
        <v>31</v>
      </c>
      <c r="V1444" t="s">
        <v>31</v>
      </c>
      <c r="W1444" t="s">
        <v>31</v>
      </c>
      <c r="X1444" t="s">
        <v>31</v>
      </c>
      <c r="Y1444" t="s">
        <v>31</v>
      </c>
    </row>
    <row r="1445" spans="1:25" hidden="1">
      <c r="A1445" t="s">
        <v>25</v>
      </c>
      <c r="B1445" t="s">
        <v>26</v>
      </c>
      <c r="C1445" t="s">
        <v>53</v>
      </c>
      <c r="D1445" s="1">
        <v>44003</v>
      </c>
      <c r="E1445" s="2">
        <v>0.66666666666666663</v>
      </c>
      <c r="F1445" t="s">
        <v>29</v>
      </c>
      <c r="G1445" t="s">
        <v>39</v>
      </c>
      <c r="H1445">
        <v>2</v>
      </c>
      <c r="I1445">
        <v>2</v>
      </c>
      <c r="J1445" t="s">
        <v>41</v>
      </c>
      <c r="K1445">
        <v>116</v>
      </c>
      <c r="L1445">
        <v>879</v>
      </c>
      <c r="M1445">
        <v>1588</v>
      </c>
      <c r="N1445">
        <v>122</v>
      </c>
      <c r="O1445">
        <v>92</v>
      </c>
      <c r="P1445">
        <v>19</v>
      </c>
      <c r="Q1445">
        <v>115</v>
      </c>
      <c r="R1445">
        <v>787</v>
      </c>
      <c r="S1445">
        <v>1386</v>
      </c>
      <c r="T1445" t="s">
        <v>31</v>
      </c>
      <c r="U1445" t="s">
        <v>31</v>
      </c>
      <c r="V1445" t="s">
        <v>31</v>
      </c>
      <c r="W1445" t="s">
        <v>31</v>
      </c>
      <c r="X1445" t="s">
        <v>31</v>
      </c>
      <c r="Y1445" t="s">
        <v>31</v>
      </c>
    </row>
    <row r="1446" spans="1:25" hidden="1">
      <c r="A1446" t="s">
        <v>25</v>
      </c>
      <c r="B1446" t="s">
        <v>26</v>
      </c>
      <c r="C1446" t="s">
        <v>53</v>
      </c>
      <c r="D1446" s="1">
        <v>44003</v>
      </c>
      <c r="E1446" s="2">
        <v>0.77083333333333337</v>
      </c>
      <c r="F1446" t="s">
        <v>28</v>
      </c>
      <c r="G1446" t="s">
        <v>50</v>
      </c>
      <c r="H1446">
        <v>0</v>
      </c>
      <c r="I1446">
        <v>2</v>
      </c>
      <c r="J1446" t="s">
        <v>30</v>
      </c>
      <c r="K1446">
        <v>455</v>
      </c>
      <c r="L1446">
        <v>384</v>
      </c>
      <c r="M1446">
        <v>181</v>
      </c>
      <c r="N1446">
        <v>476</v>
      </c>
      <c r="O1446">
        <v>42</v>
      </c>
      <c r="P1446">
        <v>182</v>
      </c>
      <c r="Q1446">
        <v>425</v>
      </c>
      <c r="R1446">
        <v>377</v>
      </c>
      <c r="S1446">
        <v>175</v>
      </c>
      <c r="T1446" t="s">
        <v>31</v>
      </c>
      <c r="U1446" t="s">
        <v>31</v>
      </c>
      <c r="V1446" t="s">
        <v>31</v>
      </c>
      <c r="W1446" t="s">
        <v>31</v>
      </c>
      <c r="X1446" t="s">
        <v>31</v>
      </c>
      <c r="Y1446" t="s">
        <v>31</v>
      </c>
    </row>
    <row r="1447" spans="1:25" hidden="1">
      <c r="A1447" t="s">
        <v>25</v>
      </c>
      <c r="B1447" t="s">
        <v>26</v>
      </c>
      <c r="C1447" t="s">
        <v>53</v>
      </c>
      <c r="D1447" s="1">
        <v>44005</v>
      </c>
      <c r="E1447" s="2">
        <v>0.72916666666666663</v>
      </c>
      <c r="F1447" t="s">
        <v>37</v>
      </c>
      <c r="G1447" t="s">
        <v>40</v>
      </c>
      <c r="H1447">
        <v>0</v>
      </c>
      <c r="I1447">
        <v>2</v>
      </c>
      <c r="J1447" t="s">
        <v>30</v>
      </c>
      <c r="K1447">
        <v>363</v>
      </c>
      <c r="L1447">
        <v>369</v>
      </c>
      <c r="M1447">
        <v>206</v>
      </c>
      <c r="N1447">
        <v>385</v>
      </c>
      <c r="O1447">
        <v>37</v>
      </c>
      <c r="P1447">
        <v>209</v>
      </c>
      <c r="Q1447">
        <v>345</v>
      </c>
      <c r="R1447">
        <v>352</v>
      </c>
      <c r="S1447">
        <v>201</v>
      </c>
      <c r="T1447" t="s">
        <v>31</v>
      </c>
      <c r="U1447" t="s">
        <v>31</v>
      </c>
      <c r="V1447" t="s">
        <v>31</v>
      </c>
      <c r="W1447" t="s">
        <v>31</v>
      </c>
      <c r="X1447" t="s">
        <v>31</v>
      </c>
      <c r="Y1447" t="s">
        <v>31</v>
      </c>
    </row>
    <row r="1448" spans="1:25" hidden="1">
      <c r="A1448" t="s">
        <v>25</v>
      </c>
      <c r="B1448" t="s">
        <v>26</v>
      </c>
      <c r="C1448" t="s">
        <v>53</v>
      </c>
      <c r="D1448" s="1">
        <v>44005</v>
      </c>
      <c r="E1448" s="2">
        <v>0.72916666666666663</v>
      </c>
      <c r="F1448" t="s">
        <v>45</v>
      </c>
      <c r="G1448" t="s">
        <v>32</v>
      </c>
      <c r="H1448">
        <v>1</v>
      </c>
      <c r="I1448">
        <v>1</v>
      </c>
      <c r="J1448" t="s">
        <v>41</v>
      </c>
      <c r="K1448">
        <v>196</v>
      </c>
      <c r="L1448">
        <v>369</v>
      </c>
      <c r="M1448">
        <v>398</v>
      </c>
      <c r="N1448">
        <v>203</v>
      </c>
      <c r="O1448">
        <v>384</v>
      </c>
      <c r="P1448">
        <v>41</v>
      </c>
      <c r="Q1448">
        <v>191</v>
      </c>
      <c r="R1448">
        <v>354</v>
      </c>
      <c r="S1448">
        <v>38</v>
      </c>
      <c r="T1448" t="s">
        <v>31</v>
      </c>
      <c r="U1448" t="s">
        <v>31</v>
      </c>
      <c r="V1448" t="s">
        <v>31</v>
      </c>
      <c r="W1448" t="s">
        <v>31</v>
      </c>
      <c r="X1448" t="s">
        <v>31</v>
      </c>
      <c r="Y1448" t="s">
        <v>31</v>
      </c>
    </row>
    <row r="1449" spans="1:25" hidden="1">
      <c r="A1449" t="s">
        <v>25</v>
      </c>
      <c r="B1449" t="s">
        <v>26</v>
      </c>
      <c r="C1449" t="s">
        <v>53</v>
      </c>
      <c r="D1449" s="1">
        <v>44005</v>
      </c>
      <c r="E1449" s="2">
        <v>0.8125</v>
      </c>
      <c r="F1449" t="s">
        <v>48</v>
      </c>
      <c r="G1449" t="s">
        <v>54</v>
      </c>
      <c r="H1449">
        <v>1</v>
      </c>
      <c r="I1449">
        <v>1</v>
      </c>
      <c r="J1449" t="s">
        <v>41</v>
      </c>
      <c r="K1449">
        <v>243</v>
      </c>
      <c r="L1449">
        <v>363</v>
      </c>
      <c r="M1449">
        <v>29</v>
      </c>
      <c r="N1449">
        <v>249</v>
      </c>
      <c r="O1449">
        <v>363</v>
      </c>
      <c r="P1449">
        <v>295</v>
      </c>
      <c r="Q1449">
        <v>234</v>
      </c>
      <c r="R1449">
        <v>341</v>
      </c>
      <c r="S1449">
        <v>286</v>
      </c>
      <c r="T1449" t="s">
        <v>31</v>
      </c>
      <c r="U1449" t="s">
        <v>31</v>
      </c>
      <c r="V1449" t="s">
        <v>31</v>
      </c>
      <c r="W1449" t="s">
        <v>31</v>
      </c>
      <c r="X1449" t="s">
        <v>31</v>
      </c>
      <c r="Y1449" t="s">
        <v>31</v>
      </c>
    </row>
    <row r="1450" spans="1:25" hidden="1">
      <c r="A1450" t="s">
        <v>25</v>
      </c>
      <c r="B1450" t="s">
        <v>26</v>
      </c>
      <c r="C1450" t="s">
        <v>53</v>
      </c>
      <c r="D1450" s="1">
        <v>44006</v>
      </c>
      <c r="E1450" s="2">
        <v>0.72916666666666663</v>
      </c>
      <c r="F1450" t="s">
        <v>52</v>
      </c>
      <c r="G1450" t="s">
        <v>50</v>
      </c>
      <c r="H1450">
        <v>1</v>
      </c>
      <c r="I1450">
        <v>5</v>
      </c>
      <c r="J1450" t="s">
        <v>30</v>
      </c>
      <c r="K1450">
        <v>839</v>
      </c>
      <c r="L1450">
        <v>588</v>
      </c>
      <c r="M1450">
        <v>134</v>
      </c>
      <c r="N1450">
        <v>88</v>
      </c>
      <c r="O1450">
        <v>619</v>
      </c>
      <c r="P1450">
        <v>14</v>
      </c>
      <c r="Q1450">
        <v>8</v>
      </c>
      <c r="R1450">
        <v>557</v>
      </c>
      <c r="S1450">
        <v>13</v>
      </c>
      <c r="T1450" t="s">
        <v>31</v>
      </c>
      <c r="U1450" t="s">
        <v>31</v>
      </c>
      <c r="V1450" t="s">
        <v>31</v>
      </c>
      <c r="W1450" t="s">
        <v>31</v>
      </c>
      <c r="X1450" t="s">
        <v>31</v>
      </c>
      <c r="Y1450" t="s">
        <v>31</v>
      </c>
    </row>
    <row r="1451" spans="1:25" hidden="1">
      <c r="A1451" t="s">
        <v>25</v>
      </c>
      <c r="B1451" t="s">
        <v>26</v>
      </c>
      <c r="C1451" t="s">
        <v>53</v>
      </c>
      <c r="D1451" s="1">
        <v>44006</v>
      </c>
      <c r="E1451" s="2">
        <v>0.72916666666666663</v>
      </c>
      <c r="F1451" t="s">
        <v>39</v>
      </c>
      <c r="G1451" t="s">
        <v>28</v>
      </c>
      <c r="H1451">
        <v>2</v>
      </c>
      <c r="I1451">
        <v>0</v>
      </c>
      <c r="J1451" t="s">
        <v>34</v>
      </c>
      <c r="K1451">
        <v>196</v>
      </c>
      <c r="L1451">
        <v>405</v>
      </c>
      <c r="M1451">
        <v>362</v>
      </c>
      <c r="N1451">
        <v>2</v>
      </c>
      <c r="O1451">
        <v>405</v>
      </c>
      <c r="P1451">
        <v>391</v>
      </c>
      <c r="Q1451">
        <v>19</v>
      </c>
      <c r="R1451">
        <v>383</v>
      </c>
      <c r="S1451">
        <v>353</v>
      </c>
      <c r="T1451" t="s">
        <v>31</v>
      </c>
      <c r="U1451" t="s">
        <v>31</v>
      </c>
      <c r="V1451" t="s">
        <v>31</v>
      </c>
      <c r="W1451" t="s">
        <v>31</v>
      </c>
      <c r="X1451" t="s">
        <v>31</v>
      </c>
      <c r="Y1451" t="s">
        <v>31</v>
      </c>
    </row>
    <row r="1452" spans="1:25" hidden="1">
      <c r="A1452" t="s">
        <v>25</v>
      </c>
      <c r="B1452" t="s">
        <v>26</v>
      </c>
      <c r="C1452" t="s">
        <v>53</v>
      </c>
      <c r="D1452" s="1">
        <v>44006</v>
      </c>
      <c r="E1452" s="2">
        <v>0.8125</v>
      </c>
      <c r="F1452" t="s">
        <v>35</v>
      </c>
      <c r="G1452" t="s">
        <v>29</v>
      </c>
      <c r="H1452">
        <v>2</v>
      </c>
      <c r="I1452">
        <v>7</v>
      </c>
      <c r="J1452" t="s">
        <v>30</v>
      </c>
      <c r="K1452">
        <v>73</v>
      </c>
      <c r="L1452">
        <v>538</v>
      </c>
      <c r="M1452">
        <v>14</v>
      </c>
      <c r="N1452">
        <v>8</v>
      </c>
      <c r="O1452">
        <v>561</v>
      </c>
      <c r="P1452">
        <v>15</v>
      </c>
      <c r="Q1452">
        <v>672</v>
      </c>
      <c r="R1452">
        <v>51</v>
      </c>
      <c r="S1452">
        <v>138</v>
      </c>
      <c r="T1452" t="s">
        <v>31</v>
      </c>
      <c r="U1452" t="s">
        <v>31</v>
      </c>
      <c r="V1452" t="s">
        <v>31</v>
      </c>
      <c r="W1452" t="s">
        <v>31</v>
      </c>
      <c r="X1452" t="s">
        <v>31</v>
      </c>
      <c r="Y1452" t="s">
        <v>31</v>
      </c>
    </row>
    <row r="1453" spans="1:25" hidden="1">
      <c r="A1453" t="s">
        <v>25</v>
      </c>
      <c r="B1453" t="s">
        <v>26</v>
      </c>
      <c r="C1453" t="s">
        <v>53</v>
      </c>
      <c r="D1453" s="1">
        <v>44009</v>
      </c>
      <c r="E1453" s="2">
        <v>0.66666666666666663</v>
      </c>
      <c r="F1453" t="s">
        <v>40</v>
      </c>
      <c r="G1453" t="s">
        <v>48</v>
      </c>
      <c r="H1453">
        <v>2</v>
      </c>
      <c r="I1453">
        <v>5</v>
      </c>
      <c r="J1453" t="s">
        <v>30</v>
      </c>
      <c r="K1453">
        <v>205</v>
      </c>
      <c r="L1453">
        <v>371</v>
      </c>
      <c r="M1453">
        <v>364</v>
      </c>
      <c r="N1453">
        <v>208</v>
      </c>
      <c r="O1453">
        <v>408</v>
      </c>
      <c r="P1453">
        <v>371</v>
      </c>
      <c r="Q1453">
        <v>198</v>
      </c>
      <c r="R1453">
        <v>362</v>
      </c>
      <c r="S1453">
        <v>345</v>
      </c>
      <c r="T1453" t="s">
        <v>31</v>
      </c>
      <c r="U1453" t="s">
        <v>31</v>
      </c>
      <c r="V1453" t="s">
        <v>31</v>
      </c>
      <c r="W1453" t="s">
        <v>31</v>
      </c>
      <c r="X1453" t="s">
        <v>31</v>
      </c>
      <c r="Y1453" t="s">
        <v>31</v>
      </c>
    </row>
    <row r="1454" spans="1:25" hidden="1">
      <c r="A1454" t="s">
        <v>25</v>
      </c>
      <c r="B1454" t="s">
        <v>26</v>
      </c>
      <c r="C1454" t="s">
        <v>53</v>
      </c>
      <c r="D1454" s="1">
        <v>44009</v>
      </c>
      <c r="E1454" s="2">
        <v>0.66666666666666663</v>
      </c>
      <c r="F1454" t="s">
        <v>32</v>
      </c>
      <c r="G1454" t="s">
        <v>37</v>
      </c>
      <c r="H1454">
        <v>1</v>
      </c>
      <c r="I1454">
        <v>2</v>
      </c>
      <c r="J1454" t="s">
        <v>30</v>
      </c>
      <c r="K1454">
        <v>288</v>
      </c>
      <c r="L1454">
        <v>347</v>
      </c>
      <c r="M1454">
        <v>253</v>
      </c>
      <c r="N1454">
        <v>3</v>
      </c>
      <c r="O1454">
        <v>347</v>
      </c>
      <c r="P1454">
        <v>265</v>
      </c>
      <c r="Q1454">
        <v>284</v>
      </c>
      <c r="R1454">
        <v>324</v>
      </c>
      <c r="S1454">
        <v>244</v>
      </c>
      <c r="T1454" t="s">
        <v>31</v>
      </c>
      <c r="U1454" t="s">
        <v>31</v>
      </c>
      <c r="V1454" t="s">
        <v>31</v>
      </c>
      <c r="W1454" t="s">
        <v>31</v>
      </c>
      <c r="X1454" t="s">
        <v>31</v>
      </c>
      <c r="Y1454" t="s">
        <v>31</v>
      </c>
    </row>
    <row r="1455" spans="1:25" hidden="1">
      <c r="A1455" t="s">
        <v>25</v>
      </c>
      <c r="B1455" t="s">
        <v>26</v>
      </c>
      <c r="C1455" t="s">
        <v>53</v>
      </c>
      <c r="D1455" s="1">
        <v>44009</v>
      </c>
      <c r="E1455" s="2">
        <v>0.66666666666666663</v>
      </c>
      <c r="F1455" t="s">
        <v>54</v>
      </c>
      <c r="G1455" t="s">
        <v>45</v>
      </c>
      <c r="H1455">
        <v>0</v>
      </c>
      <c r="I1455">
        <v>1</v>
      </c>
      <c r="J1455" t="s">
        <v>30</v>
      </c>
      <c r="K1455">
        <v>311</v>
      </c>
      <c r="L1455">
        <v>358</v>
      </c>
      <c r="M1455">
        <v>233</v>
      </c>
      <c r="N1455">
        <v>321</v>
      </c>
      <c r="O1455">
        <v>358</v>
      </c>
      <c r="P1455">
        <v>236</v>
      </c>
      <c r="Q1455">
        <v>295</v>
      </c>
      <c r="R1455">
        <v>341</v>
      </c>
      <c r="S1455">
        <v>228</v>
      </c>
      <c r="T1455" t="s">
        <v>31</v>
      </c>
      <c r="U1455" t="s">
        <v>31</v>
      </c>
      <c r="V1455" t="s">
        <v>31</v>
      </c>
      <c r="W1455" t="s">
        <v>31</v>
      </c>
      <c r="X1455" t="s">
        <v>31</v>
      </c>
      <c r="Y1455" t="s">
        <v>31</v>
      </c>
    </row>
    <row r="1456" spans="1:25" hidden="1">
      <c r="A1456" t="s">
        <v>25</v>
      </c>
      <c r="B1456" t="s">
        <v>26</v>
      </c>
      <c r="C1456" t="s">
        <v>53</v>
      </c>
      <c r="D1456" s="1">
        <v>44010</v>
      </c>
      <c r="E1456" s="2">
        <v>0.66666666666666663</v>
      </c>
      <c r="F1456" t="s">
        <v>50</v>
      </c>
      <c r="G1456" t="s">
        <v>39</v>
      </c>
      <c r="H1456">
        <v>0</v>
      </c>
      <c r="I1456">
        <v>1</v>
      </c>
      <c r="J1456" t="s">
        <v>30</v>
      </c>
      <c r="K1456">
        <v>18</v>
      </c>
      <c r="L1456">
        <v>417</v>
      </c>
      <c r="M1456">
        <v>42</v>
      </c>
      <c r="N1456">
        <v>181</v>
      </c>
      <c r="O1456">
        <v>42</v>
      </c>
      <c r="P1456">
        <v>469</v>
      </c>
      <c r="Q1456">
        <v>171</v>
      </c>
      <c r="R1456">
        <v>402</v>
      </c>
      <c r="S1456">
        <v>42</v>
      </c>
      <c r="T1456" t="s">
        <v>31</v>
      </c>
      <c r="U1456" t="s">
        <v>31</v>
      </c>
      <c r="V1456" t="s">
        <v>31</v>
      </c>
      <c r="W1456" t="s">
        <v>31</v>
      </c>
      <c r="X1456" t="s">
        <v>31</v>
      </c>
      <c r="Y1456" t="s">
        <v>31</v>
      </c>
    </row>
    <row r="1457" spans="1:25" hidden="1">
      <c r="A1457" t="s">
        <v>25</v>
      </c>
      <c r="B1457" t="s">
        <v>26</v>
      </c>
      <c r="C1457" t="s">
        <v>53</v>
      </c>
      <c r="D1457" s="1">
        <v>44010</v>
      </c>
      <c r="E1457" s="2">
        <v>0.66666666666666663</v>
      </c>
      <c r="F1457" t="s">
        <v>29</v>
      </c>
      <c r="G1457" t="s">
        <v>52</v>
      </c>
      <c r="H1457">
        <v>3</v>
      </c>
      <c r="I1457">
        <v>0</v>
      </c>
      <c r="J1457" t="s">
        <v>34</v>
      </c>
      <c r="K1457">
        <v>106</v>
      </c>
      <c r="L1457">
        <v>1598</v>
      </c>
      <c r="M1457">
        <v>3357</v>
      </c>
      <c r="N1457">
        <v>107</v>
      </c>
      <c r="O1457">
        <v>22</v>
      </c>
      <c r="P1457">
        <v>35</v>
      </c>
      <c r="Q1457">
        <v>105</v>
      </c>
      <c r="R1457">
        <v>1363</v>
      </c>
      <c r="S1457">
        <v>2714</v>
      </c>
      <c r="T1457" t="s">
        <v>31</v>
      </c>
      <c r="U1457" t="s">
        <v>31</v>
      </c>
      <c r="V1457" t="s">
        <v>31</v>
      </c>
      <c r="W1457" t="s">
        <v>31</v>
      </c>
      <c r="X1457" t="s">
        <v>31</v>
      </c>
      <c r="Y1457" t="s">
        <v>31</v>
      </c>
    </row>
    <row r="1458" spans="1:25" hidden="1">
      <c r="A1458" t="s">
        <v>25</v>
      </c>
      <c r="B1458" t="s">
        <v>26</v>
      </c>
      <c r="C1458" t="s">
        <v>53</v>
      </c>
      <c r="D1458" s="1">
        <v>44010</v>
      </c>
      <c r="E1458" s="2">
        <v>0.77083333333333337</v>
      </c>
      <c r="F1458" t="s">
        <v>28</v>
      </c>
      <c r="G1458" t="s">
        <v>35</v>
      </c>
      <c r="H1458">
        <v>2</v>
      </c>
      <c r="I1458">
        <v>3</v>
      </c>
      <c r="J1458" t="s">
        <v>30</v>
      </c>
      <c r="K1458">
        <v>391</v>
      </c>
      <c r="L1458">
        <v>386</v>
      </c>
      <c r="M1458">
        <v>193</v>
      </c>
      <c r="N1458">
        <v>402</v>
      </c>
      <c r="O1458">
        <v>397</v>
      </c>
      <c r="P1458">
        <v>198</v>
      </c>
      <c r="Q1458">
        <v>368</v>
      </c>
      <c r="R1458">
        <v>367</v>
      </c>
      <c r="S1458">
        <v>19</v>
      </c>
      <c r="T1458" t="s">
        <v>31</v>
      </c>
      <c r="U1458" t="s">
        <v>31</v>
      </c>
      <c r="V1458" t="s">
        <v>31</v>
      </c>
      <c r="W1458" t="s">
        <v>31</v>
      </c>
      <c r="X1458" t="s">
        <v>31</v>
      </c>
      <c r="Y1458" t="s">
        <v>31</v>
      </c>
    </row>
    <row r="1459" spans="1:25" hidden="1">
      <c r="A1459" t="s">
        <v>25</v>
      </c>
      <c r="B1459" t="s">
        <v>26</v>
      </c>
      <c r="C1459" t="s">
        <v>53</v>
      </c>
      <c r="D1459" s="1">
        <v>44012</v>
      </c>
      <c r="E1459" s="2">
        <v>0.8125</v>
      </c>
      <c r="F1459" t="s">
        <v>37</v>
      </c>
      <c r="G1459" t="s">
        <v>48</v>
      </c>
      <c r="H1459">
        <v>0</v>
      </c>
      <c r="I1459">
        <v>3</v>
      </c>
      <c r="J1459" t="s">
        <v>30</v>
      </c>
      <c r="K1459">
        <v>26</v>
      </c>
      <c r="L1459">
        <v>311</v>
      </c>
      <c r="M1459">
        <v>31</v>
      </c>
      <c r="N1459">
        <v>27</v>
      </c>
      <c r="O1459">
        <v>325</v>
      </c>
      <c r="P1459">
        <v>31</v>
      </c>
      <c r="Q1459">
        <v>249</v>
      </c>
      <c r="R1459">
        <v>308</v>
      </c>
      <c r="S1459">
        <v>289</v>
      </c>
      <c r="T1459" t="s">
        <v>31</v>
      </c>
      <c r="U1459" t="s">
        <v>31</v>
      </c>
      <c r="V1459" t="s">
        <v>31</v>
      </c>
      <c r="W1459" t="s">
        <v>31</v>
      </c>
      <c r="X1459" t="s">
        <v>31</v>
      </c>
      <c r="Y1459" t="s">
        <v>31</v>
      </c>
    </row>
    <row r="1460" spans="1:25" hidden="1">
      <c r="A1460" t="s">
        <v>25</v>
      </c>
      <c r="B1460" t="s">
        <v>26</v>
      </c>
      <c r="C1460" t="s">
        <v>53</v>
      </c>
      <c r="D1460" s="1">
        <v>44012</v>
      </c>
      <c r="E1460" s="2">
        <v>0.8125</v>
      </c>
      <c r="F1460" t="s">
        <v>45</v>
      </c>
      <c r="G1460" t="s">
        <v>40</v>
      </c>
      <c r="H1460">
        <v>1</v>
      </c>
      <c r="I1460">
        <v>2</v>
      </c>
      <c r="J1460" t="s">
        <v>30</v>
      </c>
      <c r="K1460">
        <v>22</v>
      </c>
      <c r="L1460">
        <v>378</v>
      </c>
      <c r="M1460">
        <v>32</v>
      </c>
      <c r="N1460">
        <v>235</v>
      </c>
      <c r="O1460">
        <v>378</v>
      </c>
      <c r="P1460">
        <v>325</v>
      </c>
      <c r="Q1460">
        <v>218</v>
      </c>
      <c r="R1460">
        <v>352</v>
      </c>
      <c r="S1460">
        <v>305</v>
      </c>
      <c r="T1460" t="s">
        <v>31</v>
      </c>
      <c r="U1460" t="s">
        <v>31</v>
      </c>
      <c r="V1460" t="s">
        <v>31</v>
      </c>
      <c r="W1460" t="s">
        <v>31</v>
      </c>
      <c r="X1460" t="s">
        <v>31</v>
      </c>
      <c r="Y1460" t="s">
        <v>31</v>
      </c>
    </row>
    <row r="1461" spans="1:25" hidden="1">
      <c r="A1461" t="s">
        <v>25</v>
      </c>
      <c r="B1461" t="s">
        <v>26</v>
      </c>
      <c r="C1461" t="s">
        <v>53</v>
      </c>
      <c r="D1461" s="1">
        <v>44012</v>
      </c>
      <c r="E1461" s="2">
        <v>0.8125</v>
      </c>
      <c r="F1461" t="s">
        <v>32</v>
      </c>
      <c r="G1461" t="s">
        <v>54</v>
      </c>
      <c r="H1461">
        <v>4</v>
      </c>
      <c r="I1461">
        <v>1</v>
      </c>
      <c r="J1461" t="s">
        <v>34</v>
      </c>
      <c r="K1461">
        <v>261</v>
      </c>
      <c r="L1461">
        <v>357</v>
      </c>
      <c r="M1461">
        <v>272</v>
      </c>
      <c r="N1461">
        <v>262</v>
      </c>
      <c r="O1461">
        <v>357</v>
      </c>
      <c r="P1461">
        <v>293</v>
      </c>
      <c r="Q1461">
        <v>249</v>
      </c>
      <c r="R1461">
        <v>338</v>
      </c>
      <c r="S1461">
        <v>267</v>
      </c>
      <c r="T1461" t="s">
        <v>31</v>
      </c>
      <c r="U1461" t="s">
        <v>31</v>
      </c>
      <c r="V1461" t="s">
        <v>31</v>
      </c>
      <c r="W1461" t="s">
        <v>31</v>
      </c>
      <c r="X1461" t="s">
        <v>31</v>
      </c>
      <c r="Y1461" t="s">
        <v>31</v>
      </c>
    </row>
    <row r="1462" spans="1:25" hidden="1">
      <c r="A1462" t="s">
        <v>25</v>
      </c>
      <c r="B1462" t="s">
        <v>26</v>
      </c>
      <c r="C1462" t="s">
        <v>53</v>
      </c>
      <c r="D1462" s="1">
        <v>44013</v>
      </c>
      <c r="E1462" s="2">
        <v>0.8125</v>
      </c>
      <c r="F1462" t="s">
        <v>35</v>
      </c>
      <c r="G1462" t="s">
        <v>50</v>
      </c>
      <c r="H1462">
        <v>3</v>
      </c>
      <c r="I1462">
        <v>1</v>
      </c>
      <c r="J1462" t="s">
        <v>34</v>
      </c>
      <c r="K1462">
        <v>312</v>
      </c>
      <c r="L1462">
        <v>368</v>
      </c>
      <c r="M1462">
        <v>228</v>
      </c>
      <c r="N1462">
        <v>325</v>
      </c>
      <c r="O1462">
        <v>38</v>
      </c>
      <c r="P1462">
        <v>228</v>
      </c>
      <c r="Q1462">
        <v>31</v>
      </c>
      <c r="R1462">
        <v>355</v>
      </c>
      <c r="S1462">
        <v>215</v>
      </c>
      <c r="T1462" t="s">
        <v>31</v>
      </c>
      <c r="U1462" t="s">
        <v>31</v>
      </c>
      <c r="V1462" t="s">
        <v>31</v>
      </c>
      <c r="W1462" t="s">
        <v>31</v>
      </c>
      <c r="X1462" t="s">
        <v>31</v>
      </c>
      <c r="Y1462" t="s">
        <v>31</v>
      </c>
    </row>
    <row r="1463" spans="1:25" hidden="1">
      <c r="A1463" t="s">
        <v>25</v>
      </c>
      <c r="B1463" t="s">
        <v>26</v>
      </c>
      <c r="C1463" t="s">
        <v>53</v>
      </c>
      <c r="D1463" s="1">
        <v>44013</v>
      </c>
      <c r="E1463" s="2">
        <v>0.8125</v>
      </c>
      <c r="F1463" t="s">
        <v>29</v>
      </c>
      <c r="G1463" t="s">
        <v>28</v>
      </c>
      <c r="H1463">
        <v>5</v>
      </c>
      <c r="I1463">
        <v>2</v>
      </c>
      <c r="J1463" t="s">
        <v>34</v>
      </c>
      <c r="K1463">
        <v>115</v>
      </c>
      <c r="L1463">
        <v>1112</v>
      </c>
      <c r="M1463">
        <v>1164</v>
      </c>
      <c r="N1463">
        <v>117</v>
      </c>
      <c r="O1463">
        <v>1112</v>
      </c>
      <c r="P1463">
        <v>25</v>
      </c>
      <c r="Q1463">
        <v>112</v>
      </c>
      <c r="R1463">
        <v>927</v>
      </c>
      <c r="S1463">
        <v>1585</v>
      </c>
      <c r="T1463" t="s">
        <v>31</v>
      </c>
      <c r="U1463" t="s">
        <v>31</v>
      </c>
      <c r="V1463" t="s">
        <v>31</v>
      </c>
      <c r="W1463" t="s">
        <v>31</v>
      </c>
      <c r="X1463" t="s">
        <v>31</v>
      </c>
      <c r="Y1463" t="s">
        <v>31</v>
      </c>
    </row>
    <row r="1464" spans="1:25" hidden="1">
      <c r="A1464" t="s">
        <v>25</v>
      </c>
      <c r="B1464" t="s">
        <v>26</v>
      </c>
      <c r="C1464" t="s">
        <v>53</v>
      </c>
      <c r="D1464" s="1">
        <v>44014</v>
      </c>
      <c r="E1464" s="2">
        <v>0.72916666666666663</v>
      </c>
      <c r="F1464" t="s">
        <v>52</v>
      </c>
      <c r="G1464" t="s">
        <v>39</v>
      </c>
      <c r="H1464">
        <v>3</v>
      </c>
      <c r="I1464">
        <v>3</v>
      </c>
      <c r="J1464" t="s">
        <v>41</v>
      </c>
      <c r="K1464">
        <v>503</v>
      </c>
      <c r="L1464">
        <v>479</v>
      </c>
      <c r="M1464">
        <v>16</v>
      </c>
      <c r="N1464">
        <v>582</v>
      </c>
      <c r="O1464">
        <v>5</v>
      </c>
      <c r="P1464">
        <v>16</v>
      </c>
      <c r="Q1464">
        <v>517</v>
      </c>
      <c r="R1464">
        <v>467</v>
      </c>
      <c r="S1464">
        <v>151</v>
      </c>
      <c r="T1464" t="s">
        <v>31</v>
      </c>
      <c r="U1464" t="s">
        <v>31</v>
      </c>
      <c r="V1464" t="s">
        <v>31</v>
      </c>
      <c r="W1464" t="s">
        <v>31</v>
      </c>
      <c r="X1464" t="s">
        <v>31</v>
      </c>
      <c r="Y1464" t="s">
        <v>31</v>
      </c>
    </row>
    <row r="1465" spans="1:25" hidden="1">
      <c r="A1465" t="s">
        <v>25</v>
      </c>
      <c r="B1465" t="s">
        <v>26</v>
      </c>
      <c r="C1465" t="s">
        <v>53</v>
      </c>
      <c r="D1465" s="1">
        <v>44016</v>
      </c>
      <c r="E1465" s="2">
        <v>0.66666666666666663</v>
      </c>
      <c r="F1465" t="s">
        <v>40</v>
      </c>
      <c r="G1465" t="s">
        <v>32</v>
      </c>
      <c r="H1465">
        <v>1</v>
      </c>
      <c r="I1465">
        <v>0</v>
      </c>
      <c r="J1465" t="s">
        <v>34</v>
      </c>
      <c r="K1465">
        <v>165</v>
      </c>
      <c r="L1465">
        <v>454</v>
      </c>
      <c r="M1465">
        <v>463</v>
      </c>
      <c r="N1465">
        <v>165</v>
      </c>
      <c r="O1465">
        <v>464</v>
      </c>
      <c r="P1465">
        <v>5</v>
      </c>
      <c r="Q1465">
        <v>162</v>
      </c>
      <c r="R1465">
        <v>432</v>
      </c>
      <c r="S1465">
        <v>456</v>
      </c>
      <c r="T1465" t="s">
        <v>31</v>
      </c>
      <c r="U1465" t="s">
        <v>31</v>
      </c>
      <c r="V1465" t="s">
        <v>31</v>
      </c>
      <c r="W1465" t="s">
        <v>31</v>
      </c>
      <c r="X1465" t="s">
        <v>31</v>
      </c>
      <c r="Y1465" t="s">
        <v>31</v>
      </c>
    </row>
    <row r="1466" spans="1:25" hidden="1">
      <c r="A1466" t="s">
        <v>25</v>
      </c>
      <c r="B1466" t="s">
        <v>26</v>
      </c>
      <c r="C1466" t="s">
        <v>53</v>
      </c>
      <c r="D1466" s="1">
        <v>44016</v>
      </c>
      <c r="E1466" s="2">
        <v>0.66666666666666663</v>
      </c>
      <c r="F1466" t="s">
        <v>48</v>
      </c>
      <c r="G1466" t="s">
        <v>45</v>
      </c>
      <c r="H1466">
        <v>2</v>
      </c>
      <c r="I1466">
        <v>0</v>
      </c>
      <c r="J1466" t="s">
        <v>34</v>
      </c>
      <c r="K1466">
        <v>299</v>
      </c>
      <c r="L1466">
        <v>376</v>
      </c>
      <c r="M1466">
        <v>227</v>
      </c>
      <c r="N1466">
        <v>299</v>
      </c>
      <c r="O1466">
        <v>392</v>
      </c>
      <c r="P1466">
        <v>245</v>
      </c>
      <c r="Q1466">
        <v>276</v>
      </c>
      <c r="R1466">
        <v>366</v>
      </c>
      <c r="S1466">
        <v>229</v>
      </c>
      <c r="T1466" t="s">
        <v>31</v>
      </c>
      <c r="U1466" t="s">
        <v>31</v>
      </c>
      <c r="V1466" t="s">
        <v>31</v>
      </c>
      <c r="W1466" t="s">
        <v>31</v>
      </c>
      <c r="X1466" t="s">
        <v>31</v>
      </c>
      <c r="Y1466" t="s">
        <v>31</v>
      </c>
    </row>
    <row r="1467" spans="1:25" hidden="1">
      <c r="A1467" t="s">
        <v>25</v>
      </c>
      <c r="B1467" t="s">
        <v>26</v>
      </c>
      <c r="C1467" t="s">
        <v>53</v>
      </c>
      <c r="D1467" s="1">
        <v>44016</v>
      </c>
      <c r="E1467" s="2">
        <v>0.66666666666666663</v>
      </c>
      <c r="F1467" t="s">
        <v>54</v>
      </c>
      <c r="G1467" t="s">
        <v>37</v>
      </c>
      <c r="H1467">
        <v>0</v>
      </c>
      <c r="I1467">
        <v>0</v>
      </c>
      <c r="J1467" t="s">
        <v>41</v>
      </c>
      <c r="K1467">
        <v>282</v>
      </c>
      <c r="L1467">
        <v>338</v>
      </c>
      <c r="M1467">
        <v>257</v>
      </c>
      <c r="N1467">
        <v>282</v>
      </c>
      <c r="O1467">
        <v>364</v>
      </c>
      <c r="P1467">
        <v>267</v>
      </c>
      <c r="Q1467">
        <v>266</v>
      </c>
      <c r="R1467">
        <v>334</v>
      </c>
      <c r="S1467">
        <v>252</v>
      </c>
      <c r="T1467" t="s">
        <v>31</v>
      </c>
      <c r="U1467" t="s">
        <v>31</v>
      </c>
      <c r="V1467" t="s">
        <v>31</v>
      </c>
      <c r="W1467" t="s">
        <v>31</v>
      </c>
      <c r="X1467" t="s">
        <v>31</v>
      </c>
      <c r="Y1467" t="s">
        <v>31</v>
      </c>
    </row>
    <row r="1468" spans="1:25" hidden="1">
      <c r="A1468" t="s">
        <v>25</v>
      </c>
      <c r="B1468" t="s">
        <v>26</v>
      </c>
      <c r="C1468" t="s">
        <v>53</v>
      </c>
      <c r="D1468" s="1">
        <v>44017</v>
      </c>
      <c r="E1468" s="2">
        <v>0.66666666666666663</v>
      </c>
      <c r="F1468" t="s">
        <v>50</v>
      </c>
      <c r="G1468" t="s">
        <v>29</v>
      </c>
      <c r="H1468">
        <v>0</v>
      </c>
      <c r="I1468">
        <v>3</v>
      </c>
      <c r="J1468" t="s">
        <v>30</v>
      </c>
      <c r="K1468">
        <v>436</v>
      </c>
      <c r="L1468">
        <v>495</v>
      </c>
      <c r="M1468">
        <v>164</v>
      </c>
      <c r="N1468">
        <v>463</v>
      </c>
      <c r="O1468">
        <v>495</v>
      </c>
      <c r="P1468">
        <v>167</v>
      </c>
      <c r="Q1468">
        <v>428</v>
      </c>
      <c r="R1468">
        <v>459</v>
      </c>
      <c r="S1468">
        <v>162</v>
      </c>
      <c r="T1468" t="s">
        <v>31</v>
      </c>
      <c r="U1468" t="s">
        <v>31</v>
      </c>
      <c r="V1468" t="s">
        <v>31</v>
      </c>
      <c r="W1468" t="s">
        <v>31</v>
      </c>
      <c r="X1468" t="s">
        <v>31</v>
      </c>
      <c r="Y1468" t="s">
        <v>31</v>
      </c>
    </row>
    <row r="1469" spans="1:25" hidden="1">
      <c r="A1469" t="s">
        <v>25</v>
      </c>
      <c r="B1469" t="s">
        <v>26</v>
      </c>
      <c r="C1469" t="s">
        <v>53</v>
      </c>
      <c r="D1469" s="1">
        <v>44017</v>
      </c>
      <c r="E1469" s="2">
        <v>0.66666666666666663</v>
      </c>
      <c r="F1469" t="s">
        <v>28</v>
      </c>
      <c r="G1469" t="s">
        <v>52</v>
      </c>
      <c r="H1469">
        <v>1</v>
      </c>
      <c r="I1469">
        <v>4</v>
      </c>
      <c r="J1469" t="s">
        <v>30</v>
      </c>
      <c r="K1469">
        <v>219</v>
      </c>
      <c r="L1469">
        <v>411</v>
      </c>
      <c r="M1469">
        <v>294</v>
      </c>
      <c r="N1469">
        <v>219</v>
      </c>
      <c r="O1469">
        <v>415</v>
      </c>
      <c r="P1469">
        <v>336</v>
      </c>
      <c r="Q1469">
        <v>206</v>
      </c>
      <c r="R1469">
        <v>393</v>
      </c>
      <c r="S1469">
        <v>301</v>
      </c>
      <c r="T1469" t="s">
        <v>31</v>
      </c>
      <c r="U1469" t="s">
        <v>31</v>
      </c>
      <c r="V1469" t="s">
        <v>31</v>
      </c>
      <c r="W1469" t="s">
        <v>31</v>
      </c>
      <c r="X1469" t="s">
        <v>31</v>
      </c>
      <c r="Y1469" t="s">
        <v>31</v>
      </c>
    </row>
    <row r="1470" spans="1:25" hidden="1">
      <c r="A1470" t="s">
        <v>25</v>
      </c>
      <c r="B1470" t="s">
        <v>26</v>
      </c>
      <c r="C1470" t="s">
        <v>53</v>
      </c>
      <c r="D1470" s="1">
        <v>44017</v>
      </c>
      <c r="E1470" s="2">
        <v>0.66666666666666663</v>
      </c>
      <c r="F1470" t="s">
        <v>39</v>
      </c>
      <c r="G1470" t="s">
        <v>35</v>
      </c>
      <c r="H1470">
        <v>3</v>
      </c>
      <c r="I1470">
        <v>1</v>
      </c>
      <c r="J1470" t="s">
        <v>34</v>
      </c>
      <c r="K1470">
        <v>178</v>
      </c>
      <c r="L1470">
        <v>44</v>
      </c>
      <c r="M1470">
        <v>396</v>
      </c>
      <c r="N1470">
        <v>178</v>
      </c>
      <c r="O1470">
        <v>448</v>
      </c>
      <c r="P1470">
        <v>412</v>
      </c>
      <c r="Q1470">
        <v>174</v>
      </c>
      <c r="R1470">
        <v>416</v>
      </c>
      <c r="S1470">
        <v>392</v>
      </c>
      <c r="T1470" t="s">
        <v>31</v>
      </c>
      <c r="U1470" t="s">
        <v>31</v>
      </c>
      <c r="V1470" t="s">
        <v>31</v>
      </c>
      <c r="W1470" t="s">
        <v>31</v>
      </c>
      <c r="X1470" t="s">
        <v>31</v>
      </c>
      <c r="Y1470" t="s">
        <v>31</v>
      </c>
    </row>
    <row r="1471" spans="1:25" hidden="1">
      <c r="A1471" t="s">
        <v>25</v>
      </c>
      <c r="B1471" t="s">
        <v>26</v>
      </c>
      <c r="C1471" t="s">
        <v>53</v>
      </c>
      <c r="D1471" s="1">
        <v>44020</v>
      </c>
      <c r="E1471" s="2">
        <v>0.8125</v>
      </c>
      <c r="F1471" t="s">
        <v>40</v>
      </c>
      <c r="G1471" t="s">
        <v>45</v>
      </c>
      <c r="H1471">
        <v>1</v>
      </c>
      <c r="I1471">
        <v>0</v>
      </c>
      <c r="J1471" t="s">
        <v>34</v>
      </c>
      <c r="K1471">
        <v>228</v>
      </c>
      <c r="L1471">
        <v>358</v>
      </c>
      <c r="M1471">
        <v>311</v>
      </c>
      <c r="N1471">
        <v>23</v>
      </c>
      <c r="O1471">
        <v>365</v>
      </c>
      <c r="P1471">
        <v>345</v>
      </c>
      <c r="Q1471">
        <v>221</v>
      </c>
      <c r="R1471">
        <v>348</v>
      </c>
      <c r="S1471">
        <v>302</v>
      </c>
      <c r="T1471" t="s">
        <v>31</v>
      </c>
      <c r="U1471" t="s">
        <v>31</v>
      </c>
      <c r="V1471" t="s">
        <v>31</v>
      </c>
      <c r="W1471" t="s">
        <v>31</v>
      </c>
      <c r="X1471" t="s">
        <v>31</v>
      </c>
      <c r="Y1471" t="s">
        <v>31</v>
      </c>
    </row>
    <row r="1472" spans="1:25" hidden="1">
      <c r="A1472" t="s">
        <v>25</v>
      </c>
      <c r="B1472" t="s">
        <v>26</v>
      </c>
      <c r="C1472" t="s">
        <v>53</v>
      </c>
      <c r="D1472" s="1">
        <v>44023</v>
      </c>
      <c r="E1472" s="2">
        <v>0.66666666666666663</v>
      </c>
      <c r="F1472" t="s">
        <v>40</v>
      </c>
      <c r="G1472" t="s">
        <v>52</v>
      </c>
      <c r="H1472">
        <v>2</v>
      </c>
      <c r="I1472">
        <v>3</v>
      </c>
      <c r="J1472" t="s">
        <v>30</v>
      </c>
      <c r="K1472">
        <v>187</v>
      </c>
      <c r="L1472">
        <v>416</v>
      </c>
      <c r="M1472">
        <v>381</v>
      </c>
      <c r="N1472">
        <v>2</v>
      </c>
      <c r="O1472">
        <v>416</v>
      </c>
      <c r="P1472">
        <v>42</v>
      </c>
      <c r="Q1472">
        <v>186</v>
      </c>
      <c r="R1472">
        <v>388</v>
      </c>
      <c r="S1472">
        <v>361</v>
      </c>
      <c r="T1472" t="s">
        <v>31</v>
      </c>
      <c r="U1472" t="s">
        <v>31</v>
      </c>
      <c r="V1472" t="s">
        <v>31</v>
      </c>
      <c r="W1472" t="s">
        <v>31</v>
      </c>
      <c r="X1472" t="s">
        <v>31</v>
      </c>
      <c r="Y1472" t="s">
        <v>31</v>
      </c>
    </row>
    <row r="1473" spans="1:25" hidden="1">
      <c r="A1473" t="s">
        <v>25</v>
      </c>
      <c r="B1473" t="s">
        <v>26</v>
      </c>
      <c r="C1473" t="s">
        <v>53</v>
      </c>
      <c r="D1473" s="1">
        <v>44027</v>
      </c>
      <c r="E1473" s="2">
        <v>0.8125</v>
      </c>
      <c r="F1473" t="s">
        <v>52</v>
      </c>
      <c r="G1473" t="s">
        <v>40</v>
      </c>
      <c r="H1473">
        <v>0</v>
      </c>
      <c r="I1473">
        <v>0</v>
      </c>
      <c r="J1473" t="s">
        <v>41</v>
      </c>
      <c r="K1473">
        <v>286</v>
      </c>
      <c r="L1473">
        <v>42</v>
      </c>
      <c r="M1473">
        <v>221</v>
      </c>
      <c r="N1473">
        <v>29</v>
      </c>
      <c r="O1473">
        <v>425</v>
      </c>
      <c r="P1473">
        <v>225</v>
      </c>
      <c r="Q1473">
        <v>279</v>
      </c>
      <c r="R1473">
        <v>397</v>
      </c>
      <c r="S1473">
        <v>216</v>
      </c>
      <c r="T1473" t="s">
        <v>31</v>
      </c>
      <c r="U1473" t="s">
        <v>31</v>
      </c>
      <c r="V1473" t="s">
        <v>31</v>
      </c>
      <c r="W1473" t="s">
        <v>31</v>
      </c>
      <c r="X1473" t="s">
        <v>31</v>
      </c>
      <c r="Y1473" t="s">
        <v>31</v>
      </c>
    </row>
    <row r="1474" spans="1:25" hidden="1">
      <c r="A1474" t="s">
        <v>25</v>
      </c>
      <c r="B1474" t="s">
        <v>26</v>
      </c>
      <c r="C1474" t="s">
        <v>55</v>
      </c>
      <c r="D1474" s="1">
        <v>44085</v>
      </c>
      <c r="E1474" s="2">
        <v>0.72916666666666663</v>
      </c>
      <c r="F1474" t="s">
        <v>35</v>
      </c>
      <c r="G1474" t="s">
        <v>37</v>
      </c>
      <c r="H1474">
        <v>4</v>
      </c>
      <c r="I1474">
        <v>1</v>
      </c>
      <c r="J1474" t="s">
        <v>34</v>
      </c>
      <c r="K1474">
        <v>14</v>
      </c>
      <c r="L1474">
        <v>521</v>
      </c>
      <c r="M1474">
        <v>74</v>
      </c>
      <c r="N1474">
        <v>142</v>
      </c>
      <c r="O1474">
        <v>55</v>
      </c>
      <c r="P1474">
        <v>8</v>
      </c>
      <c r="Q1474">
        <v>137</v>
      </c>
      <c r="R1474">
        <v>491</v>
      </c>
      <c r="S1474">
        <v>722</v>
      </c>
      <c r="T1474" t="s">
        <v>31</v>
      </c>
      <c r="U1474" t="s">
        <v>31</v>
      </c>
      <c r="V1474" t="s">
        <v>31</v>
      </c>
      <c r="W1474" t="s">
        <v>31</v>
      </c>
      <c r="X1474" t="s">
        <v>31</v>
      </c>
      <c r="Y1474" t="s">
        <v>31</v>
      </c>
    </row>
    <row r="1475" spans="1:25" hidden="1">
      <c r="A1475" t="s">
        <v>25</v>
      </c>
      <c r="B1475" t="s">
        <v>26</v>
      </c>
      <c r="C1475" t="s">
        <v>55</v>
      </c>
      <c r="D1475" s="1">
        <v>44085</v>
      </c>
      <c r="E1475" s="2">
        <v>0.8125</v>
      </c>
      <c r="F1475" t="s">
        <v>50</v>
      </c>
      <c r="G1475" t="s">
        <v>40</v>
      </c>
      <c r="H1475">
        <v>1</v>
      </c>
      <c r="I1475">
        <v>0</v>
      </c>
      <c r="J1475" t="s">
        <v>34</v>
      </c>
      <c r="K1475">
        <v>153</v>
      </c>
      <c r="L1475">
        <v>464</v>
      </c>
      <c r="M1475">
        <v>594</v>
      </c>
      <c r="N1475">
        <v>16</v>
      </c>
      <c r="O1475">
        <v>47</v>
      </c>
      <c r="P1475">
        <v>6</v>
      </c>
      <c r="Q1475">
        <v>151</v>
      </c>
      <c r="R1475">
        <v>442</v>
      </c>
      <c r="S1475">
        <v>563</v>
      </c>
      <c r="T1475" t="s">
        <v>31</v>
      </c>
      <c r="U1475" t="s">
        <v>31</v>
      </c>
      <c r="V1475" t="s">
        <v>31</v>
      </c>
      <c r="W1475" t="s">
        <v>31</v>
      </c>
      <c r="X1475" t="s">
        <v>31</v>
      </c>
      <c r="Y1475" t="s">
        <v>31</v>
      </c>
    </row>
    <row r="1476" spans="1:25" hidden="1">
      <c r="A1476" t="s">
        <v>25</v>
      </c>
      <c r="B1476" t="s">
        <v>26</v>
      </c>
      <c r="C1476" t="s">
        <v>55</v>
      </c>
      <c r="D1476" s="1">
        <v>44086</v>
      </c>
      <c r="E1476" s="2">
        <v>0.66666666666666663</v>
      </c>
      <c r="F1476" t="s">
        <v>45</v>
      </c>
      <c r="G1476" t="s">
        <v>52</v>
      </c>
      <c r="H1476">
        <v>1</v>
      </c>
      <c r="I1476">
        <v>1</v>
      </c>
      <c r="J1476" t="s">
        <v>41</v>
      </c>
      <c r="K1476">
        <v>208</v>
      </c>
      <c r="L1476">
        <v>404</v>
      </c>
      <c r="M1476">
        <v>332</v>
      </c>
      <c r="N1476">
        <v>218</v>
      </c>
      <c r="O1476">
        <v>404</v>
      </c>
      <c r="P1476">
        <v>35</v>
      </c>
      <c r="Q1476">
        <v>204</v>
      </c>
      <c r="R1476">
        <v>377</v>
      </c>
      <c r="S1476">
        <v>321</v>
      </c>
      <c r="T1476" t="s">
        <v>31</v>
      </c>
      <c r="U1476" t="s">
        <v>31</v>
      </c>
      <c r="V1476" t="s">
        <v>31</v>
      </c>
      <c r="W1476" t="s">
        <v>31</v>
      </c>
      <c r="X1476" t="s">
        <v>31</v>
      </c>
      <c r="Y1476" t="s">
        <v>31</v>
      </c>
    </row>
    <row r="1477" spans="1:25" hidden="1">
      <c r="A1477" t="s">
        <v>25</v>
      </c>
      <c r="B1477" t="s">
        <v>26</v>
      </c>
      <c r="C1477" t="s">
        <v>55</v>
      </c>
      <c r="D1477" s="1">
        <v>44087</v>
      </c>
      <c r="E1477" s="2">
        <v>0.5625</v>
      </c>
      <c r="F1477" t="s">
        <v>38</v>
      </c>
      <c r="G1477" t="s">
        <v>54</v>
      </c>
      <c r="H1477">
        <v>3</v>
      </c>
      <c r="I1477">
        <v>2</v>
      </c>
      <c r="J1477" t="s">
        <v>34</v>
      </c>
      <c r="K1477">
        <v>204</v>
      </c>
      <c r="L1477">
        <v>399</v>
      </c>
      <c r="M1477">
        <v>349</v>
      </c>
      <c r="N1477">
        <v>209</v>
      </c>
      <c r="O1477">
        <v>399</v>
      </c>
      <c r="P1477">
        <v>351</v>
      </c>
      <c r="Q1477">
        <v>2</v>
      </c>
      <c r="R1477">
        <v>367</v>
      </c>
      <c r="S1477">
        <v>337</v>
      </c>
      <c r="T1477" t="s">
        <v>31</v>
      </c>
      <c r="U1477" t="s">
        <v>31</v>
      </c>
      <c r="V1477" t="s">
        <v>31</v>
      </c>
      <c r="W1477" t="s">
        <v>31</v>
      </c>
      <c r="X1477" t="s">
        <v>31</v>
      </c>
      <c r="Y1477" t="s">
        <v>31</v>
      </c>
    </row>
    <row r="1478" spans="1:25" hidden="1">
      <c r="A1478" t="s">
        <v>25</v>
      </c>
      <c r="B1478" t="s">
        <v>26</v>
      </c>
      <c r="C1478" t="s">
        <v>55</v>
      </c>
      <c r="D1478" s="1">
        <v>44087</v>
      </c>
      <c r="E1478" s="2">
        <v>0.5625</v>
      </c>
      <c r="F1478" t="s">
        <v>48</v>
      </c>
      <c r="G1478" t="s">
        <v>28</v>
      </c>
      <c r="H1478">
        <v>0</v>
      </c>
      <c r="I1478">
        <v>0</v>
      </c>
      <c r="J1478" t="s">
        <v>41</v>
      </c>
      <c r="K1478">
        <v>305</v>
      </c>
      <c r="L1478">
        <v>372</v>
      </c>
      <c r="M1478">
        <v>232</v>
      </c>
      <c r="N1478">
        <v>33</v>
      </c>
      <c r="O1478">
        <v>375</v>
      </c>
      <c r="P1478">
        <v>237</v>
      </c>
      <c r="Q1478">
        <v>301</v>
      </c>
      <c r="R1478">
        <v>35</v>
      </c>
      <c r="S1478">
        <v>222</v>
      </c>
      <c r="T1478" t="s">
        <v>31</v>
      </c>
      <c r="U1478" t="s">
        <v>31</v>
      </c>
      <c r="V1478" t="s">
        <v>31</v>
      </c>
      <c r="W1478" t="s">
        <v>31</v>
      </c>
      <c r="X1478" t="s">
        <v>31</v>
      </c>
      <c r="Y1478" t="s">
        <v>31</v>
      </c>
    </row>
    <row r="1479" spans="1:25" hidden="1">
      <c r="A1479" t="s">
        <v>25</v>
      </c>
      <c r="B1479" t="s">
        <v>26</v>
      </c>
      <c r="C1479" t="s">
        <v>55</v>
      </c>
      <c r="D1479" s="1">
        <v>44087</v>
      </c>
      <c r="E1479" s="2">
        <v>0.66666666666666663</v>
      </c>
      <c r="F1479" t="s">
        <v>39</v>
      </c>
      <c r="G1479" t="s">
        <v>29</v>
      </c>
      <c r="H1479">
        <v>1</v>
      </c>
      <c r="I1479">
        <v>3</v>
      </c>
      <c r="J1479" t="s">
        <v>30</v>
      </c>
      <c r="K1479">
        <v>825</v>
      </c>
      <c r="L1479">
        <v>608</v>
      </c>
      <c r="M1479">
        <v>134</v>
      </c>
      <c r="N1479">
        <v>85</v>
      </c>
      <c r="O1479">
        <v>608</v>
      </c>
      <c r="P1479">
        <v>137</v>
      </c>
      <c r="Q1479">
        <v>768</v>
      </c>
      <c r="R1479">
        <v>56</v>
      </c>
      <c r="S1479">
        <v>132</v>
      </c>
      <c r="T1479" t="s">
        <v>31</v>
      </c>
      <c r="U1479" t="s">
        <v>31</v>
      </c>
      <c r="V1479" t="s">
        <v>31</v>
      </c>
      <c r="W1479" t="s">
        <v>31</v>
      </c>
      <c r="X1479" t="s">
        <v>31</v>
      </c>
      <c r="Y1479" t="s">
        <v>31</v>
      </c>
    </row>
    <row r="1480" spans="1:25" hidden="1">
      <c r="A1480" t="s">
        <v>25</v>
      </c>
      <c r="B1480" t="s">
        <v>26</v>
      </c>
      <c r="C1480" t="s">
        <v>55</v>
      </c>
      <c r="D1480" s="1">
        <v>44093</v>
      </c>
      <c r="E1480" s="2">
        <v>0.66666666666666663</v>
      </c>
      <c r="F1480" t="s">
        <v>29</v>
      </c>
      <c r="G1480" t="s">
        <v>45</v>
      </c>
      <c r="H1480">
        <v>4</v>
      </c>
      <c r="I1480">
        <v>1</v>
      </c>
      <c r="J1480" t="s">
        <v>34</v>
      </c>
      <c r="K1480">
        <v>109</v>
      </c>
      <c r="L1480">
        <v>1129</v>
      </c>
      <c r="M1480">
        <v>1827</v>
      </c>
      <c r="N1480">
        <v>113</v>
      </c>
      <c r="O1480">
        <v>1129</v>
      </c>
      <c r="P1480">
        <v>24</v>
      </c>
      <c r="Q1480">
        <v>109</v>
      </c>
      <c r="R1480">
        <v>1015</v>
      </c>
      <c r="S1480">
        <v>1901</v>
      </c>
      <c r="T1480" t="s">
        <v>31</v>
      </c>
      <c r="U1480" t="s">
        <v>31</v>
      </c>
      <c r="V1480" t="s">
        <v>31</v>
      </c>
      <c r="W1480" t="s">
        <v>31</v>
      </c>
      <c r="X1480" t="s">
        <v>31</v>
      </c>
      <c r="Y1480" t="s">
        <v>31</v>
      </c>
    </row>
    <row r="1481" spans="1:25" hidden="1">
      <c r="A1481" t="s">
        <v>25</v>
      </c>
      <c r="B1481" t="s">
        <v>26</v>
      </c>
      <c r="C1481" t="s">
        <v>55</v>
      </c>
      <c r="D1481" s="1">
        <v>44093</v>
      </c>
      <c r="E1481" s="2">
        <v>0.66666666666666663</v>
      </c>
      <c r="F1481" t="s">
        <v>28</v>
      </c>
      <c r="G1481" t="s">
        <v>35</v>
      </c>
      <c r="H1481">
        <v>1</v>
      </c>
      <c r="I1481">
        <v>1</v>
      </c>
      <c r="J1481" t="s">
        <v>41</v>
      </c>
      <c r="K1481">
        <v>443</v>
      </c>
      <c r="L1481">
        <v>445</v>
      </c>
      <c r="M1481">
        <v>172</v>
      </c>
      <c r="N1481">
        <v>475</v>
      </c>
      <c r="O1481">
        <v>445</v>
      </c>
      <c r="P1481">
        <v>184</v>
      </c>
      <c r="Q1481">
        <v>431</v>
      </c>
      <c r="R1481">
        <v>406</v>
      </c>
      <c r="S1481">
        <v>171</v>
      </c>
      <c r="T1481" t="s">
        <v>31</v>
      </c>
      <c r="U1481" t="s">
        <v>31</v>
      </c>
      <c r="V1481" t="s">
        <v>31</v>
      </c>
      <c r="W1481" t="s">
        <v>31</v>
      </c>
      <c r="X1481" t="s">
        <v>31</v>
      </c>
      <c r="Y1481" t="s">
        <v>31</v>
      </c>
    </row>
    <row r="1482" spans="1:25" hidden="1">
      <c r="A1482" t="s">
        <v>25</v>
      </c>
      <c r="B1482" t="s">
        <v>26</v>
      </c>
      <c r="C1482" t="s">
        <v>55</v>
      </c>
      <c r="D1482" s="1">
        <v>44093</v>
      </c>
      <c r="E1482" s="2">
        <v>0.66666666666666663</v>
      </c>
      <c r="F1482" t="s">
        <v>54</v>
      </c>
      <c r="G1482" t="s">
        <v>50</v>
      </c>
      <c r="H1482">
        <v>1</v>
      </c>
      <c r="I1482">
        <v>1</v>
      </c>
      <c r="J1482" t="s">
        <v>41</v>
      </c>
      <c r="K1482">
        <v>673</v>
      </c>
      <c r="L1482">
        <v>478</v>
      </c>
      <c r="M1482">
        <v>148</v>
      </c>
      <c r="N1482">
        <v>673</v>
      </c>
      <c r="O1482">
        <v>488</v>
      </c>
      <c r="P1482">
        <v>15</v>
      </c>
      <c r="Q1482">
        <v>616</v>
      </c>
      <c r="R1482">
        <v>457</v>
      </c>
      <c r="S1482">
        <v>146</v>
      </c>
      <c r="T1482" t="s">
        <v>31</v>
      </c>
      <c r="U1482" t="s">
        <v>31</v>
      </c>
      <c r="V1482" t="s">
        <v>31</v>
      </c>
      <c r="W1482" t="s">
        <v>31</v>
      </c>
      <c r="X1482" t="s">
        <v>31</v>
      </c>
      <c r="Y1482" t="s">
        <v>31</v>
      </c>
    </row>
    <row r="1483" spans="1:25" hidden="1">
      <c r="A1483" t="s">
        <v>25</v>
      </c>
      <c r="B1483" t="s">
        <v>26</v>
      </c>
      <c r="C1483" t="s">
        <v>55</v>
      </c>
      <c r="D1483" s="1">
        <v>44094</v>
      </c>
      <c r="E1483" s="2">
        <v>0.5625</v>
      </c>
      <c r="F1483" t="s">
        <v>37</v>
      </c>
      <c r="G1483" t="s">
        <v>48</v>
      </c>
      <c r="H1483">
        <v>0</v>
      </c>
      <c r="I1483">
        <v>5</v>
      </c>
      <c r="J1483" t="s">
        <v>30</v>
      </c>
      <c r="K1483">
        <v>328</v>
      </c>
      <c r="L1483">
        <v>358</v>
      </c>
      <c r="M1483">
        <v>225</v>
      </c>
      <c r="N1483">
        <v>343</v>
      </c>
      <c r="O1483">
        <v>358</v>
      </c>
      <c r="P1483">
        <v>23</v>
      </c>
      <c r="Q1483">
        <v>31</v>
      </c>
      <c r="R1483">
        <v>342</v>
      </c>
      <c r="S1483">
        <v>222</v>
      </c>
      <c r="T1483" t="s">
        <v>31</v>
      </c>
      <c r="U1483" t="s">
        <v>31</v>
      </c>
      <c r="V1483" t="s">
        <v>31</v>
      </c>
      <c r="W1483" t="s">
        <v>31</v>
      </c>
      <c r="X1483" t="s">
        <v>31</v>
      </c>
      <c r="Y1483" t="s">
        <v>31</v>
      </c>
    </row>
    <row r="1484" spans="1:25" hidden="1">
      <c r="A1484" t="s">
        <v>25</v>
      </c>
      <c r="B1484" t="s">
        <v>26</v>
      </c>
      <c r="C1484" t="s">
        <v>55</v>
      </c>
      <c r="D1484" s="1">
        <v>44094</v>
      </c>
      <c r="E1484" s="2">
        <v>0.5625</v>
      </c>
      <c r="F1484" t="s">
        <v>52</v>
      </c>
      <c r="G1484" t="s">
        <v>39</v>
      </c>
      <c r="H1484">
        <v>0</v>
      </c>
      <c r="I1484">
        <v>2</v>
      </c>
      <c r="J1484" t="s">
        <v>30</v>
      </c>
      <c r="K1484">
        <v>399</v>
      </c>
      <c r="L1484">
        <v>44</v>
      </c>
      <c r="M1484">
        <v>181</v>
      </c>
      <c r="N1484">
        <v>42</v>
      </c>
      <c r="O1484">
        <v>44</v>
      </c>
      <c r="P1484">
        <v>19</v>
      </c>
      <c r="Q1484">
        <v>388</v>
      </c>
      <c r="R1484">
        <v>405</v>
      </c>
      <c r="S1484">
        <v>178</v>
      </c>
      <c r="T1484" t="s">
        <v>31</v>
      </c>
      <c r="U1484" t="s">
        <v>31</v>
      </c>
      <c r="V1484" t="s">
        <v>31</v>
      </c>
      <c r="W1484" t="s">
        <v>31</v>
      </c>
      <c r="X1484" t="s">
        <v>31</v>
      </c>
      <c r="Y1484" t="s">
        <v>31</v>
      </c>
    </row>
    <row r="1485" spans="1:25" hidden="1">
      <c r="A1485" t="s">
        <v>25</v>
      </c>
      <c r="B1485" t="s">
        <v>26</v>
      </c>
      <c r="C1485" t="s">
        <v>55</v>
      </c>
      <c r="D1485" s="1">
        <v>44094</v>
      </c>
      <c r="E1485" s="2">
        <v>0.66666666666666663</v>
      </c>
      <c r="F1485" t="s">
        <v>40</v>
      </c>
      <c r="G1485" t="s">
        <v>38</v>
      </c>
      <c r="H1485">
        <v>2</v>
      </c>
      <c r="I1485">
        <v>1</v>
      </c>
      <c r="J1485" t="s">
        <v>34</v>
      </c>
      <c r="K1485">
        <v>21</v>
      </c>
      <c r="L1485">
        <v>383</v>
      </c>
      <c r="M1485">
        <v>343</v>
      </c>
      <c r="N1485">
        <v>211</v>
      </c>
      <c r="O1485">
        <v>392</v>
      </c>
      <c r="P1485">
        <v>37</v>
      </c>
      <c r="Q1485">
        <v>201</v>
      </c>
      <c r="R1485">
        <v>374</v>
      </c>
      <c r="S1485">
        <v>334</v>
      </c>
      <c r="T1485" t="s">
        <v>31</v>
      </c>
      <c r="U1485" t="s">
        <v>31</v>
      </c>
      <c r="V1485" t="s">
        <v>31</v>
      </c>
      <c r="W1485" t="s">
        <v>31</v>
      </c>
      <c r="X1485" t="s">
        <v>31</v>
      </c>
      <c r="Y1485" t="s">
        <v>31</v>
      </c>
    </row>
    <row r="1486" spans="1:25" hidden="1">
      <c r="A1486" t="s">
        <v>25</v>
      </c>
      <c r="B1486" t="s">
        <v>26</v>
      </c>
      <c r="C1486" t="s">
        <v>55</v>
      </c>
      <c r="D1486" s="1">
        <v>44100</v>
      </c>
      <c r="E1486" s="2">
        <v>0.66666666666666663</v>
      </c>
      <c r="F1486" t="s">
        <v>45</v>
      </c>
      <c r="G1486" t="s">
        <v>54</v>
      </c>
      <c r="H1486">
        <v>0</v>
      </c>
      <c r="I1486">
        <v>2</v>
      </c>
      <c r="J1486" t="s">
        <v>30</v>
      </c>
      <c r="K1486">
        <v>201</v>
      </c>
      <c r="L1486">
        <v>395</v>
      </c>
      <c r="M1486">
        <v>361</v>
      </c>
      <c r="N1486">
        <v>206</v>
      </c>
      <c r="O1486">
        <v>395</v>
      </c>
      <c r="P1486">
        <v>393</v>
      </c>
      <c r="Q1486">
        <v>193</v>
      </c>
      <c r="R1486">
        <v>372</v>
      </c>
      <c r="S1486">
        <v>355</v>
      </c>
      <c r="T1486" t="s">
        <v>31</v>
      </c>
      <c r="U1486" t="s">
        <v>31</v>
      </c>
      <c r="V1486" t="s">
        <v>31</v>
      </c>
      <c r="W1486" t="s">
        <v>31</v>
      </c>
      <c r="X1486" t="s">
        <v>31</v>
      </c>
      <c r="Y1486" t="s">
        <v>31</v>
      </c>
    </row>
    <row r="1487" spans="1:25" hidden="1">
      <c r="A1487" t="s">
        <v>25</v>
      </c>
      <c r="B1487" t="s">
        <v>26</v>
      </c>
      <c r="C1487" t="s">
        <v>55</v>
      </c>
      <c r="D1487" s="1">
        <v>44100</v>
      </c>
      <c r="E1487" s="2">
        <v>0.66666666666666663</v>
      </c>
      <c r="F1487" t="s">
        <v>38</v>
      </c>
      <c r="G1487" t="s">
        <v>29</v>
      </c>
      <c r="H1487">
        <v>1</v>
      </c>
      <c r="I1487">
        <v>3</v>
      </c>
      <c r="J1487" t="s">
        <v>30</v>
      </c>
      <c r="K1487">
        <v>1185</v>
      </c>
      <c r="L1487">
        <v>685</v>
      </c>
      <c r="M1487">
        <v>122</v>
      </c>
      <c r="N1487">
        <v>135</v>
      </c>
      <c r="O1487">
        <v>8</v>
      </c>
      <c r="P1487">
        <v>125</v>
      </c>
      <c r="Q1487">
        <v>1071</v>
      </c>
      <c r="R1487">
        <v>682</v>
      </c>
      <c r="S1487">
        <v>121</v>
      </c>
      <c r="T1487" t="s">
        <v>31</v>
      </c>
      <c r="U1487" t="s">
        <v>31</v>
      </c>
      <c r="V1487" t="s">
        <v>31</v>
      </c>
      <c r="W1487" t="s">
        <v>31</v>
      </c>
      <c r="X1487" t="s">
        <v>31</v>
      </c>
      <c r="Y1487" t="s">
        <v>31</v>
      </c>
    </row>
    <row r="1488" spans="1:25" hidden="1">
      <c r="A1488" t="s">
        <v>25</v>
      </c>
      <c r="B1488" t="s">
        <v>26</v>
      </c>
      <c r="C1488" t="s">
        <v>55</v>
      </c>
      <c r="D1488" s="1">
        <v>44100</v>
      </c>
      <c r="E1488" s="2">
        <v>0.66666666666666663</v>
      </c>
      <c r="F1488" t="s">
        <v>48</v>
      </c>
      <c r="G1488" t="s">
        <v>35</v>
      </c>
      <c r="H1488">
        <v>1</v>
      </c>
      <c r="I1488">
        <v>2</v>
      </c>
      <c r="J1488" t="s">
        <v>30</v>
      </c>
      <c r="K1488">
        <v>417</v>
      </c>
      <c r="L1488">
        <v>398</v>
      </c>
      <c r="M1488">
        <v>185</v>
      </c>
      <c r="N1488">
        <v>42</v>
      </c>
      <c r="O1488">
        <v>405</v>
      </c>
      <c r="P1488">
        <v>187</v>
      </c>
      <c r="Q1488">
        <v>396</v>
      </c>
      <c r="R1488">
        <v>382</v>
      </c>
      <c r="S1488">
        <v>181</v>
      </c>
      <c r="T1488" t="s">
        <v>31</v>
      </c>
      <c r="U1488" t="s">
        <v>31</v>
      </c>
      <c r="V1488" t="s">
        <v>31</v>
      </c>
      <c r="W1488" t="s">
        <v>31</v>
      </c>
      <c r="X1488" t="s">
        <v>31</v>
      </c>
      <c r="Y1488" t="s">
        <v>31</v>
      </c>
    </row>
    <row r="1489" spans="1:25" hidden="1">
      <c r="A1489" t="s">
        <v>25</v>
      </c>
      <c r="B1489" t="s">
        <v>26</v>
      </c>
      <c r="C1489" t="s">
        <v>55</v>
      </c>
      <c r="D1489" s="1">
        <v>44101</v>
      </c>
      <c r="E1489" s="2">
        <v>0.5625</v>
      </c>
      <c r="F1489" t="s">
        <v>40</v>
      </c>
      <c r="G1489" t="s">
        <v>37</v>
      </c>
      <c r="H1489">
        <v>2</v>
      </c>
      <c r="I1489">
        <v>2</v>
      </c>
      <c r="J1489" t="s">
        <v>41</v>
      </c>
      <c r="K1489">
        <v>147</v>
      </c>
      <c r="L1489">
        <v>486</v>
      </c>
      <c r="M1489">
        <v>682</v>
      </c>
      <c r="N1489">
        <v>149</v>
      </c>
      <c r="O1489">
        <v>499</v>
      </c>
      <c r="P1489">
        <v>713</v>
      </c>
      <c r="Q1489">
        <v>145</v>
      </c>
      <c r="R1489">
        <v>461</v>
      </c>
      <c r="S1489">
        <v>631</v>
      </c>
      <c r="T1489" t="s">
        <v>31</v>
      </c>
      <c r="U1489" t="s">
        <v>31</v>
      </c>
      <c r="V1489" t="s">
        <v>31</v>
      </c>
      <c r="W1489" t="s">
        <v>31</v>
      </c>
      <c r="X1489" t="s">
        <v>31</v>
      </c>
      <c r="Y1489" t="s">
        <v>31</v>
      </c>
    </row>
    <row r="1490" spans="1:25" hidden="1">
      <c r="A1490" t="s">
        <v>25</v>
      </c>
      <c r="B1490" t="s">
        <v>26</v>
      </c>
      <c r="C1490" t="s">
        <v>55</v>
      </c>
      <c r="D1490" s="1">
        <v>44101</v>
      </c>
      <c r="E1490" s="2">
        <v>0.5625</v>
      </c>
      <c r="F1490" t="s">
        <v>52</v>
      </c>
      <c r="G1490" t="s">
        <v>28</v>
      </c>
      <c r="H1490">
        <v>1</v>
      </c>
      <c r="I1490">
        <v>1</v>
      </c>
      <c r="J1490" t="s">
        <v>41</v>
      </c>
      <c r="K1490">
        <v>33</v>
      </c>
      <c r="L1490">
        <v>408</v>
      </c>
      <c r="M1490">
        <v>208</v>
      </c>
      <c r="N1490">
        <v>344</v>
      </c>
      <c r="O1490">
        <v>408</v>
      </c>
      <c r="P1490">
        <v>223</v>
      </c>
      <c r="Q1490">
        <v>309</v>
      </c>
      <c r="R1490">
        <v>372</v>
      </c>
      <c r="S1490">
        <v>21</v>
      </c>
      <c r="T1490" t="s">
        <v>31</v>
      </c>
      <c r="U1490" t="s">
        <v>31</v>
      </c>
      <c r="V1490" t="s">
        <v>31</v>
      </c>
      <c r="W1490" t="s">
        <v>31</v>
      </c>
      <c r="X1490" t="s">
        <v>31</v>
      </c>
      <c r="Y1490" t="s">
        <v>31</v>
      </c>
    </row>
    <row r="1491" spans="1:25" hidden="1">
      <c r="A1491" t="s">
        <v>25</v>
      </c>
      <c r="B1491" t="s">
        <v>26</v>
      </c>
      <c r="C1491" t="s">
        <v>55</v>
      </c>
      <c r="D1491" s="1">
        <v>44101</v>
      </c>
      <c r="E1491" s="2">
        <v>0.66666666666666663</v>
      </c>
      <c r="F1491" t="s">
        <v>50</v>
      </c>
      <c r="G1491" t="s">
        <v>39</v>
      </c>
      <c r="H1491">
        <v>3</v>
      </c>
      <c r="I1491">
        <v>1</v>
      </c>
      <c r="J1491" t="s">
        <v>34</v>
      </c>
      <c r="K1491">
        <v>168</v>
      </c>
      <c r="L1491">
        <v>448</v>
      </c>
      <c r="M1491">
        <v>466</v>
      </c>
      <c r="N1491">
        <v>174</v>
      </c>
      <c r="O1491">
        <v>448</v>
      </c>
      <c r="P1491">
        <v>468</v>
      </c>
      <c r="Q1491">
        <v>168</v>
      </c>
      <c r="R1491">
        <v>415</v>
      </c>
      <c r="S1491">
        <v>434</v>
      </c>
      <c r="T1491" t="s">
        <v>31</v>
      </c>
      <c r="U1491" t="s">
        <v>31</v>
      </c>
      <c r="V1491" t="s">
        <v>31</v>
      </c>
      <c r="W1491" t="s">
        <v>31</v>
      </c>
      <c r="X1491" t="s">
        <v>31</v>
      </c>
      <c r="Y1491" t="s">
        <v>31</v>
      </c>
    </row>
    <row r="1492" spans="1:25" hidden="1">
      <c r="A1492" t="s">
        <v>25</v>
      </c>
      <c r="B1492" t="s">
        <v>26</v>
      </c>
      <c r="C1492" t="s">
        <v>55</v>
      </c>
      <c r="D1492" s="1">
        <v>44107</v>
      </c>
      <c r="E1492" s="2">
        <v>0.66666666666666663</v>
      </c>
      <c r="F1492" t="s">
        <v>37</v>
      </c>
      <c r="G1492" t="s">
        <v>38</v>
      </c>
      <c r="H1492">
        <v>3</v>
      </c>
      <c r="I1492">
        <v>1</v>
      </c>
      <c r="J1492" t="s">
        <v>34</v>
      </c>
      <c r="K1492">
        <v>311</v>
      </c>
      <c r="L1492">
        <v>372</v>
      </c>
      <c r="M1492">
        <v>228</v>
      </c>
      <c r="N1492">
        <v>325</v>
      </c>
      <c r="O1492">
        <v>375</v>
      </c>
      <c r="P1492">
        <v>228</v>
      </c>
      <c r="Q1492">
        <v>308</v>
      </c>
      <c r="R1492">
        <v>358</v>
      </c>
      <c r="S1492">
        <v>216</v>
      </c>
      <c r="T1492" t="s">
        <v>31</v>
      </c>
      <c r="U1492" t="s">
        <v>31</v>
      </c>
      <c r="V1492" t="s">
        <v>31</v>
      </c>
      <c r="W1492" t="s">
        <v>31</v>
      </c>
      <c r="X1492" t="s">
        <v>31</v>
      </c>
      <c r="Y1492" t="s">
        <v>31</v>
      </c>
    </row>
    <row r="1493" spans="1:25" hidden="1">
      <c r="A1493" t="s">
        <v>25</v>
      </c>
      <c r="B1493" t="s">
        <v>26</v>
      </c>
      <c r="C1493" t="s">
        <v>55</v>
      </c>
      <c r="D1493" s="1">
        <v>44107</v>
      </c>
      <c r="E1493" s="2">
        <v>0.66666666666666663</v>
      </c>
      <c r="F1493" t="s">
        <v>54</v>
      </c>
      <c r="G1493" t="s">
        <v>40</v>
      </c>
      <c r="H1493">
        <v>0</v>
      </c>
      <c r="I1493">
        <v>2</v>
      </c>
      <c r="J1493" t="s">
        <v>30</v>
      </c>
      <c r="K1493">
        <v>309</v>
      </c>
      <c r="L1493">
        <v>365</v>
      </c>
      <c r="M1493">
        <v>233</v>
      </c>
      <c r="N1493">
        <v>32</v>
      </c>
      <c r="O1493">
        <v>372</v>
      </c>
      <c r="P1493">
        <v>233</v>
      </c>
      <c r="Q1493">
        <v>295</v>
      </c>
      <c r="R1493">
        <v>356</v>
      </c>
      <c r="S1493">
        <v>224</v>
      </c>
      <c r="T1493" t="s">
        <v>31</v>
      </c>
      <c r="U1493" t="s">
        <v>31</v>
      </c>
      <c r="V1493" t="s">
        <v>31</v>
      </c>
      <c r="W1493" t="s">
        <v>31</v>
      </c>
      <c r="X1493" t="s">
        <v>31</v>
      </c>
      <c r="Y1493" t="s">
        <v>31</v>
      </c>
    </row>
    <row r="1494" spans="1:25" hidden="1">
      <c r="A1494" t="s">
        <v>25</v>
      </c>
      <c r="B1494" t="s">
        <v>26</v>
      </c>
      <c r="C1494" t="s">
        <v>55</v>
      </c>
      <c r="D1494" s="1">
        <v>44107</v>
      </c>
      <c r="E1494" s="2">
        <v>0.66666666666666663</v>
      </c>
      <c r="F1494" t="s">
        <v>39</v>
      </c>
      <c r="G1494" t="s">
        <v>48</v>
      </c>
      <c r="H1494">
        <v>2</v>
      </c>
      <c r="I1494">
        <v>4</v>
      </c>
      <c r="J1494" t="s">
        <v>30</v>
      </c>
      <c r="K1494">
        <v>177</v>
      </c>
      <c r="L1494">
        <v>414</v>
      </c>
      <c r="M1494">
        <v>449</v>
      </c>
      <c r="N1494">
        <v>183</v>
      </c>
      <c r="O1494">
        <v>415</v>
      </c>
      <c r="P1494">
        <v>449</v>
      </c>
      <c r="Q1494">
        <v>175</v>
      </c>
      <c r="R1494">
        <v>391</v>
      </c>
      <c r="S1494">
        <v>415</v>
      </c>
      <c r="T1494" t="s">
        <v>31</v>
      </c>
      <c r="U1494" t="s">
        <v>31</v>
      </c>
      <c r="V1494" t="s">
        <v>31</v>
      </c>
      <c r="W1494" t="s">
        <v>31</v>
      </c>
      <c r="X1494" t="s">
        <v>31</v>
      </c>
      <c r="Y1494" t="s">
        <v>31</v>
      </c>
    </row>
    <row r="1495" spans="1:25" hidden="1">
      <c r="A1495" t="s">
        <v>25</v>
      </c>
      <c r="B1495" t="s">
        <v>26</v>
      </c>
      <c r="C1495" t="s">
        <v>55</v>
      </c>
      <c r="D1495" s="1">
        <v>44108</v>
      </c>
      <c r="E1495" s="2">
        <v>0.5625</v>
      </c>
      <c r="F1495" t="s">
        <v>29</v>
      </c>
      <c r="G1495" t="s">
        <v>52</v>
      </c>
      <c r="H1495">
        <v>7</v>
      </c>
      <c r="I1495">
        <v>1</v>
      </c>
      <c r="J1495" t="s">
        <v>34</v>
      </c>
      <c r="K1495">
        <v>107</v>
      </c>
      <c r="L1495">
        <v>1501</v>
      </c>
      <c r="M1495">
        <v>3051</v>
      </c>
      <c r="N1495">
        <v>107</v>
      </c>
      <c r="O1495">
        <v>155</v>
      </c>
      <c r="P1495">
        <v>36</v>
      </c>
      <c r="Q1495">
        <v>105</v>
      </c>
      <c r="R1495">
        <v>1357</v>
      </c>
      <c r="S1495">
        <v>2706</v>
      </c>
      <c r="T1495" t="s">
        <v>31</v>
      </c>
      <c r="U1495" t="s">
        <v>31</v>
      </c>
      <c r="V1495" t="s">
        <v>31</v>
      </c>
      <c r="W1495" t="s">
        <v>31</v>
      </c>
      <c r="X1495" t="s">
        <v>31</v>
      </c>
      <c r="Y1495" t="s">
        <v>31</v>
      </c>
    </row>
    <row r="1496" spans="1:25" hidden="1">
      <c r="A1496" t="s">
        <v>25</v>
      </c>
      <c r="B1496" t="s">
        <v>26</v>
      </c>
      <c r="C1496" t="s">
        <v>55</v>
      </c>
      <c r="D1496" s="1">
        <v>44108</v>
      </c>
      <c r="E1496" s="2">
        <v>0.5625</v>
      </c>
      <c r="F1496" t="s">
        <v>28</v>
      </c>
      <c r="G1496" t="s">
        <v>45</v>
      </c>
      <c r="H1496">
        <v>4</v>
      </c>
      <c r="I1496">
        <v>0</v>
      </c>
      <c r="J1496" t="s">
        <v>34</v>
      </c>
      <c r="K1496">
        <v>191</v>
      </c>
      <c r="L1496">
        <v>401</v>
      </c>
      <c r="M1496">
        <v>391</v>
      </c>
      <c r="N1496">
        <v>264</v>
      </c>
      <c r="O1496">
        <v>401</v>
      </c>
      <c r="P1496">
        <v>4</v>
      </c>
      <c r="Q1496">
        <v>191</v>
      </c>
      <c r="R1496">
        <v>371</v>
      </c>
      <c r="S1496">
        <v>37</v>
      </c>
      <c r="T1496" t="s">
        <v>31</v>
      </c>
      <c r="U1496" t="s">
        <v>31</v>
      </c>
      <c r="V1496" t="s">
        <v>31</v>
      </c>
      <c r="W1496" t="s">
        <v>31</v>
      </c>
      <c r="X1496" t="s">
        <v>31</v>
      </c>
      <c r="Y1496" t="s">
        <v>31</v>
      </c>
    </row>
    <row r="1497" spans="1:25" hidden="1">
      <c r="A1497" t="s">
        <v>25</v>
      </c>
      <c r="B1497" t="s">
        <v>26</v>
      </c>
      <c r="C1497" t="s">
        <v>55</v>
      </c>
      <c r="D1497" s="1">
        <v>44108</v>
      </c>
      <c r="E1497" s="2">
        <v>0.66666666666666663</v>
      </c>
      <c r="F1497" t="s">
        <v>35</v>
      </c>
      <c r="G1497" t="s">
        <v>50</v>
      </c>
      <c r="H1497">
        <v>3</v>
      </c>
      <c r="I1497">
        <v>0</v>
      </c>
      <c r="J1497" t="s">
        <v>34</v>
      </c>
      <c r="K1497">
        <v>223</v>
      </c>
      <c r="L1497">
        <v>405</v>
      </c>
      <c r="M1497">
        <v>3</v>
      </c>
      <c r="N1497">
        <v>224</v>
      </c>
      <c r="O1497">
        <v>405</v>
      </c>
      <c r="P1497">
        <v>31</v>
      </c>
      <c r="Q1497">
        <v>216</v>
      </c>
      <c r="R1497">
        <v>379</v>
      </c>
      <c r="S1497">
        <v>293</v>
      </c>
      <c r="T1497" t="s">
        <v>31</v>
      </c>
      <c r="U1497" t="s">
        <v>31</v>
      </c>
      <c r="V1497" t="s">
        <v>31</v>
      </c>
      <c r="W1497" t="s">
        <v>31</v>
      </c>
      <c r="X1497" t="s">
        <v>31</v>
      </c>
      <c r="Y1497" t="s">
        <v>31</v>
      </c>
    </row>
    <row r="1498" spans="1:25" hidden="1">
      <c r="A1498" t="s">
        <v>25</v>
      </c>
      <c r="B1498" t="s">
        <v>26</v>
      </c>
      <c r="C1498" t="s">
        <v>55</v>
      </c>
      <c r="D1498" s="1">
        <v>44128</v>
      </c>
      <c r="E1498" s="2">
        <v>0.66666666666666663</v>
      </c>
      <c r="F1498" t="s">
        <v>45</v>
      </c>
      <c r="G1498" t="s">
        <v>37</v>
      </c>
      <c r="H1498">
        <v>4</v>
      </c>
      <c r="I1498">
        <v>2</v>
      </c>
      <c r="J1498" t="s">
        <v>34</v>
      </c>
      <c r="K1498">
        <v>185</v>
      </c>
      <c r="L1498">
        <v>402</v>
      </c>
      <c r="M1498">
        <v>416</v>
      </c>
      <c r="N1498">
        <v>19</v>
      </c>
      <c r="O1498">
        <v>402</v>
      </c>
      <c r="P1498">
        <v>433</v>
      </c>
      <c r="Q1498">
        <v>181</v>
      </c>
      <c r="R1498">
        <v>379</v>
      </c>
      <c r="S1498">
        <v>399</v>
      </c>
      <c r="T1498" t="s">
        <v>31</v>
      </c>
      <c r="U1498" t="s">
        <v>31</v>
      </c>
      <c r="V1498" t="s">
        <v>31</v>
      </c>
      <c r="W1498" t="s">
        <v>31</v>
      </c>
      <c r="X1498" t="s">
        <v>31</v>
      </c>
      <c r="Y1498" t="s">
        <v>31</v>
      </c>
    </row>
    <row r="1499" spans="1:25" hidden="1">
      <c r="A1499" t="s">
        <v>25</v>
      </c>
      <c r="B1499" t="s">
        <v>26</v>
      </c>
      <c r="C1499" t="s">
        <v>55</v>
      </c>
      <c r="D1499" s="1">
        <v>44128</v>
      </c>
      <c r="E1499" s="2">
        <v>0.66666666666666663</v>
      </c>
      <c r="F1499" t="s">
        <v>40</v>
      </c>
      <c r="G1499" t="s">
        <v>29</v>
      </c>
      <c r="H1499">
        <v>0</v>
      </c>
      <c r="I1499">
        <v>2</v>
      </c>
      <c r="J1499" t="s">
        <v>30</v>
      </c>
      <c r="K1499">
        <v>787</v>
      </c>
      <c r="L1499">
        <v>586</v>
      </c>
      <c r="M1499">
        <v>136</v>
      </c>
      <c r="N1499">
        <v>9</v>
      </c>
      <c r="O1499">
        <v>586</v>
      </c>
      <c r="P1499">
        <v>138</v>
      </c>
      <c r="Q1499">
        <v>731</v>
      </c>
      <c r="R1499">
        <v>555</v>
      </c>
      <c r="S1499">
        <v>133</v>
      </c>
      <c r="T1499" t="s">
        <v>31</v>
      </c>
      <c r="U1499" t="s">
        <v>31</v>
      </c>
      <c r="V1499" t="s">
        <v>31</v>
      </c>
      <c r="W1499" t="s">
        <v>31</v>
      </c>
      <c r="X1499" t="s">
        <v>31</v>
      </c>
      <c r="Y1499" t="s">
        <v>31</v>
      </c>
    </row>
    <row r="1500" spans="1:25" hidden="1">
      <c r="A1500" t="s">
        <v>25</v>
      </c>
      <c r="B1500" t="s">
        <v>26</v>
      </c>
      <c r="C1500" t="s">
        <v>55</v>
      </c>
      <c r="D1500" s="1">
        <v>44128</v>
      </c>
      <c r="E1500" s="2">
        <v>0.66666666666666663</v>
      </c>
      <c r="F1500" t="s">
        <v>38</v>
      </c>
      <c r="G1500" t="s">
        <v>28</v>
      </c>
      <c r="H1500">
        <v>0</v>
      </c>
      <c r="I1500">
        <v>2</v>
      </c>
      <c r="J1500" t="s">
        <v>30</v>
      </c>
      <c r="K1500">
        <v>342</v>
      </c>
      <c r="L1500">
        <v>387</v>
      </c>
      <c r="M1500">
        <v>209</v>
      </c>
      <c r="N1500">
        <v>36</v>
      </c>
      <c r="O1500">
        <v>389</v>
      </c>
      <c r="P1500">
        <v>209</v>
      </c>
      <c r="Q1500">
        <v>336</v>
      </c>
      <c r="R1500">
        <v>37</v>
      </c>
      <c r="S1500">
        <v>2</v>
      </c>
      <c r="T1500" t="s">
        <v>31</v>
      </c>
      <c r="U1500" t="s">
        <v>31</v>
      </c>
      <c r="V1500" t="s">
        <v>31</v>
      </c>
      <c r="W1500" t="s">
        <v>31</v>
      </c>
      <c r="X1500" t="s">
        <v>31</v>
      </c>
      <c r="Y1500" t="s">
        <v>31</v>
      </c>
    </row>
    <row r="1501" spans="1:25" hidden="1">
      <c r="A1501" t="s">
        <v>25</v>
      </c>
      <c r="B1501" t="s">
        <v>26</v>
      </c>
      <c r="C1501" t="s">
        <v>55</v>
      </c>
      <c r="D1501" s="1">
        <v>44129</v>
      </c>
      <c r="E1501" s="2">
        <v>0.5625</v>
      </c>
      <c r="F1501" t="s">
        <v>50</v>
      </c>
      <c r="G1501" t="s">
        <v>48</v>
      </c>
      <c r="H1501">
        <v>4</v>
      </c>
      <c r="I1501">
        <v>0</v>
      </c>
      <c r="J1501" t="s">
        <v>34</v>
      </c>
      <c r="K1501">
        <v>158</v>
      </c>
      <c r="L1501">
        <v>469</v>
      </c>
      <c r="M1501">
        <v>541</v>
      </c>
      <c r="N1501">
        <v>158</v>
      </c>
      <c r="O1501">
        <v>477</v>
      </c>
      <c r="P1501">
        <v>6</v>
      </c>
      <c r="Q1501">
        <v>152</v>
      </c>
      <c r="R1501">
        <v>45</v>
      </c>
      <c r="S1501">
        <v>536</v>
      </c>
      <c r="T1501" t="s">
        <v>31</v>
      </c>
      <c r="U1501" t="s">
        <v>31</v>
      </c>
      <c r="V1501" t="s">
        <v>31</v>
      </c>
      <c r="W1501" t="s">
        <v>31</v>
      </c>
      <c r="X1501" t="s">
        <v>31</v>
      </c>
      <c r="Y1501" t="s">
        <v>31</v>
      </c>
    </row>
    <row r="1502" spans="1:25" hidden="1">
      <c r="A1502" t="s">
        <v>25</v>
      </c>
      <c r="B1502" t="s">
        <v>26</v>
      </c>
      <c r="C1502" t="s">
        <v>55</v>
      </c>
      <c r="D1502" s="1">
        <v>44129</v>
      </c>
      <c r="E1502" s="2">
        <v>0.5625</v>
      </c>
      <c r="F1502" t="s">
        <v>54</v>
      </c>
      <c r="G1502" t="s">
        <v>52</v>
      </c>
      <c r="H1502">
        <v>1</v>
      </c>
      <c r="I1502">
        <v>1</v>
      </c>
      <c r="J1502" t="s">
        <v>41</v>
      </c>
      <c r="K1502">
        <v>217</v>
      </c>
      <c r="L1502">
        <v>4</v>
      </c>
      <c r="M1502">
        <v>315</v>
      </c>
      <c r="N1502">
        <v>222</v>
      </c>
      <c r="O1502">
        <v>413</v>
      </c>
      <c r="P1502">
        <v>315</v>
      </c>
      <c r="Q1502">
        <v>211</v>
      </c>
      <c r="R1502">
        <v>386</v>
      </c>
      <c r="S1502">
        <v>297</v>
      </c>
      <c r="T1502" t="s">
        <v>31</v>
      </c>
      <c r="U1502" t="s">
        <v>31</v>
      </c>
      <c r="V1502" t="s">
        <v>31</v>
      </c>
      <c r="W1502" t="s">
        <v>31</v>
      </c>
      <c r="X1502" t="s">
        <v>31</v>
      </c>
      <c r="Y1502" t="s">
        <v>31</v>
      </c>
    </row>
    <row r="1503" spans="1:25" hidden="1">
      <c r="A1503" t="s">
        <v>25</v>
      </c>
      <c r="B1503" t="s">
        <v>26</v>
      </c>
      <c r="C1503" t="s">
        <v>55</v>
      </c>
      <c r="D1503" s="1">
        <v>44129</v>
      </c>
      <c r="E1503" s="2">
        <v>0.66666666666666663</v>
      </c>
      <c r="F1503" t="s">
        <v>39</v>
      </c>
      <c r="G1503" t="s">
        <v>35</v>
      </c>
      <c r="H1503">
        <v>3</v>
      </c>
      <c r="I1503">
        <v>4</v>
      </c>
      <c r="J1503" t="s">
        <v>30</v>
      </c>
      <c r="K1503">
        <v>338</v>
      </c>
      <c r="L1503">
        <v>387</v>
      </c>
      <c r="M1503">
        <v>211</v>
      </c>
      <c r="N1503">
        <v>338</v>
      </c>
      <c r="O1503">
        <v>394</v>
      </c>
      <c r="P1503">
        <v>217</v>
      </c>
      <c r="Q1503">
        <v>314</v>
      </c>
      <c r="R1503">
        <v>372</v>
      </c>
      <c r="S1503">
        <v>207</v>
      </c>
      <c r="T1503" t="s">
        <v>31</v>
      </c>
      <c r="U1503" t="s">
        <v>31</v>
      </c>
      <c r="V1503" t="s">
        <v>31</v>
      </c>
      <c r="W1503" t="s">
        <v>31</v>
      </c>
      <c r="X1503" t="s">
        <v>31</v>
      </c>
      <c r="Y1503" t="s">
        <v>31</v>
      </c>
    </row>
    <row r="1504" spans="1:25" hidden="1">
      <c r="A1504" t="s">
        <v>25</v>
      </c>
      <c r="B1504" t="s">
        <v>26</v>
      </c>
      <c r="C1504" t="s">
        <v>55</v>
      </c>
      <c r="D1504" s="1">
        <v>44135</v>
      </c>
      <c r="E1504" s="2">
        <v>0.66666666666666663</v>
      </c>
      <c r="F1504" t="s">
        <v>52</v>
      </c>
      <c r="G1504" t="s">
        <v>40</v>
      </c>
      <c r="H1504">
        <v>2</v>
      </c>
      <c r="I1504">
        <v>1</v>
      </c>
      <c r="J1504" t="s">
        <v>34</v>
      </c>
      <c r="K1504">
        <v>352</v>
      </c>
      <c r="L1504">
        <v>41</v>
      </c>
      <c r="M1504">
        <v>2</v>
      </c>
      <c r="N1504">
        <v>352</v>
      </c>
      <c r="O1504">
        <v>41</v>
      </c>
      <c r="P1504">
        <v>209</v>
      </c>
      <c r="Q1504">
        <v>33</v>
      </c>
      <c r="R1504">
        <v>389</v>
      </c>
      <c r="S1504">
        <v>198</v>
      </c>
      <c r="T1504" t="s">
        <v>31</v>
      </c>
      <c r="U1504" t="s">
        <v>31</v>
      </c>
      <c r="V1504" t="s">
        <v>31</v>
      </c>
      <c r="W1504" t="s">
        <v>31</v>
      </c>
      <c r="X1504" t="s">
        <v>31</v>
      </c>
      <c r="Y1504" t="s">
        <v>31</v>
      </c>
    </row>
    <row r="1505" spans="1:25" hidden="1">
      <c r="A1505" t="s">
        <v>25</v>
      </c>
      <c r="B1505" t="s">
        <v>26</v>
      </c>
      <c r="C1505" t="s">
        <v>55</v>
      </c>
      <c r="D1505" s="1">
        <v>44135</v>
      </c>
      <c r="E1505" s="2">
        <v>0.66666666666666663</v>
      </c>
      <c r="F1505" t="s">
        <v>29</v>
      </c>
      <c r="G1505" t="s">
        <v>54</v>
      </c>
      <c r="H1505">
        <v>5</v>
      </c>
      <c r="I1505">
        <v>0</v>
      </c>
      <c r="J1505" t="s">
        <v>34</v>
      </c>
      <c r="K1505">
        <v>112</v>
      </c>
      <c r="L1505">
        <v>1099</v>
      </c>
      <c r="M1505">
        <v>2206</v>
      </c>
      <c r="N1505">
        <v>113</v>
      </c>
      <c r="O1505">
        <v>1152</v>
      </c>
      <c r="P1505">
        <v>23</v>
      </c>
      <c r="Q1505">
        <v>11</v>
      </c>
      <c r="R1505">
        <v>986</v>
      </c>
      <c r="S1505">
        <v>1911</v>
      </c>
      <c r="T1505" t="s">
        <v>31</v>
      </c>
      <c r="U1505" t="s">
        <v>31</v>
      </c>
      <c r="V1505" t="s">
        <v>31</v>
      </c>
      <c r="W1505" t="s">
        <v>31</v>
      </c>
      <c r="X1505" t="s">
        <v>31</v>
      </c>
      <c r="Y1505" t="s">
        <v>31</v>
      </c>
    </row>
    <row r="1506" spans="1:25" hidden="1">
      <c r="A1506" t="s">
        <v>25</v>
      </c>
      <c r="B1506" t="s">
        <v>26</v>
      </c>
      <c r="C1506" t="s">
        <v>55</v>
      </c>
      <c r="D1506" s="1">
        <v>44135</v>
      </c>
      <c r="E1506" s="2">
        <v>0.66666666666666663</v>
      </c>
      <c r="F1506" t="s">
        <v>48</v>
      </c>
      <c r="G1506" t="s">
        <v>38</v>
      </c>
      <c r="H1506">
        <v>4</v>
      </c>
      <c r="I1506">
        <v>0</v>
      </c>
      <c r="J1506" t="s">
        <v>34</v>
      </c>
      <c r="K1506">
        <v>193</v>
      </c>
      <c r="L1506">
        <v>417</v>
      </c>
      <c r="M1506">
        <v>369</v>
      </c>
      <c r="N1506">
        <v>196</v>
      </c>
      <c r="O1506">
        <v>42</v>
      </c>
      <c r="P1506">
        <v>38</v>
      </c>
      <c r="Q1506">
        <v>188</v>
      </c>
      <c r="R1506">
        <v>398</v>
      </c>
      <c r="S1506">
        <v>354</v>
      </c>
      <c r="T1506" t="s">
        <v>31</v>
      </c>
      <c r="U1506" t="s">
        <v>31</v>
      </c>
      <c r="V1506" t="s">
        <v>31</v>
      </c>
      <c r="W1506" t="s">
        <v>31</v>
      </c>
      <c r="X1506" t="s">
        <v>31</v>
      </c>
      <c r="Y1506" t="s">
        <v>31</v>
      </c>
    </row>
    <row r="1507" spans="1:25" hidden="1">
      <c r="A1507" t="s">
        <v>25</v>
      </c>
      <c r="B1507" t="s">
        <v>26</v>
      </c>
      <c r="C1507" t="s">
        <v>55</v>
      </c>
      <c r="D1507" s="1">
        <v>44136</v>
      </c>
      <c r="E1507" s="2">
        <v>0.5625</v>
      </c>
      <c r="F1507" t="s">
        <v>37</v>
      </c>
      <c r="G1507" t="s">
        <v>39</v>
      </c>
      <c r="H1507">
        <v>1</v>
      </c>
      <c r="I1507">
        <v>3</v>
      </c>
      <c r="J1507" t="s">
        <v>30</v>
      </c>
      <c r="K1507">
        <v>343</v>
      </c>
      <c r="L1507">
        <v>381</v>
      </c>
      <c r="M1507">
        <v>211</v>
      </c>
      <c r="N1507">
        <v>353</v>
      </c>
      <c r="O1507">
        <v>381</v>
      </c>
      <c r="P1507">
        <v>212</v>
      </c>
      <c r="Q1507">
        <v>334</v>
      </c>
      <c r="R1507">
        <v>368</v>
      </c>
      <c r="S1507">
        <v>202</v>
      </c>
      <c r="T1507" t="s">
        <v>31</v>
      </c>
      <c r="U1507" t="s">
        <v>31</v>
      </c>
      <c r="V1507" t="s">
        <v>31</v>
      </c>
      <c r="W1507" t="s">
        <v>31</v>
      </c>
      <c r="X1507" t="s">
        <v>31</v>
      </c>
      <c r="Y1507" t="s">
        <v>31</v>
      </c>
    </row>
    <row r="1508" spans="1:25" hidden="1">
      <c r="A1508" t="s">
        <v>25</v>
      </c>
      <c r="B1508" t="s">
        <v>26</v>
      </c>
      <c r="C1508" t="s">
        <v>55</v>
      </c>
      <c r="D1508" s="1">
        <v>44136</v>
      </c>
      <c r="E1508" s="2">
        <v>0.5625</v>
      </c>
      <c r="F1508" t="s">
        <v>35</v>
      </c>
      <c r="G1508" t="s">
        <v>45</v>
      </c>
      <c r="H1508">
        <v>3</v>
      </c>
      <c r="I1508">
        <v>1</v>
      </c>
      <c r="J1508" t="s">
        <v>34</v>
      </c>
      <c r="K1508">
        <v>143</v>
      </c>
      <c r="L1508">
        <v>517</v>
      </c>
      <c r="M1508">
        <v>722</v>
      </c>
      <c r="N1508">
        <v>144</v>
      </c>
      <c r="O1508">
        <v>518</v>
      </c>
      <c r="P1508">
        <v>722</v>
      </c>
      <c r="Q1508">
        <v>141</v>
      </c>
      <c r="R1508">
        <v>487</v>
      </c>
      <c r="S1508">
        <v>653</v>
      </c>
      <c r="T1508" t="s">
        <v>31</v>
      </c>
      <c r="U1508" t="s">
        <v>31</v>
      </c>
      <c r="V1508" t="s">
        <v>31</v>
      </c>
      <c r="W1508" t="s">
        <v>31</v>
      </c>
      <c r="X1508" t="s">
        <v>31</v>
      </c>
      <c r="Y1508" t="s">
        <v>31</v>
      </c>
    </row>
    <row r="1509" spans="1:25" hidden="1">
      <c r="A1509" t="s">
        <v>25</v>
      </c>
      <c r="B1509" t="s">
        <v>26</v>
      </c>
      <c r="C1509" t="s">
        <v>55</v>
      </c>
      <c r="D1509" s="1">
        <v>44136</v>
      </c>
      <c r="E1509" s="2">
        <v>0.66666666666666663</v>
      </c>
      <c r="F1509" t="s">
        <v>28</v>
      </c>
      <c r="G1509" t="s">
        <v>50</v>
      </c>
      <c r="H1509">
        <v>0</v>
      </c>
      <c r="I1509">
        <v>2</v>
      </c>
      <c r="J1509" t="s">
        <v>30</v>
      </c>
      <c r="K1509">
        <v>337</v>
      </c>
      <c r="L1509">
        <v>383</v>
      </c>
      <c r="M1509">
        <v>213</v>
      </c>
      <c r="N1509">
        <v>35</v>
      </c>
      <c r="O1509">
        <v>383</v>
      </c>
      <c r="P1509">
        <v>219</v>
      </c>
      <c r="Q1509">
        <v>329</v>
      </c>
      <c r="R1509">
        <v>363</v>
      </c>
      <c r="S1509">
        <v>206</v>
      </c>
      <c r="T1509" t="s">
        <v>31</v>
      </c>
      <c r="U1509" t="s">
        <v>31</v>
      </c>
      <c r="V1509" t="s">
        <v>31</v>
      </c>
      <c r="W1509" t="s">
        <v>31</v>
      </c>
      <c r="X1509" t="s">
        <v>31</v>
      </c>
      <c r="Y1509" t="s">
        <v>31</v>
      </c>
    </row>
    <row r="1510" spans="1:25" hidden="1">
      <c r="A1510" t="s">
        <v>25</v>
      </c>
      <c r="B1510" t="s">
        <v>26</v>
      </c>
      <c r="C1510" t="s">
        <v>55</v>
      </c>
      <c r="D1510" s="1">
        <v>44142</v>
      </c>
      <c r="E1510" s="2">
        <v>0.66666666666666663</v>
      </c>
      <c r="F1510" t="s">
        <v>45</v>
      </c>
      <c r="G1510" t="s">
        <v>40</v>
      </c>
      <c r="H1510">
        <v>0</v>
      </c>
      <c r="I1510">
        <v>0</v>
      </c>
      <c r="J1510" t="s">
        <v>41</v>
      </c>
      <c r="K1510">
        <v>341</v>
      </c>
      <c r="L1510">
        <v>378</v>
      </c>
      <c r="M1510">
        <v>212</v>
      </c>
      <c r="N1510">
        <v>375</v>
      </c>
      <c r="O1510">
        <v>38</v>
      </c>
      <c r="P1510">
        <v>22</v>
      </c>
      <c r="Q1510">
        <v>326</v>
      </c>
      <c r="R1510">
        <v>354</v>
      </c>
      <c r="S1510">
        <v>209</v>
      </c>
      <c r="T1510" t="s">
        <v>31</v>
      </c>
      <c r="U1510" t="s">
        <v>31</v>
      </c>
      <c r="V1510" t="s">
        <v>31</v>
      </c>
      <c r="W1510" t="s">
        <v>31</v>
      </c>
      <c r="X1510" t="s">
        <v>31</v>
      </c>
      <c r="Y1510" t="s">
        <v>31</v>
      </c>
    </row>
    <row r="1511" spans="1:25" hidden="1">
      <c r="A1511" t="s">
        <v>25</v>
      </c>
      <c r="B1511" t="s">
        <v>26</v>
      </c>
      <c r="C1511" t="s">
        <v>55</v>
      </c>
      <c r="D1511" s="1">
        <v>44142</v>
      </c>
      <c r="E1511" s="2">
        <v>0.66666666666666663</v>
      </c>
      <c r="F1511" t="s">
        <v>38</v>
      </c>
      <c r="G1511" t="s">
        <v>52</v>
      </c>
      <c r="H1511">
        <v>2</v>
      </c>
      <c r="I1511">
        <v>0</v>
      </c>
      <c r="J1511" t="s">
        <v>34</v>
      </c>
      <c r="K1511">
        <v>239</v>
      </c>
      <c r="L1511">
        <v>395</v>
      </c>
      <c r="M1511">
        <v>281</v>
      </c>
      <c r="N1511">
        <v>239</v>
      </c>
      <c r="O1511">
        <v>403</v>
      </c>
      <c r="P1511">
        <v>29</v>
      </c>
      <c r="Q1511">
        <v>228</v>
      </c>
      <c r="R1511">
        <v>377</v>
      </c>
      <c r="S1511">
        <v>275</v>
      </c>
      <c r="T1511" t="s">
        <v>31</v>
      </c>
      <c r="U1511" t="s">
        <v>31</v>
      </c>
      <c r="V1511" t="s">
        <v>31</v>
      </c>
      <c r="W1511" t="s">
        <v>31</v>
      </c>
      <c r="X1511" t="s">
        <v>31</v>
      </c>
      <c r="Y1511" t="s">
        <v>31</v>
      </c>
    </row>
    <row r="1512" spans="1:25" hidden="1">
      <c r="A1512" t="s">
        <v>25</v>
      </c>
      <c r="B1512" t="s">
        <v>26</v>
      </c>
      <c r="C1512" t="s">
        <v>55</v>
      </c>
      <c r="D1512" s="1">
        <v>44142</v>
      </c>
      <c r="E1512" s="2">
        <v>0.66666666666666663</v>
      </c>
      <c r="F1512" t="s">
        <v>48</v>
      </c>
      <c r="G1512" t="s">
        <v>54</v>
      </c>
      <c r="H1512">
        <v>0</v>
      </c>
      <c r="I1512">
        <v>1</v>
      </c>
      <c r="J1512" t="s">
        <v>30</v>
      </c>
      <c r="K1512">
        <v>226</v>
      </c>
      <c r="L1512">
        <v>402</v>
      </c>
      <c r="M1512">
        <v>296</v>
      </c>
      <c r="N1512">
        <v>231</v>
      </c>
      <c r="O1512">
        <v>402</v>
      </c>
      <c r="P1512">
        <v>32</v>
      </c>
      <c r="Q1512">
        <v>218</v>
      </c>
      <c r="R1512">
        <v>377</v>
      </c>
      <c r="S1512">
        <v>291</v>
      </c>
      <c r="T1512" t="s">
        <v>31</v>
      </c>
      <c r="U1512" t="s">
        <v>31</v>
      </c>
      <c r="V1512" t="s">
        <v>31</v>
      </c>
      <c r="W1512" t="s">
        <v>31</v>
      </c>
      <c r="X1512" t="s">
        <v>31</v>
      </c>
      <c r="Y1512" t="s">
        <v>31</v>
      </c>
    </row>
    <row r="1513" spans="1:25" hidden="1">
      <c r="A1513" t="s">
        <v>25</v>
      </c>
      <c r="B1513" t="s">
        <v>26</v>
      </c>
      <c r="C1513" t="s">
        <v>55</v>
      </c>
      <c r="D1513" s="1">
        <v>44143</v>
      </c>
      <c r="E1513" s="2">
        <v>0.5625</v>
      </c>
      <c r="F1513" t="s">
        <v>50</v>
      </c>
      <c r="G1513" t="s">
        <v>37</v>
      </c>
      <c r="H1513">
        <v>4</v>
      </c>
      <c r="I1513">
        <v>0</v>
      </c>
      <c r="J1513" t="s">
        <v>34</v>
      </c>
      <c r="K1513">
        <v>118</v>
      </c>
      <c r="L1513">
        <v>812</v>
      </c>
      <c r="M1513">
        <v>1465</v>
      </c>
      <c r="N1513">
        <v>12</v>
      </c>
      <c r="O1513">
        <v>812</v>
      </c>
      <c r="P1513">
        <v>1543</v>
      </c>
      <c r="Q1513">
        <v>118</v>
      </c>
      <c r="R1513">
        <v>713</v>
      </c>
      <c r="S1513">
        <v>1307</v>
      </c>
      <c r="T1513" t="s">
        <v>31</v>
      </c>
      <c r="U1513" t="s">
        <v>31</v>
      </c>
      <c r="V1513" t="s">
        <v>31</v>
      </c>
      <c r="W1513" t="s">
        <v>31</v>
      </c>
      <c r="X1513" t="s">
        <v>31</v>
      </c>
      <c r="Y1513" t="s">
        <v>31</v>
      </c>
    </row>
    <row r="1514" spans="1:25" hidden="1">
      <c r="A1514" t="s">
        <v>25</v>
      </c>
      <c r="B1514" t="s">
        <v>26</v>
      </c>
      <c r="C1514" t="s">
        <v>55</v>
      </c>
      <c r="D1514" s="1">
        <v>44143</v>
      </c>
      <c r="E1514" s="2">
        <v>0.66666666666666663</v>
      </c>
      <c r="F1514" t="s">
        <v>35</v>
      </c>
      <c r="G1514" t="s">
        <v>29</v>
      </c>
      <c r="H1514">
        <v>1</v>
      </c>
      <c r="I1514">
        <v>1</v>
      </c>
      <c r="J1514" t="s">
        <v>41</v>
      </c>
      <c r="K1514">
        <v>598</v>
      </c>
      <c r="L1514">
        <v>507</v>
      </c>
      <c r="M1514">
        <v>15</v>
      </c>
      <c r="N1514">
        <v>6</v>
      </c>
      <c r="O1514">
        <v>508</v>
      </c>
      <c r="P1514">
        <v>153</v>
      </c>
      <c r="Q1514">
        <v>549</v>
      </c>
      <c r="R1514">
        <v>475</v>
      </c>
      <c r="S1514">
        <v>149</v>
      </c>
      <c r="T1514" t="s">
        <v>31</v>
      </c>
      <c r="U1514" t="s">
        <v>31</v>
      </c>
      <c r="V1514" t="s">
        <v>31</v>
      </c>
      <c r="W1514" t="s">
        <v>31</v>
      </c>
      <c r="X1514" t="s">
        <v>31</v>
      </c>
      <c r="Y1514" t="s">
        <v>31</v>
      </c>
    </row>
    <row r="1515" spans="1:25" hidden="1">
      <c r="A1515" t="s">
        <v>25</v>
      </c>
      <c r="B1515" t="s">
        <v>26</v>
      </c>
      <c r="C1515" t="s">
        <v>55</v>
      </c>
      <c r="D1515" s="1">
        <v>44156</v>
      </c>
      <c r="E1515" s="2">
        <v>0.66666666666666663</v>
      </c>
      <c r="F1515" t="s">
        <v>45</v>
      </c>
      <c r="G1515" t="s">
        <v>39</v>
      </c>
      <c r="H1515">
        <v>0</v>
      </c>
      <c r="I1515">
        <v>2</v>
      </c>
      <c r="J1515" t="s">
        <v>30</v>
      </c>
      <c r="K1515">
        <v>335</v>
      </c>
      <c r="L1515">
        <v>405</v>
      </c>
      <c r="M1515">
        <v>207</v>
      </c>
      <c r="N1515">
        <v>342</v>
      </c>
      <c r="O1515">
        <v>405</v>
      </c>
      <c r="P1515">
        <v>219</v>
      </c>
      <c r="Q1515">
        <v>318</v>
      </c>
      <c r="R1515">
        <v>372</v>
      </c>
      <c r="S1515">
        <v>207</v>
      </c>
      <c r="T1515" t="s">
        <v>31</v>
      </c>
      <c r="U1515" t="s">
        <v>31</v>
      </c>
      <c r="V1515" t="s">
        <v>31</v>
      </c>
      <c r="W1515" t="s">
        <v>31</v>
      </c>
      <c r="X1515" t="s">
        <v>31</v>
      </c>
      <c r="Y1515" t="s">
        <v>31</v>
      </c>
    </row>
    <row r="1516" spans="1:25" hidden="1">
      <c r="A1516" t="s">
        <v>25</v>
      </c>
      <c r="B1516" t="s">
        <v>26</v>
      </c>
      <c r="C1516" t="s">
        <v>55</v>
      </c>
      <c r="D1516" s="1">
        <v>44156</v>
      </c>
      <c r="E1516" s="2">
        <v>0.66666666666666663</v>
      </c>
      <c r="F1516" t="s">
        <v>52</v>
      </c>
      <c r="G1516" t="s">
        <v>50</v>
      </c>
      <c r="H1516">
        <v>1</v>
      </c>
      <c r="I1516">
        <v>1</v>
      </c>
      <c r="J1516" t="s">
        <v>41</v>
      </c>
      <c r="K1516">
        <v>935</v>
      </c>
      <c r="L1516">
        <v>614</v>
      </c>
      <c r="M1516">
        <v>13</v>
      </c>
      <c r="N1516">
        <v>935</v>
      </c>
      <c r="O1516">
        <v>614</v>
      </c>
      <c r="P1516">
        <v>135</v>
      </c>
      <c r="Q1516">
        <v>842</v>
      </c>
      <c r="R1516">
        <v>565</v>
      </c>
      <c r="S1516">
        <v>13</v>
      </c>
      <c r="T1516" t="s">
        <v>31</v>
      </c>
      <c r="U1516" t="s">
        <v>31</v>
      </c>
      <c r="V1516" t="s">
        <v>31</v>
      </c>
      <c r="W1516" t="s">
        <v>31</v>
      </c>
      <c r="X1516" t="s">
        <v>31</v>
      </c>
      <c r="Y1516" t="s">
        <v>31</v>
      </c>
    </row>
    <row r="1517" spans="1:25" hidden="1">
      <c r="A1517" t="s">
        <v>25</v>
      </c>
      <c r="B1517" t="s">
        <v>26</v>
      </c>
      <c r="C1517" t="s">
        <v>55</v>
      </c>
      <c r="D1517" s="1">
        <v>44156</v>
      </c>
      <c r="E1517" s="2">
        <v>0.66666666666666663</v>
      </c>
      <c r="F1517" t="s">
        <v>29</v>
      </c>
      <c r="G1517" t="s">
        <v>28</v>
      </c>
      <c r="H1517">
        <v>1</v>
      </c>
      <c r="I1517">
        <v>3</v>
      </c>
      <c r="J1517" t="s">
        <v>30</v>
      </c>
      <c r="K1517">
        <v>127</v>
      </c>
      <c r="L1517">
        <v>628</v>
      </c>
      <c r="M1517">
        <v>1119</v>
      </c>
      <c r="N1517">
        <v>129</v>
      </c>
      <c r="O1517">
        <v>7</v>
      </c>
      <c r="P1517">
        <v>1124</v>
      </c>
      <c r="Q1517">
        <v>125</v>
      </c>
      <c r="R1517">
        <v>597</v>
      </c>
      <c r="S1517">
        <v>976</v>
      </c>
      <c r="T1517" t="s">
        <v>31</v>
      </c>
      <c r="U1517" t="s">
        <v>31</v>
      </c>
      <c r="V1517" t="s">
        <v>31</v>
      </c>
      <c r="W1517" t="s">
        <v>31</v>
      </c>
      <c r="X1517" t="s">
        <v>31</v>
      </c>
      <c r="Y1517" t="s">
        <v>31</v>
      </c>
    </row>
    <row r="1518" spans="1:25" hidden="1">
      <c r="A1518" t="s">
        <v>25</v>
      </c>
      <c r="B1518" t="s">
        <v>26</v>
      </c>
      <c r="C1518" t="s">
        <v>55</v>
      </c>
      <c r="D1518" s="1">
        <v>44157</v>
      </c>
      <c r="E1518" s="2">
        <v>0.5625</v>
      </c>
      <c r="F1518" t="s">
        <v>40</v>
      </c>
      <c r="G1518" t="s">
        <v>48</v>
      </c>
      <c r="H1518">
        <v>1</v>
      </c>
      <c r="I1518">
        <v>1</v>
      </c>
      <c r="J1518" t="s">
        <v>41</v>
      </c>
      <c r="K1518">
        <v>19</v>
      </c>
      <c r="L1518">
        <v>391</v>
      </c>
      <c r="M1518">
        <v>404</v>
      </c>
      <c r="N1518">
        <v>198</v>
      </c>
      <c r="O1518">
        <v>395</v>
      </c>
      <c r="P1518">
        <v>404</v>
      </c>
      <c r="Q1518">
        <v>188</v>
      </c>
      <c r="R1518">
        <v>371</v>
      </c>
      <c r="S1518">
        <v>378</v>
      </c>
      <c r="T1518" t="s">
        <v>31</v>
      </c>
      <c r="U1518" t="s">
        <v>31</v>
      </c>
      <c r="V1518" t="s">
        <v>31</v>
      </c>
      <c r="W1518" t="s">
        <v>31</v>
      </c>
      <c r="X1518" t="s">
        <v>31</v>
      </c>
      <c r="Y1518" t="s">
        <v>31</v>
      </c>
    </row>
    <row r="1519" spans="1:25" hidden="1">
      <c r="A1519" t="s">
        <v>25</v>
      </c>
      <c r="B1519" t="s">
        <v>26</v>
      </c>
      <c r="C1519" t="s">
        <v>55</v>
      </c>
      <c r="D1519" s="1">
        <v>44157</v>
      </c>
      <c r="E1519" s="2">
        <v>0.5625</v>
      </c>
      <c r="F1519" t="s">
        <v>54</v>
      </c>
      <c r="G1519" t="s">
        <v>37</v>
      </c>
      <c r="H1519">
        <v>3</v>
      </c>
      <c r="I1519">
        <v>0</v>
      </c>
      <c r="J1519" t="s">
        <v>34</v>
      </c>
      <c r="K1519">
        <v>17</v>
      </c>
      <c r="L1519">
        <v>427</v>
      </c>
      <c r="M1519">
        <v>482</v>
      </c>
      <c r="N1519">
        <v>174</v>
      </c>
      <c r="O1519">
        <v>427</v>
      </c>
      <c r="P1519">
        <v>525</v>
      </c>
      <c r="Q1519">
        <v>169</v>
      </c>
      <c r="R1519">
        <v>397</v>
      </c>
      <c r="S1519">
        <v>451</v>
      </c>
      <c r="T1519" t="s">
        <v>31</v>
      </c>
      <c r="U1519" t="s">
        <v>31</v>
      </c>
      <c r="V1519" t="s">
        <v>31</v>
      </c>
      <c r="W1519" t="s">
        <v>31</v>
      </c>
      <c r="X1519" t="s">
        <v>31</v>
      </c>
      <c r="Y1519" t="s">
        <v>31</v>
      </c>
    </row>
    <row r="1520" spans="1:25" hidden="1">
      <c r="A1520" t="s">
        <v>25</v>
      </c>
      <c r="B1520" t="s">
        <v>26</v>
      </c>
      <c r="C1520" t="s">
        <v>55</v>
      </c>
      <c r="D1520" s="1">
        <v>44157</v>
      </c>
      <c r="E1520" s="2">
        <v>0.66666666666666663</v>
      </c>
      <c r="F1520" t="s">
        <v>38</v>
      </c>
      <c r="G1520" t="s">
        <v>35</v>
      </c>
      <c r="H1520">
        <v>4</v>
      </c>
      <c r="I1520">
        <v>3</v>
      </c>
      <c r="J1520" t="s">
        <v>34</v>
      </c>
      <c r="K1520">
        <v>747</v>
      </c>
      <c r="L1520">
        <v>614</v>
      </c>
      <c r="M1520">
        <v>135</v>
      </c>
      <c r="N1520">
        <v>9</v>
      </c>
      <c r="O1520">
        <v>614</v>
      </c>
      <c r="P1520">
        <v>136</v>
      </c>
      <c r="Q1520">
        <v>784</v>
      </c>
      <c r="R1520">
        <v>572</v>
      </c>
      <c r="S1520">
        <v>131</v>
      </c>
      <c r="T1520" t="s">
        <v>31</v>
      </c>
      <c r="U1520" t="s">
        <v>31</v>
      </c>
      <c r="V1520" t="s">
        <v>31</v>
      </c>
      <c r="W1520" t="s">
        <v>31</v>
      </c>
      <c r="X1520" t="s">
        <v>31</v>
      </c>
      <c r="Y1520" t="s">
        <v>31</v>
      </c>
    </row>
    <row r="1521" spans="1:25" hidden="1">
      <c r="A1521" t="s">
        <v>25</v>
      </c>
      <c r="B1521" t="s">
        <v>26</v>
      </c>
      <c r="C1521" t="s">
        <v>55</v>
      </c>
      <c r="D1521" s="1">
        <v>44163</v>
      </c>
      <c r="E1521" s="2">
        <v>0.66666666666666663</v>
      </c>
      <c r="F1521" t="s">
        <v>37</v>
      </c>
      <c r="G1521" t="s">
        <v>52</v>
      </c>
      <c r="H1521">
        <v>2</v>
      </c>
      <c r="I1521">
        <v>3</v>
      </c>
      <c r="J1521" t="s">
        <v>30</v>
      </c>
      <c r="K1521">
        <v>286</v>
      </c>
      <c r="L1521">
        <v>378</v>
      </c>
      <c r="M1521">
        <v>242</v>
      </c>
      <c r="N1521">
        <v>296</v>
      </c>
      <c r="O1521">
        <v>382</v>
      </c>
      <c r="P1521">
        <v>242</v>
      </c>
      <c r="Q1521">
        <v>276</v>
      </c>
      <c r="R1521">
        <v>36</v>
      </c>
      <c r="S1521">
        <v>235</v>
      </c>
      <c r="T1521" t="s">
        <v>31</v>
      </c>
      <c r="U1521" t="s">
        <v>31</v>
      </c>
      <c r="V1521" t="s">
        <v>31</v>
      </c>
      <c r="W1521" t="s">
        <v>31</v>
      </c>
      <c r="X1521" t="s">
        <v>31</v>
      </c>
      <c r="Y1521" t="s">
        <v>31</v>
      </c>
    </row>
    <row r="1522" spans="1:25" hidden="1">
      <c r="A1522" t="s">
        <v>25</v>
      </c>
      <c r="B1522" t="s">
        <v>26</v>
      </c>
      <c r="C1522" t="s">
        <v>55</v>
      </c>
      <c r="D1522" s="1">
        <v>44163</v>
      </c>
      <c r="E1522" s="2">
        <v>0.66666666666666663</v>
      </c>
      <c r="F1522" t="s">
        <v>48</v>
      </c>
      <c r="G1522" t="s">
        <v>29</v>
      </c>
      <c r="H1522">
        <v>2</v>
      </c>
      <c r="I1522">
        <v>8</v>
      </c>
      <c r="J1522" t="s">
        <v>30</v>
      </c>
      <c r="K1522">
        <v>1362</v>
      </c>
      <c r="L1522">
        <v>825</v>
      </c>
      <c r="M1522">
        <v>119</v>
      </c>
      <c r="N1522">
        <v>15</v>
      </c>
      <c r="O1522">
        <v>87</v>
      </c>
      <c r="P1522">
        <v>12</v>
      </c>
      <c r="Q1522">
        <v>1223</v>
      </c>
      <c r="R1522">
        <v>765</v>
      </c>
      <c r="S1522">
        <v>117</v>
      </c>
      <c r="T1522" t="s">
        <v>31</v>
      </c>
      <c r="U1522" t="s">
        <v>31</v>
      </c>
      <c r="V1522" t="s">
        <v>31</v>
      </c>
      <c r="W1522" t="s">
        <v>31</v>
      </c>
      <c r="X1522" t="s">
        <v>31</v>
      </c>
      <c r="Y1522" t="s">
        <v>31</v>
      </c>
    </row>
    <row r="1523" spans="1:25" hidden="1">
      <c r="A1523" t="s">
        <v>25</v>
      </c>
      <c r="B1523" t="s">
        <v>26</v>
      </c>
      <c r="C1523" t="s">
        <v>55</v>
      </c>
      <c r="D1523" s="1">
        <v>44163</v>
      </c>
      <c r="E1523" s="2">
        <v>0.66666666666666663</v>
      </c>
      <c r="F1523" t="s">
        <v>28</v>
      </c>
      <c r="G1523" t="s">
        <v>54</v>
      </c>
      <c r="H1523">
        <v>1</v>
      </c>
      <c r="I1523">
        <v>0</v>
      </c>
      <c r="J1523" t="s">
        <v>34</v>
      </c>
      <c r="K1523">
        <v>18</v>
      </c>
      <c r="L1523">
        <v>399</v>
      </c>
      <c r="M1523">
        <v>445</v>
      </c>
      <c r="N1523">
        <v>195</v>
      </c>
      <c r="O1523">
        <v>4</v>
      </c>
      <c r="P1523">
        <v>45</v>
      </c>
      <c r="Q1523">
        <v>179</v>
      </c>
      <c r="R1523">
        <v>378</v>
      </c>
      <c r="S1523">
        <v>412</v>
      </c>
      <c r="T1523" t="s">
        <v>31</v>
      </c>
      <c r="U1523" t="s">
        <v>31</v>
      </c>
      <c r="V1523" t="s">
        <v>31</v>
      </c>
      <c r="W1523" t="s">
        <v>31</v>
      </c>
      <c r="X1523" t="s">
        <v>31</v>
      </c>
      <c r="Y1523" t="s">
        <v>31</v>
      </c>
    </row>
    <row r="1524" spans="1:25" hidden="1">
      <c r="A1524" t="s">
        <v>25</v>
      </c>
      <c r="B1524" t="s">
        <v>26</v>
      </c>
      <c r="C1524" t="s">
        <v>55</v>
      </c>
      <c r="D1524" s="1">
        <v>44164</v>
      </c>
      <c r="E1524" s="2">
        <v>0.5625</v>
      </c>
      <c r="F1524" t="s">
        <v>50</v>
      </c>
      <c r="G1524" t="s">
        <v>45</v>
      </c>
      <c r="H1524">
        <v>3</v>
      </c>
      <c r="I1524">
        <v>0</v>
      </c>
      <c r="J1524" t="s">
        <v>34</v>
      </c>
      <c r="K1524">
        <v>123</v>
      </c>
      <c r="L1524">
        <v>694</v>
      </c>
      <c r="M1524">
        <v>1204</v>
      </c>
      <c r="N1524">
        <v>128</v>
      </c>
      <c r="O1524">
        <v>694</v>
      </c>
      <c r="P1524">
        <v>1244</v>
      </c>
      <c r="Q1524">
        <v>124</v>
      </c>
      <c r="R1524">
        <v>625</v>
      </c>
      <c r="S1524">
        <v>1042</v>
      </c>
      <c r="T1524" t="s">
        <v>31</v>
      </c>
      <c r="U1524" t="s">
        <v>31</v>
      </c>
      <c r="V1524" t="s">
        <v>31</v>
      </c>
      <c r="W1524" t="s">
        <v>31</v>
      </c>
      <c r="X1524" t="s">
        <v>31</v>
      </c>
      <c r="Y1524" t="s">
        <v>31</v>
      </c>
    </row>
    <row r="1525" spans="1:25" hidden="1">
      <c r="A1525" t="s">
        <v>25</v>
      </c>
      <c r="B1525" t="s">
        <v>26</v>
      </c>
      <c r="C1525" t="s">
        <v>55</v>
      </c>
      <c r="D1525" s="1">
        <v>44164</v>
      </c>
      <c r="E1525" s="2">
        <v>0.5625</v>
      </c>
      <c r="F1525" t="s">
        <v>39</v>
      </c>
      <c r="G1525" t="s">
        <v>38</v>
      </c>
      <c r="H1525">
        <v>1</v>
      </c>
      <c r="I1525">
        <v>1</v>
      </c>
      <c r="J1525" t="s">
        <v>41</v>
      </c>
      <c r="K1525">
        <v>167</v>
      </c>
      <c r="L1525">
        <v>448</v>
      </c>
      <c r="M1525">
        <v>481</v>
      </c>
      <c r="N1525">
        <v>17</v>
      </c>
      <c r="O1525">
        <v>478</v>
      </c>
      <c r="P1525">
        <v>553</v>
      </c>
      <c r="Q1525">
        <v>163</v>
      </c>
      <c r="R1525">
        <v>422</v>
      </c>
      <c r="S1525">
        <v>464</v>
      </c>
      <c r="T1525" t="s">
        <v>31</v>
      </c>
      <c r="U1525" t="s">
        <v>31</v>
      </c>
      <c r="V1525" t="s">
        <v>31</v>
      </c>
      <c r="W1525" t="s">
        <v>31</v>
      </c>
      <c r="X1525" t="s">
        <v>31</v>
      </c>
      <c r="Y1525" t="s">
        <v>31</v>
      </c>
    </row>
    <row r="1526" spans="1:25" hidden="1">
      <c r="A1526" t="s">
        <v>25</v>
      </c>
      <c r="B1526" t="s">
        <v>26</v>
      </c>
      <c r="C1526" t="s">
        <v>55</v>
      </c>
      <c r="D1526" s="1">
        <v>44164</v>
      </c>
      <c r="E1526" s="2">
        <v>0.66666666666666663</v>
      </c>
      <c r="F1526" t="s">
        <v>35</v>
      </c>
      <c r="G1526" t="s">
        <v>40</v>
      </c>
      <c r="H1526">
        <v>1</v>
      </c>
      <c r="I1526">
        <v>1</v>
      </c>
      <c r="J1526" t="s">
        <v>41</v>
      </c>
      <c r="K1526">
        <v>166</v>
      </c>
      <c r="L1526">
        <v>477</v>
      </c>
      <c r="M1526">
        <v>454</v>
      </c>
      <c r="N1526">
        <v>173</v>
      </c>
      <c r="O1526">
        <v>477</v>
      </c>
      <c r="P1526">
        <v>478</v>
      </c>
      <c r="Q1526">
        <v>164</v>
      </c>
      <c r="R1526">
        <v>433</v>
      </c>
      <c r="S1526">
        <v>447</v>
      </c>
      <c r="T1526" t="s">
        <v>31</v>
      </c>
      <c r="U1526" t="s">
        <v>31</v>
      </c>
      <c r="V1526" t="s">
        <v>31</v>
      </c>
      <c r="W1526" t="s">
        <v>31</v>
      </c>
      <c r="X1526" t="s">
        <v>31</v>
      </c>
      <c r="Y1526" t="s">
        <v>31</v>
      </c>
    </row>
    <row r="1527" spans="1:25" hidden="1">
      <c r="A1527" t="s">
        <v>25</v>
      </c>
      <c r="B1527" t="s">
        <v>26</v>
      </c>
      <c r="C1527" t="s">
        <v>55</v>
      </c>
      <c r="D1527" s="1">
        <v>44170</v>
      </c>
      <c r="E1527" s="2">
        <v>0.66666666666666663</v>
      </c>
      <c r="F1527" t="s">
        <v>37</v>
      </c>
      <c r="G1527" t="s">
        <v>29</v>
      </c>
      <c r="H1527">
        <v>1</v>
      </c>
      <c r="I1527">
        <v>0</v>
      </c>
      <c r="J1527" t="s">
        <v>34</v>
      </c>
      <c r="K1527">
        <v>202</v>
      </c>
      <c r="L1527">
        <v>1068</v>
      </c>
      <c r="M1527">
        <v>112</v>
      </c>
      <c r="N1527">
        <v>23</v>
      </c>
      <c r="O1527">
        <v>11</v>
      </c>
      <c r="P1527">
        <v>117</v>
      </c>
      <c r="Q1527">
        <v>1783</v>
      </c>
      <c r="R1527">
        <v>961</v>
      </c>
      <c r="S1527">
        <v>111</v>
      </c>
      <c r="T1527" t="s">
        <v>31</v>
      </c>
      <c r="U1527" t="s">
        <v>31</v>
      </c>
      <c r="V1527" t="s">
        <v>31</v>
      </c>
      <c r="W1527" t="s">
        <v>31</v>
      </c>
      <c r="X1527" t="s">
        <v>31</v>
      </c>
      <c r="Y1527" t="s">
        <v>31</v>
      </c>
    </row>
    <row r="1528" spans="1:25" hidden="1">
      <c r="A1528" t="s">
        <v>25</v>
      </c>
      <c r="B1528" t="s">
        <v>26</v>
      </c>
      <c r="C1528" t="s">
        <v>55</v>
      </c>
      <c r="D1528" s="1">
        <v>44170</v>
      </c>
      <c r="E1528" s="2">
        <v>0.66666666666666663</v>
      </c>
      <c r="F1528" t="s">
        <v>45</v>
      </c>
      <c r="G1528" t="s">
        <v>48</v>
      </c>
      <c r="H1528">
        <v>0</v>
      </c>
      <c r="I1528">
        <v>4</v>
      </c>
      <c r="J1528" t="s">
        <v>30</v>
      </c>
      <c r="K1528">
        <v>269</v>
      </c>
      <c r="L1528">
        <v>377</v>
      </c>
      <c r="M1528">
        <v>256</v>
      </c>
      <c r="N1528">
        <v>275</v>
      </c>
      <c r="O1528">
        <v>377</v>
      </c>
      <c r="P1528">
        <v>263</v>
      </c>
      <c r="Q1528">
        <v>265</v>
      </c>
      <c r="R1528">
        <v>353</v>
      </c>
      <c r="S1528">
        <v>246</v>
      </c>
      <c r="T1528" t="s">
        <v>31</v>
      </c>
      <c r="U1528" t="s">
        <v>31</v>
      </c>
      <c r="V1528" t="s">
        <v>31</v>
      </c>
      <c r="W1528" t="s">
        <v>31</v>
      </c>
      <c r="X1528" t="s">
        <v>31</v>
      </c>
      <c r="Y1528" t="s">
        <v>31</v>
      </c>
    </row>
    <row r="1529" spans="1:25" hidden="1">
      <c r="A1529" t="s">
        <v>25</v>
      </c>
      <c r="B1529" t="s">
        <v>26</v>
      </c>
      <c r="C1529" t="s">
        <v>55</v>
      </c>
      <c r="D1529" s="1">
        <v>44170</v>
      </c>
      <c r="E1529" s="2">
        <v>0.66666666666666663</v>
      </c>
      <c r="F1529" t="s">
        <v>40</v>
      </c>
      <c r="G1529" t="s">
        <v>28</v>
      </c>
      <c r="H1529">
        <v>0</v>
      </c>
      <c r="I1529">
        <v>4</v>
      </c>
      <c r="J1529" t="s">
        <v>30</v>
      </c>
      <c r="K1529">
        <v>361</v>
      </c>
      <c r="L1529">
        <v>36</v>
      </c>
      <c r="M1529">
        <v>211</v>
      </c>
      <c r="N1529">
        <v>363</v>
      </c>
      <c r="O1529">
        <v>364</v>
      </c>
      <c r="P1529">
        <v>224</v>
      </c>
      <c r="Q1529">
        <v>334</v>
      </c>
      <c r="R1529">
        <v>346</v>
      </c>
      <c r="S1529">
        <v>209</v>
      </c>
      <c r="T1529" t="s">
        <v>31</v>
      </c>
      <c r="U1529" t="s">
        <v>31</v>
      </c>
      <c r="V1529" t="s">
        <v>31</v>
      </c>
      <c r="W1529" t="s">
        <v>31</v>
      </c>
      <c r="X1529" t="s">
        <v>31</v>
      </c>
      <c r="Y1529" t="s">
        <v>31</v>
      </c>
    </row>
    <row r="1530" spans="1:25" hidden="1">
      <c r="A1530" t="s">
        <v>25</v>
      </c>
      <c r="B1530" t="s">
        <v>26</v>
      </c>
      <c r="C1530" t="s">
        <v>55</v>
      </c>
      <c r="D1530" s="1">
        <v>44171</v>
      </c>
      <c r="E1530" s="2">
        <v>0.5625</v>
      </c>
      <c r="F1530" t="s">
        <v>52</v>
      </c>
      <c r="G1530" t="s">
        <v>35</v>
      </c>
      <c r="H1530">
        <v>1</v>
      </c>
      <c r="I1530">
        <v>3</v>
      </c>
      <c r="J1530" t="s">
        <v>30</v>
      </c>
      <c r="K1530">
        <v>563</v>
      </c>
      <c r="L1530">
        <v>527</v>
      </c>
      <c r="M1530">
        <v>151</v>
      </c>
      <c r="N1530">
        <v>62</v>
      </c>
      <c r="O1530">
        <v>528</v>
      </c>
      <c r="P1530">
        <v>156</v>
      </c>
      <c r="Q1530">
        <v>568</v>
      </c>
      <c r="R1530">
        <v>494</v>
      </c>
      <c r="S1530">
        <v>145</v>
      </c>
      <c r="T1530" t="s">
        <v>31</v>
      </c>
      <c r="U1530" t="s">
        <v>31</v>
      </c>
      <c r="V1530" t="s">
        <v>31</v>
      </c>
      <c r="W1530" t="s">
        <v>31</v>
      </c>
      <c r="X1530" t="s">
        <v>31</v>
      </c>
      <c r="Y1530" t="s">
        <v>31</v>
      </c>
    </row>
    <row r="1531" spans="1:25" hidden="1">
      <c r="A1531" t="s">
        <v>25</v>
      </c>
      <c r="B1531" t="s">
        <v>26</v>
      </c>
      <c r="C1531" t="s">
        <v>55</v>
      </c>
      <c r="D1531" s="1">
        <v>44171</v>
      </c>
      <c r="E1531" s="2">
        <v>0.5625</v>
      </c>
      <c r="F1531" t="s">
        <v>54</v>
      </c>
      <c r="G1531" t="s">
        <v>39</v>
      </c>
      <c r="H1531">
        <v>4</v>
      </c>
      <c r="I1531">
        <v>1</v>
      </c>
      <c r="J1531" t="s">
        <v>34</v>
      </c>
      <c r="K1531">
        <v>274</v>
      </c>
      <c r="L1531">
        <v>377</v>
      </c>
      <c r="M1531">
        <v>251</v>
      </c>
      <c r="N1531">
        <v>284</v>
      </c>
      <c r="O1531">
        <v>377</v>
      </c>
      <c r="P1531">
        <v>257</v>
      </c>
      <c r="Q1531">
        <v>266</v>
      </c>
      <c r="R1531">
        <v>355</v>
      </c>
      <c r="S1531">
        <v>244</v>
      </c>
      <c r="T1531" t="s">
        <v>31</v>
      </c>
      <c r="U1531" t="s">
        <v>31</v>
      </c>
      <c r="V1531" t="s">
        <v>31</v>
      </c>
      <c r="W1531" t="s">
        <v>31</v>
      </c>
      <c r="X1531" t="s">
        <v>31</v>
      </c>
      <c r="Y1531" t="s">
        <v>31</v>
      </c>
    </row>
    <row r="1532" spans="1:25" hidden="1">
      <c r="A1532" t="s">
        <v>25</v>
      </c>
      <c r="B1532" t="s">
        <v>26</v>
      </c>
      <c r="C1532" t="s">
        <v>55</v>
      </c>
      <c r="D1532" s="1">
        <v>44171</v>
      </c>
      <c r="E1532" s="2">
        <v>0.66666666666666663</v>
      </c>
      <c r="F1532" t="s">
        <v>50</v>
      </c>
      <c r="G1532" t="s">
        <v>38</v>
      </c>
      <c r="H1532">
        <v>3</v>
      </c>
      <c r="I1532">
        <v>0</v>
      </c>
      <c r="J1532" t="s">
        <v>34</v>
      </c>
      <c r="K1532">
        <v>12</v>
      </c>
      <c r="L1532">
        <v>774</v>
      </c>
      <c r="M1532">
        <v>1304</v>
      </c>
      <c r="N1532">
        <v>122</v>
      </c>
      <c r="O1532">
        <v>777</v>
      </c>
      <c r="P1532">
        <v>15</v>
      </c>
      <c r="Q1532">
        <v>118</v>
      </c>
      <c r="R1532">
        <v>714</v>
      </c>
      <c r="S1532">
        <v>1242</v>
      </c>
      <c r="T1532" t="s">
        <v>31</v>
      </c>
      <c r="U1532" t="s">
        <v>31</v>
      </c>
      <c r="V1532" t="s">
        <v>31</v>
      </c>
      <c r="W1532" t="s">
        <v>31</v>
      </c>
      <c r="X1532" t="s">
        <v>31</v>
      </c>
      <c r="Y1532" t="s">
        <v>31</v>
      </c>
    </row>
    <row r="1533" spans="1:25" hidden="1">
      <c r="A1533" t="s">
        <v>25</v>
      </c>
      <c r="B1533" t="s">
        <v>26</v>
      </c>
      <c r="C1533" t="s">
        <v>55</v>
      </c>
      <c r="D1533" s="1">
        <v>44177</v>
      </c>
      <c r="E1533" s="2">
        <v>0.66666666666666663</v>
      </c>
      <c r="F1533" t="s">
        <v>38</v>
      </c>
      <c r="G1533" t="s">
        <v>45</v>
      </c>
      <c r="H1533">
        <v>1</v>
      </c>
      <c r="I1533">
        <v>4</v>
      </c>
      <c r="J1533" t="s">
        <v>30</v>
      </c>
      <c r="K1533">
        <v>224</v>
      </c>
      <c r="L1533">
        <v>392</v>
      </c>
      <c r="M1533">
        <v>306</v>
      </c>
      <c r="N1533">
        <v>229</v>
      </c>
      <c r="O1533">
        <v>392</v>
      </c>
      <c r="P1533">
        <v>316</v>
      </c>
      <c r="Q1533">
        <v>218</v>
      </c>
      <c r="R1533">
        <v>365</v>
      </c>
      <c r="S1533">
        <v>299</v>
      </c>
      <c r="T1533" t="s">
        <v>31</v>
      </c>
      <c r="U1533" t="s">
        <v>31</v>
      </c>
      <c r="V1533" t="s">
        <v>31</v>
      </c>
      <c r="W1533" t="s">
        <v>31</v>
      </c>
      <c r="X1533" t="s">
        <v>31</v>
      </c>
      <c r="Y1533" t="s">
        <v>31</v>
      </c>
    </row>
    <row r="1534" spans="1:25" hidden="1">
      <c r="A1534" t="s">
        <v>25</v>
      </c>
      <c r="B1534" t="s">
        <v>26</v>
      </c>
      <c r="C1534" t="s">
        <v>55</v>
      </c>
      <c r="D1534" s="1">
        <v>44177</v>
      </c>
      <c r="E1534" s="2">
        <v>0.66666666666666663</v>
      </c>
      <c r="F1534" t="s">
        <v>48</v>
      </c>
      <c r="G1534" t="s">
        <v>52</v>
      </c>
      <c r="H1534">
        <v>2</v>
      </c>
      <c r="I1534">
        <v>2</v>
      </c>
      <c r="J1534" t="s">
        <v>41</v>
      </c>
      <c r="K1534">
        <v>208</v>
      </c>
      <c r="L1534">
        <v>407</v>
      </c>
      <c r="M1534">
        <v>312</v>
      </c>
      <c r="N1534">
        <v>217</v>
      </c>
      <c r="O1534">
        <v>41</v>
      </c>
      <c r="P1534">
        <v>33</v>
      </c>
      <c r="Q1534">
        <v>206</v>
      </c>
      <c r="R1534">
        <v>391</v>
      </c>
      <c r="S1534">
        <v>308</v>
      </c>
      <c r="T1534" t="s">
        <v>31</v>
      </c>
      <c r="U1534" t="s">
        <v>31</v>
      </c>
      <c r="V1534" t="s">
        <v>31</v>
      </c>
      <c r="W1534" t="s">
        <v>31</v>
      </c>
      <c r="X1534" t="s">
        <v>31</v>
      </c>
      <c r="Y1534" t="s">
        <v>31</v>
      </c>
    </row>
    <row r="1535" spans="1:25" hidden="1">
      <c r="A1535" t="s">
        <v>25</v>
      </c>
      <c r="B1535" t="s">
        <v>26</v>
      </c>
      <c r="C1535" t="s">
        <v>55</v>
      </c>
      <c r="D1535" s="1">
        <v>44177</v>
      </c>
      <c r="E1535" s="2">
        <v>0.66666666666666663</v>
      </c>
      <c r="F1535" t="s">
        <v>28</v>
      </c>
      <c r="G1535" t="s">
        <v>37</v>
      </c>
      <c r="H1535">
        <v>3</v>
      </c>
      <c r="I1535">
        <v>0</v>
      </c>
      <c r="J1535" t="s">
        <v>34</v>
      </c>
      <c r="K1535">
        <v>145</v>
      </c>
      <c r="L1535">
        <v>457</v>
      </c>
      <c r="M1535">
        <v>794</v>
      </c>
      <c r="N1535">
        <v>147</v>
      </c>
      <c r="O1535">
        <v>5</v>
      </c>
      <c r="P1535">
        <v>8</v>
      </c>
      <c r="Q1535">
        <v>141</v>
      </c>
      <c r="R1535">
        <v>453</v>
      </c>
      <c r="S1535">
        <v>715</v>
      </c>
      <c r="T1535" t="s">
        <v>31</v>
      </c>
      <c r="U1535" t="s">
        <v>31</v>
      </c>
      <c r="V1535" t="s">
        <v>31</v>
      </c>
      <c r="W1535" t="s">
        <v>31</v>
      </c>
      <c r="X1535" t="s">
        <v>31</v>
      </c>
      <c r="Y1535" t="s">
        <v>31</v>
      </c>
    </row>
    <row r="1536" spans="1:25" hidden="1">
      <c r="A1536" t="s">
        <v>25</v>
      </c>
      <c r="B1536" t="s">
        <v>26</v>
      </c>
      <c r="C1536" t="s">
        <v>55</v>
      </c>
      <c r="D1536" s="1">
        <v>44178</v>
      </c>
      <c r="E1536" s="2">
        <v>0.5625</v>
      </c>
      <c r="F1536" t="s">
        <v>35</v>
      </c>
      <c r="G1536" t="s">
        <v>54</v>
      </c>
      <c r="H1536">
        <v>0</v>
      </c>
      <c r="I1536">
        <v>3</v>
      </c>
      <c r="J1536" t="s">
        <v>30</v>
      </c>
      <c r="K1536">
        <v>167</v>
      </c>
      <c r="L1536">
        <v>455</v>
      </c>
      <c r="M1536">
        <v>469</v>
      </c>
      <c r="N1536">
        <v>17</v>
      </c>
      <c r="O1536">
        <v>461</v>
      </c>
      <c r="P1536">
        <v>5</v>
      </c>
      <c r="Q1536">
        <v>163</v>
      </c>
      <c r="R1536">
        <v>433</v>
      </c>
      <c r="S1536">
        <v>447</v>
      </c>
      <c r="T1536" t="s">
        <v>31</v>
      </c>
      <c r="U1536" t="s">
        <v>31</v>
      </c>
      <c r="V1536" t="s">
        <v>31</v>
      </c>
      <c r="W1536" t="s">
        <v>31</v>
      </c>
      <c r="X1536" t="s">
        <v>31</v>
      </c>
      <c r="Y1536" t="s">
        <v>31</v>
      </c>
    </row>
    <row r="1537" spans="1:25" hidden="1">
      <c r="A1537" t="s">
        <v>25</v>
      </c>
      <c r="B1537" t="s">
        <v>26</v>
      </c>
      <c r="C1537" t="s">
        <v>55</v>
      </c>
      <c r="D1537" s="1">
        <v>44178</v>
      </c>
      <c r="E1537" s="2">
        <v>0.5625</v>
      </c>
      <c r="F1537" t="s">
        <v>39</v>
      </c>
      <c r="G1537" t="s">
        <v>40</v>
      </c>
      <c r="H1537">
        <v>3</v>
      </c>
      <c r="I1537">
        <v>2</v>
      </c>
      <c r="J1537" t="s">
        <v>34</v>
      </c>
      <c r="K1537">
        <v>199</v>
      </c>
      <c r="L1537">
        <v>379</v>
      </c>
      <c r="M1537">
        <v>381</v>
      </c>
      <c r="N1537">
        <v>207</v>
      </c>
      <c r="O1537">
        <v>383</v>
      </c>
      <c r="P1537">
        <v>39</v>
      </c>
      <c r="Q1537">
        <v>194</v>
      </c>
      <c r="R1537">
        <v>363</v>
      </c>
      <c r="S1537">
        <v>36</v>
      </c>
      <c r="T1537" t="s">
        <v>31</v>
      </c>
      <c r="U1537" t="s">
        <v>31</v>
      </c>
      <c r="V1537" t="s">
        <v>31</v>
      </c>
      <c r="W1537" t="s">
        <v>31</v>
      </c>
      <c r="X1537" t="s">
        <v>31</v>
      </c>
      <c r="Y1537" t="s">
        <v>31</v>
      </c>
    </row>
    <row r="1538" spans="1:25" hidden="1">
      <c r="A1538" t="s">
        <v>25</v>
      </c>
      <c r="B1538" t="s">
        <v>26</v>
      </c>
      <c r="C1538" t="s">
        <v>55</v>
      </c>
      <c r="D1538" s="1">
        <v>44178</v>
      </c>
      <c r="E1538" s="2">
        <v>0.66666666666666663</v>
      </c>
      <c r="F1538" t="s">
        <v>29</v>
      </c>
      <c r="G1538" t="s">
        <v>50</v>
      </c>
      <c r="H1538">
        <v>3</v>
      </c>
      <c r="I1538">
        <v>1</v>
      </c>
      <c r="J1538" t="s">
        <v>34</v>
      </c>
      <c r="K1538">
        <v>166</v>
      </c>
      <c r="L1538">
        <v>453</v>
      </c>
      <c r="M1538">
        <v>484</v>
      </c>
      <c r="N1538">
        <v>171</v>
      </c>
      <c r="O1538">
        <v>455</v>
      </c>
      <c r="P1538">
        <v>5</v>
      </c>
      <c r="Q1538">
        <v>162</v>
      </c>
      <c r="R1538">
        <v>428</v>
      </c>
      <c r="S1538">
        <v>46</v>
      </c>
      <c r="T1538" t="s">
        <v>31</v>
      </c>
      <c r="U1538" t="s">
        <v>31</v>
      </c>
      <c r="V1538" t="s">
        <v>31</v>
      </c>
      <c r="W1538" t="s">
        <v>31</v>
      </c>
      <c r="X1538" t="s">
        <v>31</v>
      </c>
      <c r="Y1538" t="s">
        <v>31</v>
      </c>
    </row>
    <row r="1539" spans="1:25" hidden="1">
      <c r="A1539" t="s">
        <v>25</v>
      </c>
      <c r="B1539" t="s">
        <v>26</v>
      </c>
      <c r="C1539" t="s">
        <v>55</v>
      </c>
      <c r="D1539" s="1">
        <v>44184</v>
      </c>
      <c r="E1539" s="2">
        <v>0.66666666666666663</v>
      </c>
      <c r="F1539" t="s">
        <v>37</v>
      </c>
      <c r="G1539" t="s">
        <v>35</v>
      </c>
      <c r="H1539">
        <v>0</v>
      </c>
      <c r="I1539">
        <v>1</v>
      </c>
      <c r="J1539" t="s">
        <v>30</v>
      </c>
      <c r="K1539">
        <v>656</v>
      </c>
      <c r="L1539">
        <v>532</v>
      </c>
      <c r="M1539">
        <v>144</v>
      </c>
      <c r="N1539">
        <v>664</v>
      </c>
      <c r="O1539">
        <v>532</v>
      </c>
      <c r="P1539">
        <v>148</v>
      </c>
      <c r="Q1539">
        <v>623</v>
      </c>
      <c r="R1539">
        <v>488</v>
      </c>
      <c r="S1539">
        <v>143</v>
      </c>
      <c r="T1539" t="s">
        <v>31</v>
      </c>
      <c r="U1539" t="s">
        <v>31</v>
      </c>
      <c r="V1539" t="s">
        <v>31</v>
      </c>
      <c r="W1539" t="s">
        <v>31</v>
      </c>
      <c r="X1539" t="s">
        <v>31</v>
      </c>
      <c r="Y1539" t="s">
        <v>31</v>
      </c>
    </row>
    <row r="1540" spans="1:25" hidden="1">
      <c r="A1540" t="s">
        <v>25</v>
      </c>
      <c r="B1540" t="s">
        <v>26</v>
      </c>
      <c r="C1540" t="s">
        <v>55</v>
      </c>
      <c r="D1540" s="1">
        <v>44184</v>
      </c>
      <c r="E1540" s="2">
        <v>0.66666666666666663</v>
      </c>
      <c r="F1540" t="s">
        <v>52</v>
      </c>
      <c r="G1540" t="s">
        <v>45</v>
      </c>
      <c r="H1540">
        <v>1</v>
      </c>
      <c r="I1540">
        <v>0</v>
      </c>
      <c r="J1540" t="s">
        <v>34</v>
      </c>
      <c r="K1540">
        <v>215</v>
      </c>
      <c r="L1540">
        <v>4</v>
      </c>
      <c r="M1540">
        <v>318</v>
      </c>
      <c r="N1540">
        <v>22</v>
      </c>
      <c r="O1540">
        <v>4</v>
      </c>
      <c r="P1540">
        <v>323</v>
      </c>
      <c r="Q1540">
        <v>21</v>
      </c>
      <c r="R1540">
        <v>376</v>
      </c>
      <c r="S1540">
        <v>309</v>
      </c>
      <c r="T1540" t="s">
        <v>31</v>
      </c>
      <c r="U1540" t="s">
        <v>31</v>
      </c>
      <c r="V1540" t="s">
        <v>31</v>
      </c>
      <c r="W1540" t="s">
        <v>31</v>
      </c>
      <c r="X1540" t="s">
        <v>31</v>
      </c>
      <c r="Y1540" t="s">
        <v>31</v>
      </c>
    </row>
    <row r="1541" spans="1:25" hidden="1">
      <c r="A1541" t="s">
        <v>25</v>
      </c>
      <c r="B1541" t="s">
        <v>26</v>
      </c>
      <c r="C1541" t="s">
        <v>55</v>
      </c>
      <c r="D1541" s="1">
        <v>44184</v>
      </c>
      <c r="E1541" s="2">
        <v>0.66666666666666663</v>
      </c>
      <c r="F1541" t="s">
        <v>28</v>
      </c>
      <c r="G1541" t="s">
        <v>48</v>
      </c>
      <c r="H1541">
        <v>3</v>
      </c>
      <c r="I1541">
        <v>0</v>
      </c>
      <c r="J1541" t="s">
        <v>34</v>
      </c>
      <c r="K1541">
        <v>155</v>
      </c>
      <c r="L1541">
        <v>487</v>
      </c>
      <c r="M1541">
        <v>552</v>
      </c>
      <c r="N1541">
        <v>16</v>
      </c>
      <c r="O1541">
        <v>487</v>
      </c>
      <c r="P1541">
        <v>6</v>
      </c>
      <c r="Q1541">
        <v>152</v>
      </c>
      <c r="R1541">
        <v>447</v>
      </c>
      <c r="S1541">
        <v>547</v>
      </c>
      <c r="T1541" t="s">
        <v>31</v>
      </c>
      <c r="U1541" t="s">
        <v>31</v>
      </c>
      <c r="V1541" t="s">
        <v>31</v>
      </c>
      <c r="W1541" t="s">
        <v>31</v>
      </c>
      <c r="X1541" t="s">
        <v>31</v>
      </c>
      <c r="Y1541" t="s">
        <v>31</v>
      </c>
    </row>
    <row r="1542" spans="1:25" hidden="1">
      <c r="A1542" t="s">
        <v>25</v>
      </c>
      <c r="B1542" t="s">
        <v>26</v>
      </c>
      <c r="C1542" t="s">
        <v>55</v>
      </c>
      <c r="D1542" s="1">
        <v>44185</v>
      </c>
      <c r="E1542" s="2">
        <v>0.5625</v>
      </c>
      <c r="F1542" t="s">
        <v>29</v>
      </c>
      <c r="G1542" t="s">
        <v>39</v>
      </c>
      <c r="H1542">
        <v>2</v>
      </c>
      <c r="I1542">
        <v>3</v>
      </c>
      <c r="J1542" t="s">
        <v>30</v>
      </c>
      <c r="K1542">
        <v>123</v>
      </c>
      <c r="L1542">
        <v>705</v>
      </c>
      <c r="M1542">
        <v>1191</v>
      </c>
      <c r="N1542">
        <v>126</v>
      </c>
      <c r="O1542">
        <v>725</v>
      </c>
      <c r="P1542">
        <v>12</v>
      </c>
      <c r="Q1542">
        <v>123</v>
      </c>
      <c r="R1542">
        <v>669</v>
      </c>
      <c r="S1542">
        <v>97</v>
      </c>
      <c r="T1542" t="s">
        <v>31</v>
      </c>
      <c r="U1542" t="s">
        <v>31</v>
      </c>
      <c r="V1542" t="s">
        <v>31</v>
      </c>
      <c r="W1542" t="s">
        <v>31</v>
      </c>
      <c r="X1542" t="s">
        <v>31</v>
      </c>
      <c r="Y1542" t="s">
        <v>31</v>
      </c>
    </row>
    <row r="1543" spans="1:25" hidden="1">
      <c r="A1543" t="s">
        <v>25</v>
      </c>
      <c r="B1543" t="s">
        <v>26</v>
      </c>
      <c r="C1543" t="s">
        <v>55</v>
      </c>
      <c r="D1543" s="1">
        <v>44185</v>
      </c>
      <c r="E1543" s="2">
        <v>0.5625</v>
      </c>
      <c r="F1543" t="s">
        <v>54</v>
      </c>
      <c r="G1543" t="s">
        <v>38</v>
      </c>
      <c r="H1543">
        <v>1</v>
      </c>
      <c r="I1543">
        <v>3</v>
      </c>
      <c r="J1543" t="s">
        <v>30</v>
      </c>
      <c r="K1543">
        <v>166</v>
      </c>
      <c r="L1543">
        <v>451</v>
      </c>
      <c r="M1543">
        <v>482</v>
      </c>
      <c r="N1543">
        <v>169</v>
      </c>
      <c r="O1543">
        <v>46</v>
      </c>
      <c r="P1543">
        <v>5</v>
      </c>
      <c r="Q1543">
        <v>163</v>
      </c>
      <c r="R1543">
        <v>432</v>
      </c>
      <c r="S1543">
        <v>454</v>
      </c>
      <c r="T1543" t="s">
        <v>31</v>
      </c>
      <c r="U1543" t="s">
        <v>31</v>
      </c>
      <c r="V1543" t="s">
        <v>31</v>
      </c>
      <c r="W1543" t="s">
        <v>31</v>
      </c>
      <c r="X1543" t="s">
        <v>31</v>
      </c>
      <c r="Y1543" t="s">
        <v>31</v>
      </c>
    </row>
    <row r="1544" spans="1:25" hidden="1">
      <c r="A1544" t="s">
        <v>25</v>
      </c>
      <c r="B1544" t="s">
        <v>26</v>
      </c>
      <c r="C1544" t="s">
        <v>55</v>
      </c>
      <c r="D1544" s="1">
        <v>44185</v>
      </c>
      <c r="E1544" s="2">
        <v>0.66666666666666663</v>
      </c>
      <c r="F1544" t="s">
        <v>40</v>
      </c>
      <c r="G1544" t="s">
        <v>50</v>
      </c>
      <c r="H1544">
        <v>1</v>
      </c>
      <c r="I1544">
        <v>1</v>
      </c>
      <c r="J1544" t="s">
        <v>41</v>
      </c>
      <c r="K1544">
        <v>868</v>
      </c>
      <c r="L1544">
        <v>534</v>
      </c>
      <c r="M1544">
        <v>137</v>
      </c>
      <c r="N1544">
        <v>95</v>
      </c>
      <c r="O1544">
        <v>548</v>
      </c>
      <c r="P1544">
        <v>141</v>
      </c>
      <c r="Q1544">
        <v>754</v>
      </c>
      <c r="R1544">
        <v>509</v>
      </c>
      <c r="S1544">
        <v>136</v>
      </c>
      <c r="T1544" t="s">
        <v>31</v>
      </c>
      <c r="U1544" t="s">
        <v>31</v>
      </c>
      <c r="V1544" t="s">
        <v>31</v>
      </c>
      <c r="W1544" t="s">
        <v>31</v>
      </c>
      <c r="X1544" t="s">
        <v>31</v>
      </c>
      <c r="Y1544" t="s">
        <v>31</v>
      </c>
    </row>
    <row r="1545" spans="1:25" hidden="1">
      <c r="A1545" t="s">
        <v>25</v>
      </c>
      <c r="B1545" t="s">
        <v>26</v>
      </c>
      <c r="C1545" t="s">
        <v>55</v>
      </c>
      <c r="D1545" s="1">
        <v>44213</v>
      </c>
      <c r="E1545" s="2">
        <v>0.66666666666666663</v>
      </c>
      <c r="F1545" t="s">
        <v>39</v>
      </c>
      <c r="G1545" t="s">
        <v>28</v>
      </c>
      <c r="H1545">
        <v>0</v>
      </c>
      <c r="I1545">
        <v>0</v>
      </c>
      <c r="J1545" t="s">
        <v>41</v>
      </c>
      <c r="K1545">
        <v>27</v>
      </c>
      <c r="L1545">
        <v>354</v>
      </c>
      <c r="M1545">
        <v>267</v>
      </c>
      <c r="N1545">
        <v>274</v>
      </c>
      <c r="O1545">
        <v>354</v>
      </c>
      <c r="P1545">
        <v>274</v>
      </c>
      <c r="Q1545">
        <v>26</v>
      </c>
      <c r="R1545">
        <v>333</v>
      </c>
      <c r="S1545">
        <v>261</v>
      </c>
      <c r="T1545" t="s">
        <v>31</v>
      </c>
      <c r="U1545" t="s">
        <v>31</v>
      </c>
      <c r="V1545" t="s">
        <v>31</v>
      </c>
      <c r="W1545" t="s">
        <v>31</v>
      </c>
      <c r="X1545" t="s">
        <v>31</v>
      </c>
      <c r="Y1545" t="s">
        <v>31</v>
      </c>
    </row>
    <row r="1546" spans="1:25" hidden="1">
      <c r="A1546" t="s">
        <v>25</v>
      </c>
      <c r="B1546" t="s">
        <v>26</v>
      </c>
      <c r="C1546" t="s">
        <v>55</v>
      </c>
      <c r="D1546" s="1">
        <v>44218</v>
      </c>
      <c r="E1546" s="2">
        <v>0.75</v>
      </c>
      <c r="F1546" t="s">
        <v>35</v>
      </c>
      <c r="G1546" t="s">
        <v>28</v>
      </c>
      <c r="H1546">
        <v>4</v>
      </c>
      <c r="I1546">
        <v>1</v>
      </c>
      <c r="J1546" t="s">
        <v>34</v>
      </c>
      <c r="K1546">
        <v>202</v>
      </c>
      <c r="L1546">
        <v>389</v>
      </c>
      <c r="M1546">
        <v>362</v>
      </c>
      <c r="N1546">
        <v>215</v>
      </c>
      <c r="O1546">
        <v>389</v>
      </c>
      <c r="P1546">
        <v>375</v>
      </c>
      <c r="Q1546">
        <v>203</v>
      </c>
      <c r="R1546">
        <v>356</v>
      </c>
      <c r="S1546">
        <v>344</v>
      </c>
      <c r="T1546" t="s">
        <v>31</v>
      </c>
      <c r="U1546" t="s">
        <v>31</v>
      </c>
      <c r="V1546" t="s">
        <v>31</v>
      </c>
      <c r="W1546" t="s">
        <v>31</v>
      </c>
      <c r="X1546" t="s">
        <v>31</v>
      </c>
      <c r="Y1546" t="s">
        <v>31</v>
      </c>
    </row>
    <row r="1547" spans="1:25" hidden="1">
      <c r="A1547" t="s">
        <v>25</v>
      </c>
      <c r="B1547" t="s">
        <v>26</v>
      </c>
      <c r="C1547" t="s">
        <v>55</v>
      </c>
      <c r="D1547" s="1">
        <v>44219</v>
      </c>
      <c r="E1547" s="2">
        <v>0.66666666666666663</v>
      </c>
      <c r="F1547" t="s">
        <v>38</v>
      </c>
      <c r="G1547" t="s">
        <v>40</v>
      </c>
      <c r="H1547">
        <v>0</v>
      </c>
      <c r="I1547">
        <v>1</v>
      </c>
      <c r="J1547" t="s">
        <v>30</v>
      </c>
      <c r="K1547">
        <v>269</v>
      </c>
      <c r="L1547">
        <v>379</v>
      </c>
      <c r="M1547">
        <v>255</v>
      </c>
      <c r="N1547">
        <v>284</v>
      </c>
      <c r="O1547">
        <v>379</v>
      </c>
      <c r="P1547">
        <v>255</v>
      </c>
      <c r="Q1547">
        <v>27</v>
      </c>
      <c r="R1547">
        <v>356</v>
      </c>
      <c r="S1547">
        <v>242</v>
      </c>
      <c r="T1547" t="s">
        <v>31</v>
      </c>
      <c r="U1547" t="s">
        <v>31</v>
      </c>
      <c r="V1547" t="s">
        <v>31</v>
      </c>
      <c r="W1547" t="s">
        <v>31</v>
      </c>
      <c r="X1547" t="s">
        <v>31</v>
      </c>
      <c r="Y1547" t="s">
        <v>31</v>
      </c>
    </row>
    <row r="1548" spans="1:25" hidden="1">
      <c r="A1548" t="s">
        <v>25</v>
      </c>
      <c r="B1548" t="s">
        <v>26</v>
      </c>
      <c r="C1548" t="s">
        <v>55</v>
      </c>
      <c r="D1548" s="1">
        <v>44219</v>
      </c>
      <c r="E1548" s="2">
        <v>0.66666666666666663</v>
      </c>
      <c r="F1548" t="s">
        <v>48</v>
      </c>
      <c r="G1548" t="s">
        <v>37</v>
      </c>
      <c r="H1548">
        <v>2</v>
      </c>
      <c r="I1548">
        <v>2</v>
      </c>
      <c r="J1548" t="s">
        <v>41</v>
      </c>
      <c r="K1548">
        <v>198</v>
      </c>
      <c r="L1548">
        <v>389</v>
      </c>
      <c r="M1548">
        <v>374</v>
      </c>
      <c r="N1548">
        <v>198</v>
      </c>
      <c r="O1548">
        <v>389</v>
      </c>
      <c r="P1548">
        <v>421</v>
      </c>
      <c r="Q1548">
        <v>19</v>
      </c>
      <c r="R1548">
        <v>36</v>
      </c>
      <c r="S1548">
        <v>384</v>
      </c>
      <c r="T1548" t="s">
        <v>31</v>
      </c>
      <c r="U1548" t="s">
        <v>31</v>
      </c>
      <c r="V1548" t="s">
        <v>31</v>
      </c>
      <c r="W1548" t="s">
        <v>31</v>
      </c>
      <c r="X1548" t="s">
        <v>31</v>
      </c>
      <c r="Y1548" t="s">
        <v>31</v>
      </c>
    </row>
    <row r="1549" spans="1:25" hidden="1">
      <c r="A1549" t="s">
        <v>25</v>
      </c>
      <c r="B1549" t="s">
        <v>26</v>
      </c>
      <c r="C1549" t="s">
        <v>55</v>
      </c>
      <c r="D1549" s="1">
        <v>44219</v>
      </c>
      <c r="E1549" s="2">
        <v>0.66666666666666663</v>
      </c>
      <c r="F1549" t="s">
        <v>39</v>
      </c>
      <c r="G1549" t="s">
        <v>52</v>
      </c>
      <c r="H1549">
        <v>0</v>
      </c>
      <c r="I1549">
        <v>0</v>
      </c>
      <c r="J1549" t="s">
        <v>41</v>
      </c>
      <c r="K1549">
        <v>16</v>
      </c>
      <c r="L1549">
        <v>433</v>
      </c>
      <c r="M1549">
        <v>57</v>
      </c>
      <c r="N1549">
        <v>165</v>
      </c>
      <c r="O1549">
        <v>45</v>
      </c>
      <c r="P1549">
        <v>57</v>
      </c>
      <c r="Q1549">
        <v>157</v>
      </c>
      <c r="R1549">
        <v>42</v>
      </c>
      <c r="S1549">
        <v>515</v>
      </c>
      <c r="T1549" t="s">
        <v>31</v>
      </c>
      <c r="U1549" t="s">
        <v>31</v>
      </c>
      <c r="V1549" t="s">
        <v>31</v>
      </c>
      <c r="W1549" t="s">
        <v>31</v>
      </c>
      <c r="X1549" t="s">
        <v>31</v>
      </c>
      <c r="Y1549" t="s">
        <v>31</v>
      </c>
    </row>
    <row r="1550" spans="1:25" hidden="1">
      <c r="A1550" t="s">
        <v>25</v>
      </c>
      <c r="B1550" t="s">
        <v>26</v>
      </c>
      <c r="C1550" t="s">
        <v>55</v>
      </c>
      <c r="D1550" s="1">
        <v>44220</v>
      </c>
      <c r="E1550" s="2">
        <v>0.5625</v>
      </c>
      <c r="F1550" t="s">
        <v>45</v>
      </c>
      <c r="G1550" t="s">
        <v>29</v>
      </c>
      <c r="H1550">
        <v>0</v>
      </c>
      <c r="I1550">
        <v>2</v>
      </c>
      <c r="J1550" t="s">
        <v>30</v>
      </c>
      <c r="K1550">
        <v>1626</v>
      </c>
      <c r="L1550">
        <v>907</v>
      </c>
      <c r="M1550">
        <v>116</v>
      </c>
      <c r="N1550">
        <v>19</v>
      </c>
      <c r="O1550">
        <v>907</v>
      </c>
      <c r="P1550">
        <v>117</v>
      </c>
      <c r="Q1550">
        <v>1456</v>
      </c>
      <c r="R1550">
        <v>809</v>
      </c>
      <c r="S1550">
        <v>115</v>
      </c>
      <c r="T1550" t="s">
        <v>31</v>
      </c>
      <c r="U1550" t="s">
        <v>31</v>
      </c>
      <c r="V1550" t="s">
        <v>31</v>
      </c>
      <c r="W1550" t="s">
        <v>31</v>
      </c>
      <c r="X1550" t="s">
        <v>31</v>
      </c>
      <c r="Y1550" t="s">
        <v>31</v>
      </c>
    </row>
    <row r="1551" spans="1:25" hidden="1">
      <c r="A1551" t="s">
        <v>25</v>
      </c>
      <c r="B1551" t="s">
        <v>26</v>
      </c>
      <c r="C1551" t="s">
        <v>55</v>
      </c>
      <c r="D1551" s="1">
        <v>44220</v>
      </c>
      <c r="E1551" s="2">
        <v>0.66666666666666663</v>
      </c>
      <c r="F1551" t="s">
        <v>50</v>
      </c>
      <c r="G1551" t="s">
        <v>54</v>
      </c>
      <c r="H1551">
        <v>2</v>
      </c>
      <c r="I1551">
        <v>4</v>
      </c>
      <c r="J1551" t="s">
        <v>30</v>
      </c>
      <c r="K1551">
        <v>137</v>
      </c>
      <c r="L1551">
        <v>561</v>
      </c>
      <c r="M1551">
        <v>788</v>
      </c>
      <c r="N1551">
        <v>14</v>
      </c>
      <c r="O1551">
        <v>58</v>
      </c>
      <c r="P1551">
        <v>9</v>
      </c>
      <c r="Q1551">
        <v>135</v>
      </c>
      <c r="R1551">
        <v>53</v>
      </c>
      <c r="S1551">
        <v>733</v>
      </c>
      <c r="T1551" t="s">
        <v>31</v>
      </c>
      <c r="U1551" t="s">
        <v>31</v>
      </c>
      <c r="V1551" t="s">
        <v>31</v>
      </c>
      <c r="W1551" t="s">
        <v>31</v>
      </c>
      <c r="X1551" t="s">
        <v>31</v>
      </c>
      <c r="Y1551" t="s">
        <v>31</v>
      </c>
    </row>
    <row r="1552" spans="1:25" hidden="1">
      <c r="A1552" t="s">
        <v>25</v>
      </c>
      <c r="B1552" t="s">
        <v>26</v>
      </c>
      <c r="C1552" t="s">
        <v>55</v>
      </c>
      <c r="D1552" s="1">
        <v>44222</v>
      </c>
      <c r="E1552" s="2">
        <v>0.72916666666666663</v>
      </c>
      <c r="F1552" t="s">
        <v>37</v>
      </c>
      <c r="G1552" t="s">
        <v>40</v>
      </c>
      <c r="H1552">
        <v>0</v>
      </c>
      <c r="I1552">
        <v>4</v>
      </c>
      <c r="J1552" t="s">
        <v>30</v>
      </c>
      <c r="K1552">
        <v>379</v>
      </c>
      <c r="L1552">
        <v>377</v>
      </c>
      <c r="M1552">
        <v>2</v>
      </c>
      <c r="N1552">
        <v>383</v>
      </c>
      <c r="O1552">
        <v>377</v>
      </c>
      <c r="P1552">
        <v>217</v>
      </c>
      <c r="Q1552">
        <v>34</v>
      </c>
      <c r="R1552">
        <v>354</v>
      </c>
      <c r="S1552">
        <v>204</v>
      </c>
      <c r="T1552" t="s">
        <v>31</v>
      </c>
      <c r="U1552" t="s">
        <v>31</v>
      </c>
      <c r="V1552" t="s">
        <v>31</v>
      </c>
      <c r="W1552" t="s">
        <v>31</v>
      </c>
      <c r="X1552" t="s">
        <v>31</v>
      </c>
      <c r="Y1552" t="s">
        <v>31</v>
      </c>
    </row>
    <row r="1553" spans="1:25" hidden="1">
      <c r="A1553" t="s">
        <v>25</v>
      </c>
      <c r="B1553" t="s">
        <v>26</v>
      </c>
      <c r="C1553" t="s">
        <v>55</v>
      </c>
      <c r="D1553" s="1">
        <v>44222</v>
      </c>
      <c r="E1553" s="2">
        <v>0.72916666666666663</v>
      </c>
      <c r="F1553" t="s">
        <v>28</v>
      </c>
      <c r="G1553" t="s">
        <v>52</v>
      </c>
      <c r="H1553">
        <v>2</v>
      </c>
      <c r="I1553">
        <v>1</v>
      </c>
      <c r="J1553" t="s">
        <v>34</v>
      </c>
      <c r="K1553">
        <v>172</v>
      </c>
      <c r="L1553">
        <v>41</v>
      </c>
      <c r="M1553">
        <v>485</v>
      </c>
      <c r="N1553">
        <v>175</v>
      </c>
      <c r="O1553">
        <v>434</v>
      </c>
      <c r="P1553">
        <v>55</v>
      </c>
      <c r="Q1553">
        <v>164</v>
      </c>
      <c r="R1553">
        <v>403</v>
      </c>
      <c r="S1553">
        <v>483</v>
      </c>
      <c r="T1553" t="s">
        <v>31</v>
      </c>
      <c r="U1553" t="s">
        <v>31</v>
      </c>
      <c r="V1553" t="s">
        <v>31</v>
      </c>
      <c r="W1553" t="s">
        <v>31</v>
      </c>
      <c r="X1553" t="s">
        <v>31</v>
      </c>
      <c r="Y1553" t="s">
        <v>31</v>
      </c>
    </row>
    <row r="1554" spans="1:25" hidden="1">
      <c r="A1554" t="s">
        <v>25</v>
      </c>
      <c r="B1554" t="s">
        <v>26</v>
      </c>
      <c r="C1554" t="s">
        <v>55</v>
      </c>
      <c r="D1554" s="1">
        <v>44223</v>
      </c>
      <c r="E1554" s="2">
        <v>0.72916666666666663</v>
      </c>
      <c r="F1554" t="s">
        <v>35</v>
      </c>
      <c r="G1554" t="s">
        <v>48</v>
      </c>
      <c r="H1554">
        <v>2</v>
      </c>
      <c r="I1554">
        <v>1</v>
      </c>
      <c r="J1554" t="s">
        <v>34</v>
      </c>
      <c r="K1554">
        <v>139</v>
      </c>
      <c r="L1554">
        <v>541</v>
      </c>
      <c r="M1554">
        <v>777</v>
      </c>
      <c r="N1554">
        <v>139</v>
      </c>
      <c r="O1554">
        <v>575</v>
      </c>
      <c r="P1554">
        <v>85</v>
      </c>
      <c r="Q1554">
        <v>136</v>
      </c>
      <c r="R1554">
        <v>524</v>
      </c>
      <c r="S1554">
        <v>72</v>
      </c>
      <c r="T1554" t="s">
        <v>31</v>
      </c>
      <c r="U1554" t="s">
        <v>31</v>
      </c>
      <c r="V1554" t="s">
        <v>31</v>
      </c>
      <c r="W1554" t="s">
        <v>31</v>
      </c>
      <c r="X1554" t="s">
        <v>31</v>
      </c>
      <c r="Y1554" t="s">
        <v>31</v>
      </c>
    </row>
    <row r="1555" spans="1:25" hidden="1">
      <c r="A1555" t="s">
        <v>25</v>
      </c>
      <c r="B1555" t="s">
        <v>26</v>
      </c>
      <c r="C1555" t="s">
        <v>55</v>
      </c>
      <c r="D1555" s="1">
        <v>44223</v>
      </c>
      <c r="E1555" s="2">
        <v>0.72916666666666663</v>
      </c>
      <c r="F1555" t="s">
        <v>29</v>
      </c>
      <c r="G1555" t="s">
        <v>38</v>
      </c>
      <c r="H1555">
        <v>3</v>
      </c>
      <c r="I1555">
        <v>0</v>
      </c>
      <c r="J1555" t="s">
        <v>34</v>
      </c>
      <c r="K1555">
        <v>113</v>
      </c>
      <c r="L1555">
        <v>1004</v>
      </c>
      <c r="M1555">
        <v>2194</v>
      </c>
      <c r="N1555">
        <v>114</v>
      </c>
      <c r="O1555">
        <v>11</v>
      </c>
      <c r="P1555">
        <v>2199</v>
      </c>
      <c r="Q1555">
        <v>111</v>
      </c>
      <c r="R1555">
        <v>931</v>
      </c>
      <c r="S1555">
        <v>1832</v>
      </c>
      <c r="T1555" t="s">
        <v>31</v>
      </c>
      <c r="U1555" t="s">
        <v>31</v>
      </c>
      <c r="V1555" t="s">
        <v>31</v>
      </c>
      <c r="W1555" t="s">
        <v>31</v>
      </c>
      <c r="X1555" t="s">
        <v>31</v>
      </c>
      <c r="Y1555" t="s">
        <v>31</v>
      </c>
    </row>
    <row r="1556" spans="1:25" hidden="1">
      <c r="A1556" t="s">
        <v>25</v>
      </c>
      <c r="B1556" t="s">
        <v>26</v>
      </c>
      <c r="C1556" t="s">
        <v>55</v>
      </c>
      <c r="D1556" s="1">
        <v>44223</v>
      </c>
      <c r="E1556" s="2">
        <v>0.72916666666666663</v>
      </c>
      <c r="F1556" t="s">
        <v>54</v>
      </c>
      <c r="G1556" t="s">
        <v>45</v>
      </c>
      <c r="H1556">
        <v>3</v>
      </c>
      <c r="I1556">
        <v>1</v>
      </c>
      <c r="J1556" t="s">
        <v>34</v>
      </c>
      <c r="K1556">
        <v>186</v>
      </c>
      <c r="L1556">
        <v>393</v>
      </c>
      <c r="M1556">
        <v>419</v>
      </c>
      <c r="N1556">
        <v>192</v>
      </c>
      <c r="O1556">
        <v>402</v>
      </c>
      <c r="P1556">
        <v>464</v>
      </c>
      <c r="Q1556">
        <v>183</v>
      </c>
      <c r="R1556">
        <v>371</v>
      </c>
      <c r="S1556">
        <v>399</v>
      </c>
      <c r="T1556" t="s">
        <v>31</v>
      </c>
      <c r="U1556" t="s">
        <v>31</v>
      </c>
      <c r="V1556" t="s">
        <v>31</v>
      </c>
      <c r="W1556" t="s">
        <v>31</v>
      </c>
      <c r="X1556" t="s">
        <v>31</v>
      </c>
      <c r="Y1556" t="s">
        <v>31</v>
      </c>
    </row>
    <row r="1557" spans="1:25" hidden="1">
      <c r="A1557" t="s">
        <v>25</v>
      </c>
      <c r="B1557" t="s">
        <v>26</v>
      </c>
      <c r="C1557" t="s">
        <v>55</v>
      </c>
      <c r="D1557" s="1">
        <v>44223</v>
      </c>
      <c r="E1557" s="2">
        <v>0.8125</v>
      </c>
      <c r="F1557" t="s">
        <v>39</v>
      </c>
      <c r="G1557" t="s">
        <v>50</v>
      </c>
      <c r="H1557">
        <v>0</v>
      </c>
      <c r="I1557">
        <v>3</v>
      </c>
      <c r="J1557" t="s">
        <v>30</v>
      </c>
      <c r="K1557">
        <v>396</v>
      </c>
      <c r="L1557">
        <v>385</v>
      </c>
      <c r="M1557">
        <v>193</v>
      </c>
      <c r="N1557">
        <v>4</v>
      </c>
      <c r="O1557">
        <v>386</v>
      </c>
      <c r="P1557">
        <v>195</v>
      </c>
      <c r="Q1557">
        <v>377</v>
      </c>
      <c r="R1557">
        <v>366</v>
      </c>
      <c r="S1557">
        <v>189</v>
      </c>
      <c r="T1557" t="s">
        <v>31</v>
      </c>
      <c r="U1557" t="s">
        <v>31</v>
      </c>
      <c r="V1557" t="s">
        <v>31</v>
      </c>
      <c r="W1557" t="s">
        <v>31</v>
      </c>
      <c r="X1557" t="s">
        <v>31</v>
      </c>
      <c r="Y1557" t="s">
        <v>31</v>
      </c>
    </row>
    <row r="1558" spans="1:25" hidden="1">
      <c r="A1558" t="s">
        <v>25</v>
      </c>
      <c r="B1558" t="s">
        <v>26</v>
      </c>
      <c r="C1558" t="s">
        <v>55</v>
      </c>
      <c r="D1558" s="1">
        <v>44226</v>
      </c>
      <c r="E1558" s="2">
        <v>0.66666666666666663</v>
      </c>
      <c r="F1558" t="s">
        <v>45</v>
      </c>
      <c r="G1558" t="s">
        <v>28</v>
      </c>
      <c r="H1558">
        <v>2</v>
      </c>
      <c r="I1558">
        <v>1</v>
      </c>
      <c r="J1558" t="s">
        <v>34</v>
      </c>
      <c r="K1558">
        <v>48</v>
      </c>
      <c r="L1558">
        <v>384</v>
      </c>
      <c r="M1558">
        <v>178</v>
      </c>
      <c r="N1558">
        <v>494</v>
      </c>
      <c r="O1558">
        <v>4</v>
      </c>
      <c r="P1558">
        <v>18</v>
      </c>
      <c r="Q1558">
        <v>458</v>
      </c>
      <c r="R1558">
        <v>372</v>
      </c>
      <c r="S1558">
        <v>173</v>
      </c>
      <c r="T1558" t="s">
        <v>31</v>
      </c>
      <c r="U1558" t="s">
        <v>31</v>
      </c>
      <c r="V1558" t="s">
        <v>31</v>
      </c>
      <c r="W1558" t="s">
        <v>31</v>
      </c>
      <c r="X1558" t="s">
        <v>31</v>
      </c>
      <c r="Y1558" t="s">
        <v>31</v>
      </c>
    </row>
    <row r="1559" spans="1:25" hidden="1">
      <c r="A1559" t="s">
        <v>25</v>
      </c>
      <c r="B1559" t="s">
        <v>26</v>
      </c>
      <c r="C1559" t="s">
        <v>55</v>
      </c>
      <c r="D1559" s="1">
        <v>44226</v>
      </c>
      <c r="E1559" s="2">
        <v>0.66666666666666663</v>
      </c>
      <c r="F1559" t="s">
        <v>52</v>
      </c>
      <c r="G1559" t="s">
        <v>29</v>
      </c>
      <c r="H1559">
        <v>0</v>
      </c>
      <c r="I1559">
        <v>3</v>
      </c>
      <c r="J1559" t="s">
        <v>30</v>
      </c>
      <c r="K1559">
        <v>1482</v>
      </c>
      <c r="L1559">
        <v>808</v>
      </c>
      <c r="M1559">
        <v>118</v>
      </c>
      <c r="N1559">
        <v>17</v>
      </c>
      <c r="O1559">
        <v>85</v>
      </c>
      <c r="P1559">
        <v>12</v>
      </c>
      <c r="Q1559">
        <v>1349</v>
      </c>
      <c r="R1559">
        <v>782</v>
      </c>
      <c r="S1559">
        <v>116</v>
      </c>
      <c r="T1559" t="s">
        <v>31</v>
      </c>
      <c r="U1559" t="s">
        <v>31</v>
      </c>
      <c r="V1559" t="s">
        <v>31</v>
      </c>
      <c r="W1559" t="s">
        <v>31</v>
      </c>
      <c r="X1559" t="s">
        <v>31</v>
      </c>
      <c r="Y1559" t="s">
        <v>31</v>
      </c>
    </row>
    <row r="1560" spans="1:25" hidden="1">
      <c r="A1560" t="s">
        <v>25</v>
      </c>
      <c r="B1560" t="s">
        <v>26</v>
      </c>
      <c r="C1560" t="s">
        <v>55</v>
      </c>
      <c r="D1560" s="1">
        <v>44226</v>
      </c>
      <c r="E1560" s="2">
        <v>0.66666666666666663</v>
      </c>
      <c r="F1560" t="s">
        <v>38</v>
      </c>
      <c r="G1560" t="s">
        <v>37</v>
      </c>
      <c r="H1560">
        <v>0</v>
      </c>
      <c r="I1560">
        <v>0</v>
      </c>
      <c r="J1560" t="s">
        <v>41</v>
      </c>
      <c r="K1560">
        <v>204</v>
      </c>
      <c r="L1560">
        <v>387</v>
      </c>
      <c r="M1560">
        <v>358</v>
      </c>
      <c r="N1560">
        <v>206</v>
      </c>
      <c r="O1560">
        <v>387</v>
      </c>
      <c r="P1560">
        <v>378</v>
      </c>
      <c r="Q1560">
        <v>198</v>
      </c>
      <c r="R1560">
        <v>371</v>
      </c>
      <c r="S1560">
        <v>346</v>
      </c>
      <c r="T1560" t="s">
        <v>31</v>
      </c>
      <c r="U1560" t="s">
        <v>31</v>
      </c>
      <c r="V1560" t="s">
        <v>31</v>
      </c>
      <c r="W1560" t="s">
        <v>31</v>
      </c>
      <c r="X1560" t="s">
        <v>31</v>
      </c>
      <c r="Y1560" t="s">
        <v>31</v>
      </c>
    </row>
    <row r="1561" spans="1:25" hidden="1">
      <c r="A1561" t="s">
        <v>25</v>
      </c>
      <c r="B1561" t="s">
        <v>26</v>
      </c>
      <c r="C1561" t="s">
        <v>55</v>
      </c>
      <c r="D1561" s="1">
        <v>44227</v>
      </c>
      <c r="E1561" s="2">
        <v>0.5625</v>
      </c>
      <c r="F1561" t="s">
        <v>40</v>
      </c>
      <c r="G1561" t="s">
        <v>54</v>
      </c>
      <c r="H1561">
        <v>2</v>
      </c>
      <c r="I1561">
        <v>2</v>
      </c>
      <c r="J1561" t="s">
        <v>41</v>
      </c>
      <c r="K1561">
        <v>257</v>
      </c>
      <c r="L1561">
        <v>365</v>
      </c>
      <c r="M1561">
        <v>275</v>
      </c>
      <c r="N1561">
        <v>275</v>
      </c>
      <c r="O1561">
        <v>37</v>
      </c>
      <c r="P1561">
        <v>286</v>
      </c>
      <c r="Q1561">
        <v>256</v>
      </c>
      <c r="R1561">
        <v>347</v>
      </c>
      <c r="S1561">
        <v>258</v>
      </c>
      <c r="T1561" t="s">
        <v>31</v>
      </c>
      <c r="U1561" t="s">
        <v>31</v>
      </c>
      <c r="V1561" t="s">
        <v>31</v>
      </c>
      <c r="W1561" t="s">
        <v>31</v>
      </c>
      <c r="X1561" t="s">
        <v>31</v>
      </c>
      <c r="Y1561" t="s">
        <v>31</v>
      </c>
    </row>
    <row r="1562" spans="1:25" hidden="1">
      <c r="A1562" t="s">
        <v>25</v>
      </c>
      <c r="B1562" t="s">
        <v>26</v>
      </c>
      <c r="C1562" t="s">
        <v>55</v>
      </c>
      <c r="D1562" s="1">
        <v>44227</v>
      </c>
      <c r="E1562" s="2">
        <v>0.5625</v>
      </c>
      <c r="F1562" t="s">
        <v>48</v>
      </c>
      <c r="G1562" t="s">
        <v>39</v>
      </c>
      <c r="H1562">
        <v>0</v>
      </c>
      <c r="I1562">
        <v>2</v>
      </c>
      <c r="J1562" t="s">
        <v>30</v>
      </c>
      <c r="K1562">
        <v>434</v>
      </c>
      <c r="L1562">
        <v>422</v>
      </c>
      <c r="M1562">
        <v>178</v>
      </c>
      <c r="N1562">
        <v>434</v>
      </c>
      <c r="O1562">
        <v>422</v>
      </c>
      <c r="P1562">
        <v>187</v>
      </c>
      <c r="Q1562">
        <v>402</v>
      </c>
      <c r="R1562">
        <v>401</v>
      </c>
      <c r="S1562">
        <v>176</v>
      </c>
      <c r="T1562" t="s">
        <v>31</v>
      </c>
      <c r="U1562" t="s">
        <v>31</v>
      </c>
      <c r="V1562" t="s">
        <v>31</v>
      </c>
      <c r="W1562" t="s">
        <v>31</v>
      </c>
      <c r="X1562" t="s">
        <v>31</v>
      </c>
      <c r="Y1562" t="s">
        <v>31</v>
      </c>
    </row>
    <row r="1563" spans="1:25" hidden="1">
      <c r="A1563" t="s">
        <v>25</v>
      </c>
      <c r="B1563" t="s">
        <v>26</v>
      </c>
      <c r="C1563" t="s">
        <v>55</v>
      </c>
      <c r="D1563" s="1">
        <v>44227</v>
      </c>
      <c r="E1563" s="2">
        <v>0.66666666666666663</v>
      </c>
      <c r="F1563" t="s">
        <v>50</v>
      </c>
      <c r="G1563" t="s">
        <v>35</v>
      </c>
      <c r="H1563">
        <v>1</v>
      </c>
      <c r="I1563">
        <v>2</v>
      </c>
      <c r="J1563" t="s">
        <v>30</v>
      </c>
      <c r="K1563">
        <v>184</v>
      </c>
      <c r="L1563">
        <v>412</v>
      </c>
      <c r="M1563">
        <v>41</v>
      </c>
      <c r="N1563">
        <v>192</v>
      </c>
      <c r="O1563">
        <v>412</v>
      </c>
      <c r="P1563">
        <v>424</v>
      </c>
      <c r="Q1563">
        <v>182</v>
      </c>
      <c r="R1563">
        <v>387</v>
      </c>
      <c r="S1563">
        <v>388</v>
      </c>
      <c r="T1563" t="s">
        <v>31</v>
      </c>
      <c r="U1563" t="s">
        <v>31</v>
      </c>
      <c r="V1563" t="s">
        <v>31</v>
      </c>
      <c r="W1563" t="s">
        <v>31</v>
      </c>
      <c r="X1563" t="s">
        <v>31</v>
      </c>
      <c r="Y1563" t="s">
        <v>31</v>
      </c>
    </row>
    <row r="1564" spans="1:25" hidden="1">
      <c r="A1564" t="s">
        <v>25</v>
      </c>
      <c r="B1564" t="s">
        <v>26</v>
      </c>
      <c r="C1564" t="s">
        <v>55</v>
      </c>
      <c r="D1564" s="1">
        <v>44236</v>
      </c>
      <c r="E1564" s="2">
        <v>0.72916666666666663</v>
      </c>
      <c r="F1564" t="s">
        <v>28</v>
      </c>
      <c r="G1564" t="s">
        <v>38</v>
      </c>
      <c r="H1564">
        <v>2</v>
      </c>
      <c r="I1564">
        <v>1</v>
      </c>
      <c r="J1564" t="s">
        <v>34</v>
      </c>
      <c r="K1564">
        <v>166</v>
      </c>
      <c r="L1564">
        <v>4</v>
      </c>
      <c r="M1564">
        <v>562</v>
      </c>
      <c r="N1564">
        <v>167</v>
      </c>
      <c r="O1564">
        <v>424</v>
      </c>
      <c r="P1564">
        <v>575</v>
      </c>
      <c r="Q1564">
        <v>161</v>
      </c>
      <c r="R1564">
        <v>392</v>
      </c>
      <c r="S1564">
        <v>519</v>
      </c>
      <c r="T1564" t="s">
        <v>31</v>
      </c>
      <c r="U1564" t="s">
        <v>31</v>
      </c>
      <c r="V1564" t="s">
        <v>31</v>
      </c>
      <c r="W1564" t="s">
        <v>31</v>
      </c>
      <c r="X1564" t="s">
        <v>31</v>
      </c>
      <c r="Y1564" t="s">
        <v>31</v>
      </c>
    </row>
    <row r="1565" spans="1:25" hidden="1">
      <c r="A1565" t="s">
        <v>25</v>
      </c>
      <c r="B1565" t="s">
        <v>26</v>
      </c>
      <c r="C1565" t="s">
        <v>55</v>
      </c>
      <c r="D1565" s="1">
        <v>44236</v>
      </c>
      <c r="E1565" s="2">
        <v>0.8125</v>
      </c>
      <c r="F1565" t="s">
        <v>35</v>
      </c>
      <c r="G1565" t="s">
        <v>39</v>
      </c>
      <c r="H1565">
        <v>1</v>
      </c>
      <c r="I1565">
        <v>0</v>
      </c>
      <c r="J1565" t="s">
        <v>34</v>
      </c>
      <c r="K1565">
        <v>179</v>
      </c>
      <c r="L1565">
        <v>408</v>
      </c>
      <c r="M1565">
        <v>443</v>
      </c>
      <c r="N1565">
        <v>181</v>
      </c>
      <c r="O1565">
        <v>408</v>
      </c>
      <c r="P1565">
        <v>443</v>
      </c>
      <c r="Q1565">
        <v>176</v>
      </c>
      <c r="R1565">
        <v>389</v>
      </c>
      <c r="S1565">
        <v>412</v>
      </c>
      <c r="T1565" t="s">
        <v>31</v>
      </c>
      <c r="U1565" t="s">
        <v>31</v>
      </c>
      <c r="V1565" t="s">
        <v>31</v>
      </c>
      <c r="W1565" t="s">
        <v>31</v>
      </c>
      <c r="X1565" t="s">
        <v>31</v>
      </c>
      <c r="Y1565" t="s">
        <v>31</v>
      </c>
    </row>
    <row r="1566" spans="1:25" hidden="1">
      <c r="A1566" t="s">
        <v>25</v>
      </c>
      <c r="B1566" t="s">
        <v>26</v>
      </c>
      <c r="C1566" t="s">
        <v>55</v>
      </c>
      <c r="D1566" s="1">
        <v>44237</v>
      </c>
      <c r="E1566" s="2">
        <v>0.72916666666666663</v>
      </c>
      <c r="F1566" t="s">
        <v>37</v>
      </c>
      <c r="G1566" t="s">
        <v>45</v>
      </c>
      <c r="H1566">
        <v>3</v>
      </c>
      <c r="I1566">
        <v>1</v>
      </c>
      <c r="J1566" t="s">
        <v>34</v>
      </c>
      <c r="K1566">
        <v>284</v>
      </c>
      <c r="L1566">
        <v>331</v>
      </c>
      <c r="M1566">
        <v>268</v>
      </c>
      <c r="N1566">
        <v>287</v>
      </c>
      <c r="O1566">
        <v>35</v>
      </c>
      <c r="P1566">
        <v>268</v>
      </c>
      <c r="Q1566">
        <v>27</v>
      </c>
      <c r="R1566">
        <v>325</v>
      </c>
      <c r="S1566">
        <v>256</v>
      </c>
      <c r="T1566" t="s">
        <v>31</v>
      </c>
      <c r="U1566" t="s">
        <v>31</v>
      </c>
      <c r="V1566" t="s">
        <v>31</v>
      </c>
      <c r="W1566" t="s">
        <v>31</v>
      </c>
      <c r="X1566" t="s">
        <v>31</v>
      </c>
      <c r="Y1566" t="s">
        <v>31</v>
      </c>
    </row>
    <row r="1567" spans="1:25" hidden="1">
      <c r="A1567" t="s">
        <v>25</v>
      </c>
      <c r="B1567" t="s">
        <v>26</v>
      </c>
      <c r="C1567" t="s">
        <v>55</v>
      </c>
      <c r="D1567" s="1">
        <v>44237</v>
      </c>
      <c r="E1567" s="2">
        <v>0.72916666666666663</v>
      </c>
      <c r="F1567" t="s">
        <v>48</v>
      </c>
      <c r="G1567" t="s">
        <v>50</v>
      </c>
      <c r="H1567">
        <v>1</v>
      </c>
      <c r="I1567">
        <v>3</v>
      </c>
      <c r="J1567" t="s">
        <v>30</v>
      </c>
      <c r="K1567">
        <v>937</v>
      </c>
      <c r="L1567">
        <v>611</v>
      </c>
      <c r="M1567">
        <v>131</v>
      </c>
      <c r="N1567">
        <v>105</v>
      </c>
      <c r="O1567">
        <v>611</v>
      </c>
      <c r="P1567">
        <v>132</v>
      </c>
      <c r="Q1567">
        <v>892</v>
      </c>
      <c r="R1567">
        <v>573</v>
      </c>
      <c r="S1567">
        <v>128</v>
      </c>
      <c r="T1567" t="s">
        <v>31</v>
      </c>
      <c r="U1567" t="s">
        <v>31</v>
      </c>
      <c r="V1567" t="s">
        <v>31</v>
      </c>
      <c r="W1567" t="s">
        <v>31</v>
      </c>
      <c r="X1567" t="s">
        <v>31</v>
      </c>
      <c r="Y1567" t="s">
        <v>31</v>
      </c>
    </row>
    <row r="1568" spans="1:25" hidden="1">
      <c r="A1568" t="s">
        <v>25</v>
      </c>
      <c r="B1568" t="s">
        <v>26</v>
      </c>
      <c r="C1568" t="s">
        <v>55</v>
      </c>
      <c r="D1568" s="1">
        <v>44237</v>
      </c>
      <c r="E1568" s="2">
        <v>0.8125</v>
      </c>
      <c r="F1568" t="s">
        <v>29</v>
      </c>
      <c r="G1568" t="s">
        <v>40</v>
      </c>
      <c r="H1568">
        <v>3</v>
      </c>
      <c r="I1568">
        <v>1</v>
      </c>
      <c r="J1568" t="s">
        <v>34</v>
      </c>
      <c r="K1568">
        <v>119</v>
      </c>
      <c r="L1568">
        <v>786</v>
      </c>
      <c r="M1568">
        <v>1462</v>
      </c>
      <c r="N1568">
        <v>121</v>
      </c>
      <c r="O1568">
        <v>85</v>
      </c>
      <c r="P1568">
        <v>15</v>
      </c>
      <c r="Q1568">
        <v>118</v>
      </c>
      <c r="R1568">
        <v>722</v>
      </c>
      <c r="S1568">
        <v>127</v>
      </c>
      <c r="T1568" t="s">
        <v>31</v>
      </c>
      <c r="U1568" t="s">
        <v>31</v>
      </c>
      <c r="V1568" t="s">
        <v>31</v>
      </c>
      <c r="W1568" t="s">
        <v>31</v>
      </c>
      <c r="X1568" t="s">
        <v>31</v>
      </c>
      <c r="Y1568" t="s">
        <v>31</v>
      </c>
    </row>
    <row r="1569" spans="1:25" hidden="1">
      <c r="A1569" t="s">
        <v>25</v>
      </c>
      <c r="B1569" t="s">
        <v>26</v>
      </c>
      <c r="C1569" t="s">
        <v>55</v>
      </c>
      <c r="D1569" s="1">
        <v>44240</v>
      </c>
      <c r="E1569" s="2">
        <v>0.66666666666666663</v>
      </c>
      <c r="F1569" t="s">
        <v>45</v>
      </c>
      <c r="G1569" t="s">
        <v>35</v>
      </c>
      <c r="H1569">
        <v>0</v>
      </c>
      <c r="I1569">
        <v>0</v>
      </c>
      <c r="J1569" t="s">
        <v>41</v>
      </c>
      <c r="K1569">
        <v>586</v>
      </c>
      <c r="L1569">
        <v>481</v>
      </c>
      <c r="M1569">
        <v>153</v>
      </c>
      <c r="N1569">
        <v>603</v>
      </c>
      <c r="O1569">
        <v>481</v>
      </c>
      <c r="P1569">
        <v>155</v>
      </c>
      <c r="Q1569">
        <v>551</v>
      </c>
      <c r="R1569">
        <v>452</v>
      </c>
      <c r="S1569">
        <v>15</v>
      </c>
      <c r="T1569" t="s">
        <v>31</v>
      </c>
      <c r="U1569" t="s">
        <v>31</v>
      </c>
      <c r="V1569" t="s">
        <v>31</v>
      </c>
      <c r="W1569" t="s">
        <v>31</v>
      </c>
      <c r="X1569" t="s">
        <v>31</v>
      </c>
      <c r="Y1569" t="s">
        <v>31</v>
      </c>
    </row>
    <row r="1570" spans="1:25" hidden="1">
      <c r="A1570" t="s">
        <v>25</v>
      </c>
      <c r="B1570" t="s">
        <v>26</v>
      </c>
      <c r="C1570" t="s">
        <v>55</v>
      </c>
      <c r="D1570" s="1">
        <v>44240</v>
      </c>
      <c r="E1570" s="2">
        <v>0.66666666666666663</v>
      </c>
      <c r="F1570" t="s">
        <v>54</v>
      </c>
      <c r="G1570" t="s">
        <v>29</v>
      </c>
      <c r="H1570">
        <v>2</v>
      </c>
      <c r="I1570">
        <v>4</v>
      </c>
      <c r="J1570" t="s">
        <v>30</v>
      </c>
      <c r="K1570">
        <v>925</v>
      </c>
      <c r="L1570">
        <v>669</v>
      </c>
      <c r="M1570">
        <v>129</v>
      </c>
      <c r="N1570">
        <v>10</v>
      </c>
      <c r="O1570">
        <v>669</v>
      </c>
      <c r="P1570">
        <v>131</v>
      </c>
      <c r="Q1570">
        <v>854</v>
      </c>
      <c r="R1570">
        <v>611</v>
      </c>
      <c r="S1570">
        <v>127</v>
      </c>
      <c r="T1570" t="s">
        <v>31</v>
      </c>
      <c r="U1570" t="s">
        <v>31</v>
      </c>
      <c r="V1570" t="s">
        <v>31</v>
      </c>
      <c r="W1570" t="s">
        <v>31</v>
      </c>
      <c r="X1570" t="s">
        <v>31</v>
      </c>
      <c r="Y1570" t="s">
        <v>31</v>
      </c>
    </row>
    <row r="1571" spans="1:25" hidden="1">
      <c r="A1571" t="s">
        <v>25</v>
      </c>
      <c r="B1571" t="s">
        <v>26</v>
      </c>
      <c r="C1571" t="s">
        <v>55</v>
      </c>
      <c r="D1571" s="1">
        <v>44240</v>
      </c>
      <c r="E1571" s="2">
        <v>0.66666666666666663</v>
      </c>
      <c r="F1571" t="s">
        <v>39</v>
      </c>
      <c r="G1571" t="s">
        <v>37</v>
      </c>
      <c r="H1571">
        <v>2</v>
      </c>
      <c r="I1571">
        <v>1</v>
      </c>
      <c r="J1571" t="s">
        <v>34</v>
      </c>
      <c r="K1571">
        <v>169</v>
      </c>
      <c r="L1571">
        <v>401</v>
      </c>
      <c r="M1571">
        <v>524</v>
      </c>
      <c r="N1571">
        <v>17</v>
      </c>
      <c r="O1571">
        <v>404</v>
      </c>
      <c r="P1571">
        <v>532</v>
      </c>
      <c r="Q1571">
        <v>167</v>
      </c>
      <c r="R1571">
        <v>38</v>
      </c>
      <c r="S1571">
        <v>489</v>
      </c>
      <c r="T1571" t="s">
        <v>31</v>
      </c>
      <c r="U1571" t="s">
        <v>31</v>
      </c>
      <c r="V1571" t="s">
        <v>31</v>
      </c>
      <c r="W1571" t="s">
        <v>31</v>
      </c>
      <c r="X1571" t="s">
        <v>31</v>
      </c>
      <c r="Y1571" t="s">
        <v>31</v>
      </c>
    </row>
    <row r="1572" spans="1:25" hidden="1">
      <c r="A1572" t="s">
        <v>25</v>
      </c>
      <c r="B1572" t="s">
        <v>26</v>
      </c>
      <c r="C1572" t="s">
        <v>55</v>
      </c>
      <c r="D1572" s="1">
        <v>44241</v>
      </c>
      <c r="E1572" s="2">
        <v>0.5625</v>
      </c>
      <c r="F1572" t="s">
        <v>40</v>
      </c>
      <c r="G1572" t="s">
        <v>52</v>
      </c>
      <c r="H1572">
        <v>0</v>
      </c>
      <c r="I1572">
        <v>1</v>
      </c>
      <c r="J1572" t="s">
        <v>30</v>
      </c>
      <c r="K1572">
        <v>213</v>
      </c>
      <c r="L1572">
        <v>368</v>
      </c>
      <c r="M1572">
        <v>348</v>
      </c>
      <c r="N1572">
        <v>213</v>
      </c>
      <c r="O1572">
        <v>398</v>
      </c>
      <c r="P1572">
        <v>378</v>
      </c>
      <c r="Q1572">
        <v>206</v>
      </c>
      <c r="R1572">
        <v>358</v>
      </c>
      <c r="S1572">
        <v>332</v>
      </c>
      <c r="T1572" t="s">
        <v>31</v>
      </c>
      <c r="U1572" t="s">
        <v>31</v>
      </c>
      <c r="V1572" t="s">
        <v>31</v>
      </c>
      <c r="W1572" t="s">
        <v>31</v>
      </c>
      <c r="X1572" t="s">
        <v>31</v>
      </c>
      <c r="Y1572" t="s">
        <v>31</v>
      </c>
    </row>
    <row r="1573" spans="1:25" hidden="1">
      <c r="A1573" t="s">
        <v>25</v>
      </c>
      <c r="B1573" t="s">
        <v>26</v>
      </c>
      <c r="C1573" t="s">
        <v>55</v>
      </c>
      <c r="D1573" s="1">
        <v>44241</v>
      </c>
      <c r="E1573" s="2">
        <v>0.5625</v>
      </c>
      <c r="F1573" t="s">
        <v>38</v>
      </c>
      <c r="G1573" t="s">
        <v>48</v>
      </c>
      <c r="H1573">
        <v>1</v>
      </c>
      <c r="I1573">
        <v>1</v>
      </c>
      <c r="J1573" t="s">
        <v>41</v>
      </c>
      <c r="K1573">
        <v>235</v>
      </c>
      <c r="L1573">
        <v>384</v>
      </c>
      <c r="M1573">
        <v>292</v>
      </c>
      <c r="N1573">
        <v>24</v>
      </c>
      <c r="O1573">
        <v>386</v>
      </c>
      <c r="P1573">
        <v>292</v>
      </c>
      <c r="Q1573">
        <v>228</v>
      </c>
      <c r="R1573">
        <v>367</v>
      </c>
      <c r="S1573">
        <v>281</v>
      </c>
      <c r="T1573" t="s">
        <v>31</v>
      </c>
      <c r="U1573" t="s">
        <v>31</v>
      </c>
      <c r="V1573" t="s">
        <v>31</v>
      </c>
      <c r="W1573" t="s">
        <v>31</v>
      </c>
      <c r="X1573" t="s">
        <v>31</v>
      </c>
      <c r="Y1573" t="s">
        <v>31</v>
      </c>
    </row>
    <row r="1574" spans="1:25" hidden="1">
      <c r="A1574" t="s">
        <v>25</v>
      </c>
      <c r="B1574" t="s">
        <v>26</v>
      </c>
      <c r="C1574" t="s">
        <v>55</v>
      </c>
      <c r="D1574" s="1">
        <v>44241</v>
      </c>
      <c r="E1574" s="2">
        <v>0.66666666666666663</v>
      </c>
      <c r="F1574" t="s">
        <v>50</v>
      </c>
      <c r="G1574" t="s">
        <v>28</v>
      </c>
      <c r="H1574">
        <v>2</v>
      </c>
      <c r="I1574">
        <v>0</v>
      </c>
      <c r="J1574" t="s">
        <v>34</v>
      </c>
      <c r="K1574">
        <v>161</v>
      </c>
      <c r="L1574">
        <v>442</v>
      </c>
      <c r="M1574">
        <v>543</v>
      </c>
      <c r="N1574">
        <v>164</v>
      </c>
      <c r="O1574">
        <v>45</v>
      </c>
      <c r="P1574">
        <v>55</v>
      </c>
      <c r="Q1574">
        <v>158</v>
      </c>
      <c r="R1574">
        <v>423</v>
      </c>
      <c r="S1574">
        <v>509</v>
      </c>
      <c r="T1574" t="s">
        <v>31</v>
      </c>
      <c r="U1574" t="s">
        <v>31</v>
      </c>
      <c r="V1574" t="s">
        <v>31</v>
      </c>
      <c r="W1574" t="s">
        <v>31</v>
      </c>
      <c r="X1574" t="s">
        <v>31</v>
      </c>
      <c r="Y1574" t="s">
        <v>31</v>
      </c>
    </row>
    <row r="1575" spans="1:25" hidden="1">
      <c r="A1575" t="s">
        <v>25</v>
      </c>
      <c r="B1575" t="s">
        <v>26</v>
      </c>
      <c r="C1575" t="s">
        <v>55</v>
      </c>
      <c r="D1575" s="1">
        <v>44247</v>
      </c>
      <c r="E1575" s="2">
        <v>0.66666666666666663</v>
      </c>
      <c r="F1575" t="s">
        <v>40</v>
      </c>
      <c r="G1575" t="s">
        <v>45</v>
      </c>
      <c r="H1575">
        <v>5</v>
      </c>
      <c r="I1575">
        <v>1</v>
      </c>
      <c r="J1575" t="s">
        <v>34</v>
      </c>
      <c r="K1575">
        <v>184</v>
      </c>
      <c r="L1575">
        <v>397</v>
      </c>
      <c r="M1575">
        <v>426</v>
      </c>
      <c r="N1575">
        <v>187</v>
      </c>
      <c r="O1575">
        <v>403</v>
      </c>
      <c r="P1575">
        <v>444</v>
      </c>
      <c r="Q1575">
        <v>179</v>
      </c>
      <c r="R1575">
        <v>378</v>
      </c>
      <c r="S1575">
        <v>405</v>
      </c>
      <c r="T1575" t="s">
        <v>31</v>
      </c>
      <c r="U1575" t="s">
        <v>31</v>
      </c>
      <c r="V1575" t="s">
        <v>31</v>
      </c>
      <c r="W1575" t="s">
        <v>31</v>
      </c>
      <c r="X1575" t="s">
        <v>31</v>
      </c>
      <c r="Y1575" t="s">
        <v>31</v>
      </c>
    </row>
    <row r="1576" spans="1:25" hidden="1">
      <c r="A1576" t="s">
        <v>25</v>
      </c>
      <c r="B1576" t="s">
        <v>26</v>
      </c>
      <c r="C1576" t="s">
        <v>55</v>
      </c>
      <c r="D1576" s="1">
        <v>44247</v>
      </c>
      <c r="E1576" s="2">
        <v>0.66666666666666663</v>
      </c>
      <c r="F1576" t="s">
        <v>52</v>
      </c>
      <c r="G1576" t="s">
        <v>38</v>
      </c>
      <c r="H1576">
        <v>1</v>
      </c>
      <c r="I1576">
        <v>1</v>
      </c>
      <c r="J1576" t="s">
        <v>41</v>
      </c>
      <c r="K1576">
        <v>25</v>
      </c>
      <c r="L1576">
        <v>365</v>
      </c>
      <c r="M1576">
        <v>283</v>
      </c>
      <c r="N1576">
        <v>255</v>
      </c>
      <c r="O1576">
        <v>376</v>
      </c>
      <c r="P1576">
        <v>292</v>
      </c>
      <c r="Q1576">
        <v>237</v>
      </c>
      <c r="R1576">
        <v>354</v>
      </c>
      <c r="S1576">
        <v>275</v>
      </c>
      <c r="T1576" t="s">
        <v>31</v>
      </c>
      <c r="U1576" t="s">
        <v>31</v>
      </c>
      <c r="V1576" t="s">
        <v>31</v>
      </c>
      <c r="W1576" t="s">
        <v>31</v>
      </c>
      <c r="X1576" t="s">
        <v>31</v>
      </c>
      <c r="Y1576" t="s">
        <v>31</v>
      </c>
    </row>
    <row r="1577" spans="1:25" hidden="1">
      <c r="A1577" t="s">
        <v>25</v>
      </c>
      <c r="B1577" t="s">
        <v>26</v>
      </c>
      <c r="C1577" t="s">
        <v>55</v>
      </c>
      <c r="D1577" s="1">
        <v>44247</v>
      </c>
      <c r="E1577" s="2">
        <v>0.66666666666666663</v>
      </c>
      <c r="F1577" t="s">
        <v>54</v>
      </c>
      <c r="G1577" t="s">
        <v>48</v>
      </c>
      <c r="H1577">
        <v>0</v>
      </c>
      <c r="I1577">
        <v>1</v>
      </c>
      <c r="J1577" t="s">
        <v>30</v>
      </c>
      <c r="K1577">
        <v>178</v>
      </c>
      <c r="L1577">
        <v>435</v>
      </c>
      <c r="M1577">
        <v>419</v>
      </c>
      <c r="N1577">
        <v>184</v>
      </c>
      <c r="O1577">
        <v>437</v>
      </c>
      <c r="P1577">
        <v>433</v>
      </c>
      <c r="Q1577">
        <v>174</v>
      </c>
      <c r="R1577">
        <v>412</v>
      </c>
      <c r="S1577">
        <v>402</v>
      </c>
      <c r="T1577" t="s">
        <v>31</v>
      </c>
      <c r="U1577" t="s">
        <v>31</v>
      </c>
      <c r="V1577" t="s">
        <v>31</v>
      </c>
      <c r="W1577" t="s">
        <v>31</v>
      </c>
      <c r="X1577" t="s">
        <v>31</v>
      </c>
      <c r="Y1577" t="s">
        <v>31</v>
      </c>
    </row>
    <row r="1578" spans="1:25" hidden="1">
      <c r="A1578" t="s">
        <v>25</v>
      </c>
      <c r="B1578" t="s">
        <v>26</v>
      </c>
      <c r="C1578" t="s">
        <v>55</v>
      </c>
      <c r="D1578" s="1">
        <v>44248</v>
      </c>
      <c r="E1578" s="2">
        <v>0.5625</v>
      </c>
      <c r="F1578" t="s">
        <v>37</v>
      </c>
      <c r="G1578" t="s">
        <v>50</v>
      </c>
      <c r="H1578">
        <v>1</v>
      </c>
      <c r="I1578">
        <v>2</v>
      </c>
      <c r="J1578" t="s">
        <v>30</v>
      </c>
      <c r="K1578">
        <v>912</v>
      </c>
      <c r="L1578">
        <v>564</v>
      </c>
      <c r="M1578">
        <v>134</v>
      </c>
      <c r="N1578">
        <v>98</v>
      </c>
      <c r="O1578">
        <v>575</v>
      </c>
      <c r="P1578">
        <v>135</v>
      </c>
      <c r="Q1578">
        <v>877</v>
      </c>
      <c r="R1578">
        <v>538</v>
      </c>
      <c r="S1578">
        <v>13</v>
      </c>
      <c r="T1578" t="s">
        <v>31</v>
      </c>
      <c r="U1578" t="s">
        <v>31</v>
      </c>
      <c r="V1578" t="s">
        <v>31</v>
      </c>
      <c r="W1578" t="s">
        <v>31</v>
      </c>
      <c r="X1578" t="s">
        <v>31</v>
      </c>
      <c r="Y1578" t="s">
        <v>31</v>
      </c>
    </row>
    <row r="1579" spans="1:25" hidden="1">
      <c r="A1579" t="s">
        <v>25</v>
      </c>
      <c r="B1579" t="s">
        <v>26</v>
      </c>
      <c r="C1579" t="s">
        <v>55</v>
      </c>
      <c r="D1579" s="1">
        <v>44248</v>
      </c>
      <c r="E1579" s="2">
        <v>0.5625</v>
      </c>
      <c r="F1579" t="s">
        <v>28</v>
      </c>
      <c r="G1579" t="s">
        <v>39</v>
      </c>
      <c r="H1579">
        <v>1</v>
      </c>
      <c r="I1579">
        <v>2</v>
      </c>
      <c r="J1579" t="s">
        <v>30</v>
      </c>
      <c r="K1579">
        <v>229</v>
      </c>
      <c r="L1579">
        <v>337</v>
      </c>
      <c r="M1579">
        <v>34</v>
      </c>
      <c r="N1579">
        <v>235</v>
      </c>
      <c r="O1579">
        <v>342</v>
      </c>
      <c r="P1579">
        <v>342</v>
      </c>
      <c r="Q1579">
        <v>223</v>
      </c>
      <c r="R1579">
        <v>326</v>
      </c>
      <c r="S1579">
        <v>32</v>
      </c>
      <c r="T1579" t="s">
        <v>31</v>
      </c>
      <c r="U1579" t="s">
        <v>31</v>
      </c>
      <c r="V1579" t="s">
        <v>31</v>
      </c>
      <c r="W1579" t="s">
        <v>31</v>
      </c>
      <c r="X1579" t="s">
        <v>31</v>
      </c>
      <c r="Y1579" t="s">
        <v>31</v>
      </c>
    </row>
    <row r="1580" spans="1:25" hidden="1">
      <c r="A1580" t="s">
        <v>25</v>
      </c>
      <c r="B1580" t="s">
        <v>26</v>
      </c>
      <c r="C1580" t="s">
        <v>55</v>
      </c>
      <c r="D1580" s="1">
        <v>44248</v>
      </c>
      <c r="E1580" s="2">
        <v>0.66666666666666663</v>
      </c>
      <c r="F1580" t="s">
        <v>29</v>
      </c>
      <c r="G1580" t="s">
        <v>35</v>
      </c>
      <c r="H1580">
        <v>4</v>
      </c>
      <c r="I1580">
        <v>2</v>
      </c>
      <c r="J1580" t="s">
        <v>34</v>
      </c>
      <c r="K1580">
        <v>152</v>
      </c>
      <c r="L1580">
        <v>511</v>
      </c>
      <c r="M1580">
        <v>569</v>
      </c>
      <c r="N1580">
        <v>157</v>
      </c>
      <c r="O1580">
        <v>511</v>
      </c>
      <c r="P1580">
        <v>591</v>
      </c>
      <c r="Q1580">
        <v>151</v>
      </c>
      <c r="R1580">
        <v>461</v>
      </c>
      <c r="S1580">
        <v>529</v>
      </c>
      <c r="T1580" t="s">
        <v>31</v>
      </c>
      <c r="U1580" t="s">
        <v>31</v>
      </c>
      <c r="V1580" t="s">
        <v>31</v>
      </c>
      <c r="W1580" t="s">
        <v>31</v>
      </c>
      <c r="X1580" t="s">
        <v>31</v>
      </c>
      <c r="Y1580" t="s">
        <v>31</v>
      </c>
    </row>
    <row r="1581" spans="1:25" hidden="1">
      <c r="A1581" t="s">
        <v>25</v>
      </c>
      <c r="B1581" t="s">
        <v>26</v>
      </c>
      <c r="C1581" t="s">
        <v>55</v>
      </c>
      <c r="D1581" s="1">
        <v>44250</v>
      </c>
      <c r="E1581" s="2">
        <v>0.72916666666666663</v>
      </c>
      <c r="F1581" t="s">
        <v>52</v>
      </c>
      <c r="G1581" t="s">
        <v>54</v>
      </c>
      <c r="H1581">
        <v>1</v>
      </c>
      <c r="I1581">
        <v>0</v>
      </c>
      <c r="J1581" t="s">
        <v>34</v>
      </c>
      <c r="K1581">
        <v>28</v>
      </c>
      <c r="L1581">
        <v>35</v>
      </c>
      <c r="M1581">
        <v>26</v>
      </c>
      <c r="N1581">
        <v>28</v>
      </c>
      <c r="O1581">
        <v>356</v>
      </c>
      <c r="P1581">
        <v>265</v>
      </c>
      <c r="Q1581">
        <v>271</v>
      </c>
      <c r="R1581">
        <v>336</v>
      </c>
      <c r="S1581">
        <v>248</v>
      </c>
      <c r="T1581" t="s">
        <v>31</v>
      </c>
      <c r="U1581" t="s">
        <v>31</v>
      </c>
      <c r="V1581" t="s">
        <v>31</v>
      </c>
      <c r="W1581" t="s">
        <v>31</v>
      </c>
      <c r="X1581" t="s">
        <v>31</v>
      </c>
      <c r="Y1581" t="s">
        <v>31</v>
      </c>
    </row>
    <row r="1582" spans="1:25" hidden="1">
      <c r="A1582" t="s">
        <v>25</v>
      </c>
      <c r="B1582" t="s">
        <v>26</v>
      </c>
      <c r="C1582" t="s">
        <v>55</v>
      </c>
      <c r="D1582" s="1">
        <v>44254</v>
      </c>
      <c r="E1582" s="2">
        <v>0.66666666666666663</v>
      </c>
      <c r="F1582" t="s">
        <v>37</v>
      </c>
      <c r="G1582" t="s">
        <v>54</v>
      </c>
      <c r="H1582">
        <v>1</v>
      </c>
      <c r="I1582">
        <v>1</v>
      </c>
      <c r="J1582" t="s">
        <v>41</v>
      </c>
      <c r="K1582">
        <v>337</v>
      </c>
      <c r="L1582">
        <v>36</v>
      </c>
      <c r="M1582">
        <v>22</v>
      </c>
      <c r="N1582">
        <v>346</v>
      </c>
      <c r="O1582">
        <v>38</v>
      </c>
      <c r="P1582">
        <v>221</v>
      </c>
      <c r="Q1582">
        <v>323</v>
      </c>
      <c r="R1582">
        <v>353</v>
      </c>
      <c r="S1582">
        <v>21</v>
      </c>
      <c r="T1582" t="s">
        <v>31</v>
      </c>
      <c r="U1582" t="s">
        <v>31</v>
      </c>
      <c r="V1582" t="s">
        <v>31</v>
      </c>
      <c r="W1582" t="s">
        <v>31</v>
      </c>
      <c r="X1582" t="s">
        <v>31</v>
      </c>
      <c r="Y1582" t="s">
        <v>31</v>
      </c>
    </row>
    <row r="1583" spans="1:25" hidden="1">
      <c r="A1583" t="s">
        <v>25</v>
      </c>
      <c r="B1583" t="s">
        <v>26</v>
      </c>
      <c r="C1583" t="s">
        <v>55</v>
      </c>
      <c r="D1583" s="1">
        <v>44254</v>
      </c>
      <c r="E1583" s="2">
        <v>0.66666666666666663</v>
      </c>
      <c r="F1583" t="s">
        <v>50</v>
      </c>
      <c r="G1583" t="s">
        <v>52</v>
      </c>
      <c r="H1583">
        <v>1</v>
      </c>
      <c r="I1583">
        <v>2</v>
      </c>
      <c r="J1583" t="s">
        <v>30</v>
      </c>
      <c r="K1583">
        <v>137</v>
      </c>
      <c r="L1583">
        <v>541</v>
      </c>
      <c r="M1583">
        <v>85</v>
      </c>
      <c r="N1583">
        <v>14</v>
      </c>
      <c r="O1583">
        <v>566</v>
      </c>
      <c r="P1583">
        <v>85</v>
      </c>
      <c r="Q1583">
        <v>134</v>
      </c>
      <c r="R1583">
        <v>519</v>
      </c>
      <c r="S1583">
        <v>764</v>
      </c>
      <c r="T1583" t="s">
        <v>31</v>
      </c>
      <c r="U1583" t="s">
        <v>31</v>
      </c>
      <c r="V1583" t="s">
        <v>31</v>
      </c>
      <c r="W1583" t="s">
        <v>31</v>
      </c>
      <c r="X1583" t="s">
        <v>31</v>
      </c>
      <c r="Y1583" t="s">
        <v>31</v>
      </c>
    </row>
    <row r="1584" spans="1:25" hidden="1">
      <c r="A1584" t="s">
        <v>25</v>
      </c>
      <c r="B1584" t="s">
        <v>26</v>
      </c>
      <c r="C1584" t="s">
        <v>55</v>
      </c>
      <c r="D1584" s="1">
        <v>44254</v>
      </c>
      <c r="E1584" s="2">
        <v>0.66666666666666663</v>
      </c>
      <c r="F1584" t="s">
        <v>35</v>
      </c>
      <c r="G1584" t="s">
        <v>38</v>
      </c>
      <c r="H1584">
        <v>1</v>
      </c>
      <c r="I1584">
        <v>0</v>
      </c>
      <c r="J1584" t="s">
        <v>34</v>
      </c>
      <c r="K1584">
        <v>14</v>
      </c>
      <c r="L1584">
        <v>531</v>
      </c>
      <c r="M1584">
        <v>769</v>
      </c>
      <c r="N1584">
        <v>144</v>
      </c>
      <c r="O1584">
        <v>55</v>
      </c>
      <c r="P1584">
        <v>8</v>
      </c>
      <c r="Q1584">
        <v>138</v>
      </c>
      <c r="R1584">
        <v>501</v>
      </c>
      <c r="S1584">
        <v>701</v>
      </c>
      <c r="T1584" t="s">
        <v>31</v>
      </c>
      <c r="U1584" t="s">
        <v>31</v>
      </c>
      <c r="V1584" t="s">
        <v>31</v>
      </c>
      <c r="W1584" t="s">
        <v>31</v>
      </c>
      <c r="X1584" t="s">
        <v>31</v>
      </c>
      <c r="Y1584" t="s">
        <v>31</v>
      </c>
    </row>
    <row r="1585" spans="1:25" hidden="1">
      <c r="A1585" t="s">
        <v>25</v>
      </c>
      <c r="B1585" t="s">
        <v>26</v>
      </c>
      <c r="C1585" t="s">
        <v>55</v>
      </c>
      <c r="D1585" s="1">
        <v>44255</v>
      </c>
      <c r="E1585" s="2">
        <v>0.5625</v>
      </c>
      <c r="F1585" t="s">
        <v>48</v>
      </c>
      <c r="G1585" t="s">
        <v>40</v>
      </c>
      <c r="H1585">
        <v>0</v>
      </c>
      <c r="I1585">
        <v>2</v>
      </c>
      <c r="J1585" t="s">
        <v>30</v>
      </c>
      <c r="K1585">
        <v>363</v>
      </c>
      <c r="L1585">
        <v>399</v>
      </c>
      <c r="M1585">
        <v>199</v>
      </c>
      <c r="N1585">
        <v>38</v>
      </c>
      <c r="O1585">
        <v>4</v>
      </c>
      <c r="P1585">
        <v>209</v>
      </c>
      <c r="Q1585">
        <v>332</v>
      </c>
      <c r="R1585">
        <v>377</v>
      </c>
      <c r="S1585">
        <v>2</v>
      </c>
      <c r="T1585" t="s">
        <v>31</v>
      </c>
      <c r="U1585" t="s">
        <v>31</v>
      </c>
      <c r="V1585" t="s">
        <v>31</v>
      </c>
      <c r="W1585" t="s">
        <v>31</v>
      </c>
      <c r="X1585" t="s">
        <v>31</v>
      </c>
      <c r="Y1585" t="s">
        <v>31</v>
      </c>
    </row>
    <row r="1586" spans="1:25" hidden="1">
      <c r="A1586" t="s">
        <v>25</v>
      </c>
      <c r="B1586" t="s">
        <v>26</v>
      </c>
      <c r="C1586" t="s">
        <v>55</v>
      </c>
      <c r="D1586" s="1">
        <v>44255</v>
      </c>
      <c r="E1586" s="2">
        <v>0.5625</v>
      </c>
      <c r="F1586" t="s">
        <v>39</v>
      </c>
      <c r="G1586" t="s">
        <v>45</v>
      </c>
      <c r="H1586">
        <v>0</v>
      </c>
      <c r="I1586">
        <v>1</v>
      </c>
      <c r="J1586" t="s">
        <v>30</v>
      </c>
      <c r="K1586">
        <v>176</v>
      </c>
      <c r="L1586">
        <v>377</v>
      </c>
      <c r="M1586">
        <v>508</v>
      </c>
      <c r="N1586">
        <v>178</v>
      </c>
      <c r="O1586">
        <v>4</v>
      </c>
      <c r="P1586">
        <v>55</v>
      </c>
      <c r="Q1586">
        <v>168</v>
      </c>
      <c r="R1586">
        <v>376</v>
      </c>
      <c r="S1586">
        <v>486</v>
      </c>
      <c r="T1586" t="s">
        <v>31</v>
      </c>
      <c r="U1586" t="s">
        <v>31</v>
      </c>
      <c r="V1586" t="s">
        <v>31</v>
      </c>
      <c r="W1586" t="s">
        <v>31</v>
      </c>
      <c r="X1586" t="s">
        <v>31</v>
      </c>
      <c r="Y1586" t="s">
        <v>31</v>
      </c>
    </row>
    <row r="1587" spans="1:25" hidden="1">
      <c r="A1587" t="s">
        <v>25</v>
      </c>
      <c r="B1587" t="s">
        <v>26</v>
      </c>
      <c r="C1587" t="s">
        <v>55</v>
      </c>
      <c r="D1587" s="1">
        <v>44255</v>
      </c>
      <c r="E1587" s="2">
        <v>0.66666666666666663</v>
      </c>
      <c r="F1587" t="s">
        <v>28</v>
      </c>
      <c r="G1587" t="s">
        <v>29</v>
      </c>
      <c r="H1587">
        <v>2</v>
      </c>
      <c r="I1587">
        <v>1</v>
      </c>
      <c r="J1587" t="s">
        <v>34</v>
      </c>
      <c r="K1587">
        <v>813</v>
      </c>
      <c r="L1587">
        <v>499</v>
      </c>
      <c r="M1587">
        <v>141</v>
      </c>
      <c r="N1587">
        <v>813</v>
      </c>
      <c r="O1587">
        <v>523</v>
      </c>
      <c r="P1587">
        <v>145</v>
      </c>
      <c r="Q1587">
        <v>695</v>
      </c>
      <c r="R1587">
        <v>477</v>
      </c>
      <c r="S1587">
        <v>14</v>
      </c>
      <c r="T1587" t="s">
        <v>31</v>
      </c>
      <c r="U1587" t="s">
        <v>31</v>
      </c>
      <c r="V1587" t="s">
        <v>31</v>
      </c>
      <c r="W1587" t="s">
        <v>31</v>
      </c>
      <c r="X1587" t="s">
        <v>31</v>
      </c>
      <c r="Y1587" t="s">
        <v>31</v>
      </c>
    </row>
    <row r="1588" spans="1:25" hidden="1">
      <c r="A1588" t="s">
        <v>25</v>
      </c>
      <c r="B1588" t="s">
        <v>26</v>
      </c>
      <c r="C1588" t="s">
        <v>55</v>
      </c>
      <c r="D1588" s="1">
        <v>44261</v>
      </c>
      <c r="E1588" s="2">
        <v>0.66666666666666663</v>
      </c>
      <c r="F1588" t="s">
        <v>45</v>
      </c>
      <c r="G1588" t="s">
        <v>50</v>
      </c>
      <c r="H1588">
        <v>0</v>
      </c>
      <c r="I1588">
        <v>1</v>
      </c>
      <c r="J1588" t="s">
        <v>30</v>
      </c>
      <c r="K1588">
        <v>784</v>
      </c>
      <c r="L1588">
        <v>495</v>
      </c>
      <c r="M1588">
        <v>142</v>
      </c>
      <c r="N1588">
        <v>85</v>
      </c>
      <c r="O1588">
        <v>5</v>
      </c>
      <c r="P1588">
        <v>146</v>
      </c>
      <c r="Q1588">
        <v>742</v>
      </c>
      <c r="R1588">
        <v>47</v>
      </c>
      <c r="S1588">
        <v>139</v>
      </c>
      <c r="T1588" t="s">
        <v>31</v>
      </c>
      <c r="U1588" t="s">
        <v>31</v>
      </c>
      <c r="V1588" t="s">
        <v>31</v>
      </c>
      <c r="W1588" t="s">
        <v>31</v>
      </c>
      <c r="X1588" t="s">
        <v>31</v>
      </c>
      <c r="Y1588" t="s">
        <v>31</v>
      </c>
    </row>
    <row r="1589" spans="1:25" hidden="1">
      <c r="A1589" t="s">
        <v>25</v>
      </c>
      <c r="B1589" t="s">
        <v>26</v>
      </c>
      <c r="C1589" t="s">
        <v>55</v>
      </c>
      <c r="D1589" s="1">
        <v>44261</v>
      </c>
      <c r="E1589" s="2">
        <v>0.66666666666666663</v>
      </c>
      <c r="F1589" t="s">
        <v>52</v>
      </c>
      <c r="G1589" t="s">
        <v>37</v>
      </c>
      <c r="H1589">
        <v>2</v>
      </c>
      <c r="I1589">
        <v>1</v>
      </c>
      <c r="J1589" t="s">
        <v>34</v>
      </c>
      <c r="K1589">
        <v>233</v>
      </c>
      <c r="L1589">
        <v>351</v>
      </c>
      <c r="M1589">
        <v>319</v>
      </c>
      <c r="N1589">
        <v>237</v>
      </c>
      <c r="O1589">
        <v>38</v>
      </c>
      <c r="P1589">
        <v>33</v>
      </c>
      <c r="Q1589">
        <v>222</v>
      </c>
      <c r="R1589">
        <v>343</v>
      </c>
      <c r="S1589">
        <v>308</v>
      </c>
      <c r="T1589" t="s">
        <v>31</v>
      </c>
      <c r="U1589" t="s">
        <v>31</v>
      </c>
      <c r="V1589" t="s">
        <v>31</v>
      </c>
      <c r="W1589" t="s">
        <v>31</v>
      </c>
      <c r="X1589" t="s">
        <v>31</v>
      </c>
      <c r="Y1589" t="s">
        <v>31</v>
      </c>
    </row>
    <row r="1590" spans="1:25" hidden="1">
      <c r="A1590" t="s">
        <v>25</v>
      </c>
      <c r="B1590" t="s">
        <v>26</v>
      </c>
      <c r="C1590" t="s">
        <v>55</v>
      </c>
      <c r="D1590" s="1">
        <v>44261</v>
      </c>
      <c r="E1590" s="2">
        <v>0.66666666666666663</v>
      </c>
      <c r="F1590" t="s">
        <v>54</v>
      </c>
      <c r="G1590" t="s">
        <v>28</v>
      </c>
      <c r="H1590">
        <v>1</v>
      </c>
      <c r="I1590">
        <v>1</v>
      </c>
      <c r="J1590" t="s">
        <v>41</v>
      </c>
      <c r="K1590">
        <v>31</v>
      </c>
      <c r="L1590">
        <v>361</v>
      </c>
      <c r="M1590">
        <v>233</v>
      </c>
      <c r="N1590">
        <v>31</v>
      </c>
      <c r="O1590">
        <v>366</v>
      </c>
      <c r="P1590">
        <v>236</v>
      </c>
      <c r="Q1590">
        <v>299</v>
      </c>
      <c r="R1590">
        <v>347</v>
      </c>
      <c r="S1590">
        <v>225</v>
      </c>
      <c r="T1590" t="s">
        <v>31</v>
      </c>
      <c r="U1590" t="s">
        <v>31</v>
      </c>
      <c r="V1590" t="s">
        <v>31</v>
      </c>
      <c r="W1590" t="s">
        <v>31</v>
      </c>
      <c r="X1590" t="s">
        <v>31</v>
      </c>
      <c r="Y1590" t="s">
        <v>31</v>
      </c>
    </row>
    <row r="1591" spans="1:25" hidden="1">
      <c r="A1591" t="s">
        <v>25</v>
      </c>
      <c r="B1591" t="s">
        <v>26</v>
      </c>
      <c r="C1591" t="s">
        <v>55</v>
      </c>
      <c r="D1591" s="1">
        <v>44262</v>
      </c>
      <c r="E1591" s="2">
        <v>0.5625</v>
      </c>
      <c r="F1591" t="s">
        <v>38</v>
      </c>
      <c r="G1591" t="s">
        <v>39</v>
      </c>
      <c r="H1591">
        <v>0</v>
      </c>
      <c r="I1591">
        <v>4</v>
      </c>
      <c r="J1591" t="s">
        <v>30</v>
      </c>
      <c r="K1591">
        <v>427</v>
      </c>
      <c r="L1591">
        <v>402</v>
      </c>
      <c r="M1591">
        <v>183</v>
      </c>
      <c r="N1591">
        <v>434</v>
      </c>
      <c r="O1591">
        <v>402</v>
      </c>
      <c r="P1591">
        <v>186</v>
      </c>
      <c r="Q1591">
        <v>411</v>
      </c>
      <c r="R1591">
        <v>372</v>
      </c>
      <c r="S1591">
        <v>181</v>
      </c>
      <c r="T1591" t="s">
        <v>31</v>
      </c>
      <c r="U1591" t="s">
        <v>31</v>
      </c>
      <c r="V1591" t="s">
        <v>31</v>
      </c>
      <c r="W1591" t="s">
        <v>31</v>
      </c>
      <c r="X1591" t="s">
        <v>31</v>
      </c>
      <c r="Y1591" t="s">
        <v>31</v>
      </c>
    </row>
    <row r="1592" spans="1:25" hidden="1">
      <c r="A1592" t="s">
        <v>25</v>
      </c>
      <c r="B1592" t="s">
        <v>26</v>
      </c>
      <c r="C1592" t="s">
        <v>55</v>
      </c>
      <c r="D1592" s="1">
        <v>44262</v>
      </c>
      <c r="E1592" s="2">
        <v>0.5625</v>
      </c>
      <c r="F1592" t="s">
        <v>29</v>
      </c>
      <c r="G1592" t="s">
        <v>48</v>
      </c>
      <c r="H1592">
        <v>4</v>
      </c>
      <c r="I1592">
        <v>1</v>
      </c>
      <c r="J1592" t="s">
        <v>34</v>
      </c>
      <c r="K1592">
        <v>109</v>
      </c>
      <c r="L1592">
        <v>1271</v>
      </c>
      <c r="M1592">
        <v>2297</v>
      </c>
      <c r="N1592">
        <v>11</v>
      </c>
      <c r="O1592">
        <v>1403</v>
      </c>
      <c r="P1592">
        <v>36</v>
      </c>
      <c r="Q1592">
        <v>107</v>
      </c>
      <c r="R1592">
        <v>1162</v>
      </c>
      <c r="S1592">
        <v>2486</v>
      </c>
      <c r="T1592" t="s">
        <v>31</v>
      </c>
      <c r="U1592" t="s">
        <v>31</v>
      </c>
      <c r="V1592" t="s">
        <v>31</v>
      </c>
      <c r="W1592" t="s">
        <v>31</v>
      </c>
      <c r="X1592" t="s">
        <v>31</v>
      </c>
      <c r="Y1592" t="s">
        <v>31</v>
      </c>
    </row>
    <row r="1593" spans="1:25" hidden="1">
      <c r="A1593" t="s">
        <v>25</v>
      </c>
      <c r="B1593" t="s">
        <v>26</v>
      </c>
      <c r="C1593" t="s">
        <v>55</v>
      </c>
      <c r="D1593" s="1">
        <v>44262</v>
      </c>
      <c r="E1593" s="2">
        <v>0.66666666666666663</v>
      </c>
      <c r="F1593" t="s">
        <v>40</v>
      </c>
      <c r="G1593" t="s">
        <v>35</v>
      </c>
      <c r="H1593">
        <v>0</v>
      </c>
      <c r="I1593">
        <v>0</v>
      </c>
      <c r="J1593" t="s">
        <v>41</v>
      </c>
      <c r="K1593">
        <v>433</v>
      </c>
      <c r="L1593">
        <v>435</v>
      </c>
      <c r="M1593">
        <v>176</v>
      </c>
      <c r="N1593">
        <v>475</v>
      </c>
      <c r="O1593">
        <v>435</v>
      </c>
      <c r="P1593">
        <v>183</v>
      </c>
      <c r="Q1593">
        <v>417</v>
      </c>
      <c r="R1593">
        <v>407</v>
      </c>
      <c r="S1593">
        <v>172</v>
      </c>
      <c r="T1593" t="s">
        <v>31</v>
      </c>
      <c r="U1593" t="s">
        <v>31</v>
      </c>
      <c r="V1593" t="s">
        <v>31</v>
      </c>
      <c r="W1593" t="s">
        <v>31</v>
      </c>
      <c r="X1593" t="s">
        <v>31</v>
      </c>
      <c r="Y1593" t="s">
        <v>31</v>
      </c>
    </row>
    <row r="1594" spans="1:25" hidden="1">
      <c r="A1594" t="s">
        <v>25</v>
      </c>
      <c r="B1594" t="s">
        <v>26</v>
      </c>
      <c r="C1594" t="s">
        <v>55</v>
      </c>
      <c r="D1594" s="1">
        <v>44268</v>
      </c>
      <c r="E1594" s="2">
        <v>0.66666666666666663</v>
      </c>
      <c r="F1594" t="s">
        <v>29</v>
      </c>
      <c r="G1594" t="s">
        <v>37</v>
      </c>
      <c r="H1594">
        <v>3</v>
      </c>
      <c r="I1594">
        <v>1</v>
      </c>
      <c r="J1594" t="s">
        <v>34</v>
      </c>
      <c r="K1594">
        <v>109</v>
      </c>
      <c r="L1594">
        <v>1355</v>
      </c>
      <c r="M1594">
        <v>3161</v>
      </c>
      <c r="N1594">
        <v>109</v>
      </c>
      <c r="O1594">
        <v>14</v>
      </c>
      <c r="P1594">
        <v>34</v>
      </c>
      <c r="Q1594">
        <v>107</v>
      </c>
      <c r="R1594">
        <v>1122</v>
      </c>
      <c r="S1594">
        <v>2461</v>
      </c>
      <c r="T1594" t="s">
        <v>31</v>
      </c>
      <c r="U1594" t="s">
        <v>31</v>
      </c>
      <c r="V1594" t="s">
        <v>31</v>
      </c>
      <c r="W1594" t="s">
        <v>31</v>
      </c>
      <c r="X1594" t="s">
        <v>31</v>
      </c>
      <c r="Y1594" t="s">
        <v>31</v>
      </c>
    </row>
    <row r="1595" spans="1:25" hidden="1">
      <c r="A1595" t="s">
        <v>25</v>
      </c>
      <c r="B1595" t="s">
        <v>26</v>
      </c>
      <c r="C1595" t="s">
        <v>55</v>
      </c>
      <c r="D1595" s="1">
        <v>44269</v>
      </c>
      <c r="E1595" s="2">
        <v>0.66666666666666663</v>
      </c>
      <c r="F1595" t="s">
        <v>35</v>
      </c>
      <c r="G1595" t="s">
        <v>52</v>
      </c>
      <c r="H1595">
        <v>4</v>
      </c>
      <c r="I1595">
        <v>0</v>
      </c>
      <c r="J1595" t="s">
        <v>34</v>
      </c>
      <c r="K1595">
        <v>145</v>
      </c>
      <c r="L1595">
        <v>503</v>
      </c>
      <c r="M1595">
        <v>704</v>
      </c>
      <c r="N1595">
        <v>147</v>
      </c>
      <c r="O1595">
        <v>54</v>
      </c>
      <c r="P1595">
        <v>75</v>
      </c>
      <c r="Q1595">
        <v>142</v>
      </c>
      <c r="R1595">
        <v>478</v>
      </c>
      <c r="S1595">
        <v>648</v>
      </c>
      <c r="T1595" t="s">
        <v>31</v>
      </c>
      <c r="U1595" t="s">
        <v>31</v>
      </c>
      <c r="V1595" t="s">
        <v>31</v>
      </c>
      <c r="W1595" t="s">
        <v>31</v>
      </c>
      <c r="X1595" t="s">
        <v>31</v>
      </c>
      <c r="Y1595" t="s">
        <v>31</v>
      </c>
    </row>
    <row r="1596" spans="1:25" hidden="1">
      <c r="A1596" t="s">
        <v>25</v>
      </c>
      <c r="B1596" t="s">
        <v>26</v>
      </c>
      <c r="C1596" t="s">
        <v>55</v>
      </c>
      <c r="D1596" s="1">
        <v>44269</v>
      </c>
      <c r="E1596" s="2">
        <v>0.66666666666666663</v>
      </c>
      <c r="F1596" t="s">
        <v>38</v>
      </c>
      <c r="G1596" t="s">
        <v>50</v>
      </c>
      <c r="H1596">
        <v>0</v>
      </c>
      <c r="I1596">
        <v>3</v>
      </c>
      <c r="J1596" t="s">
        <v>30</v>
      </c>
      <c r="K1596">
        <v>8</v>
      </c>
      <c r="L1596">
        <v>517</v>
      </c>
      <c r="M1596">
        <v>14</v>
      </c>
      <c r="N1596">
        <v>854</v>
      </c>
      <c r="O1596">
        <v>534</v>
      </c>
      <c r="P1596">
        <v>144</v>
      </c>
      <c r="Q1596">
        <v>737</v>
      </c>
      <c r="R1596">
        <v>487</v>
      </c>
      <c r="S1596">
        <v>138</v>
      </c>
      <c r="T1596" t="s">
        <v>31</v>
      </c>
      <c r="U1596" t="s">
        <v>31</v>
      </c>
      <c r="V1596" t="s">
        <v>31</v>
      </c>
      <c r="W1596" t="s">
        <v>31</v>
      </c>
      <c r="X1596" t="s">
        <v>31</v>
      </c>
      <c r="Y1596" t="s">
        <v>31</v>
      </c>
    </row>
    <row r="1597" spans="1:25" hidden="1">
      <c r="A1597" t="s">
        <v>25</v>
      </c>
      <c r="B1597" t="s">
        <v>26</v>
      </c>
      <c r="C1597" t="s">
        <v>55</v>
      </c>
      <c r="D1597" s="1">
        <v>44269</v>
      </c>
      <c r="E1597" s="2">
        <v>0.66666666666666663</v>
      </c>
      <c r="F1597" t="s">
        <v>48</v>
      </c>
      <c r="G1597" t="s">
        <v>45</v>
      </c>
      <c r="H1597">
        <v>0</v>
      </c>
      <c r="I1597">
        <v>1</v>
      </c>
      <c r="J1597" t="s">
        <v>30</v>
      </c>
      <c r="K1597">
        <v>249</v>
      </c>
      <c r="L1597">
        <v>362</v>
      </c>
      <c r="M1597">
        <v>286</v>
      </c>
      <c r="N1597">
        <v>258</v>
      </c>
      <c r="O1597">
        <v>362</v>
      </c>
      <c r="P1597">
        <v>3</v>
      </c>
      <c r="Q1597">
        <v>242</v>
      </c>
      <c r="R1597">
        <v>341</v>
      </c>
      <c r="S1597">
        <v>277</v>
      </c>
      <c r="T1597" t="s">
        <v>31</v>
      </c>
      <c r="U1597" t="s">
        <v>31</v>
      </c>
      <c r="V1597" t="s">
        <v>31</v>
      </c>
      <c r="W1597" t="s">
        <v>31</v>
      </c>
      <c r="X1597" t="s">
        <v>31</v>
      </c>
      <c r="Y1597" t="s">
        <v>31</v>
      </c>
    </row>
    <row r="1598" spans="1:25" hidden="1">
      <c r="A1598" t="s">
        <v>25</v>
      </c>
      <c r="B1598" t="s">
        <v>26</v>
      </c>
      <c r="C1598" t="s">
        <v>55</v>
      </c>
      <c r="D1598" s="1">
        <v>44269</v>
      </c>
      <c r="E1598" s="2">
        <v>0.66666666666666663</v>
      </c>
      <c r="F1598" t="s">
        <v>28</v>
      </c>
      <c r="G1598" t="s">
        <v>40</v>
      </c>
      <c r="H1598">
        <v>2</v>
      </c>
      <c r="I1598">
        <v>1</v>
      </c>
      <c r="J1598" t="s">
        <v>34</v>
      </c>
      <c r="K1598">
        <v>205</v>
      </c>
      <c r="L1598">
        <v>361</v>
      </c>
      <c r="M1598">
        <v>38</v>
      </c>
      <c r="N1598">
        <v>213</v>
      </c>
      <c r="O1598">
        <v>365</v>
      </c>
      <c r="P1598">
        <v>38</v>
      </c>
      <c r="Q1598">
        <v>201</v>
      </c>
      <c r="R1598">
        <v>344</v>
      </c>
      <c r="S1598">
        <v>357</v>
      </c>
      <c r="T1598" t="s">
        <v>31</v>
      </c>
      <c r="U1598" t="s">
        <v>31</v>
      </c>
      <c r="V1598" t="s">
        <v>31</v>
      </c>
      <c r="W1598" t="s">
        <v>31</v>
      </c>
      <c r="X1598" t="s">
        <v>31</v>
      </c>
      <c r="Y1598" t="s">
        <v>31</v>
      </c>
    </row>
    <row r="1599" spans="1:25" hidden="1">
      <c r="A1599" t="s">
        <v>25</v>
      </c>
      <c r="B1599" t="s">
        <v>26</v>
      </c>
      <c r="C1599" t="s">
        <v>55</v>
      </c>
      <c r="D1599" s="1">
        <v>44269</v>
      </c>
      <c r="E1599" s="2">
        <v>0.66666666666666663</v>
      </c>
      <c r="F1599" t="s">
        <v>39</v>
      </c>
      <c r="G1599" t="s">
        <v>54</v>
      </c>
      <c r="H1599">
        <v>3</v>
      </c>
      <c r="I1599">
        <v>5</v>
      </c>
      <c r="J1599" t="s">
        <v>30</v>
      </c>
      <c r="K1599">
        <v>183</v>
      </c>
      <c r="L1599">
        <v>398</v>
      </c>
      <c r="M1599">
        <v>429</v>
      </c>
      <c r="N1599">
        <v>198</v>
      </c>
      <c r="O1599">
        <v>399</v>
      </c>
      <c r="P1599">
        <v>429</v>
      </c>
      <c r="Q1599">
        <v>182</v>
      </c>
      <c r="R1599">
        <v>371</v>
      </c>
      <c r="S1599">
        <v>402</v>
      </c>
      <c r="T1599" t="s">
        <v>31</v>
      </c>
      <c r="U1599" t="s">
        <v>31</v>
      </c>
      <c r="V1599" t="s">
        <v>31</v>
      </c>
      <c r="W1599" t="s">
        <v>31</v>
      </c>
      <c r="X1599" t="s">
        <v>31</v>
      </c>
      <c r="Y1599" t="s">
        <v>31</v>
      </c>
    </row>
    <row r="1600" spans="1:25" hidden="1">
      <c r="A1600" t="s">
        <v>25</v>
      </c>
      <c r="B1600" t="s">
        <v>26</v>
      </c>
      <c r="C1600" t="s">
        <v>55</v>
      </c>
      <c r="D1600" s="1">
        <v>44275</v>
      </c>
      <c r="E1600" s="2">
        <v>0.66666666666666663</v>
      </c>
      <c r="F1600" t="s">
        <v>50</v>
      </c>
      <c r="G1600" t="s">
        <v>29</v>
      </c>
      <c r="H1600">
        <v>0</v>
      </c>
      <c r="I1600">
        <v>1</v>
      </c>
      <c r="J1600" t="s">
        <v>30</v>
      </c>
      <c r="K1600">
        <v>412</v>
      </c>
      <c r="L1600">
        <v>405</v>
      </c>
      <c r="M1600">
        <v>185</v>
      </c>
      <c r="N1600">
        <v>418</v>
      </c>
      <c r="O1600">
        <v>407</v>
      </c>
      <c r="P1600">
        <v>188</v>
      </c>
      <c r="Q1600">
        <v>393</v>
      </c>
      <c r="R1600">
        <v>38</v>
      </c>
      <c r="S1600">
        <v>182</v>
      </c>
      <c r="T1600" t="s">
        <v>31</v>
      </c>
      <c r="U1600" t="s">
        <v>31</v>
      </c>
      <c r="V1600" t="s">
        <v>31</v>
      </c>
      <c r="W1600" t="s">
        <v>31</v>
      </c>
      <c r="X1600" t="s">
        <v>31</v>
      </c>
      <c r="Y1600" t="s">
        <v>31</v>
      </c>
    </row>
    <row r="1601" spans="1:25" hidden="1">
      <c r="A1601" t="s">
        <v>25</v>
      </c>
      <c r="B1601" t="s">
        <v>26</v>
      </c>
      <c r="C1601" t="s">
        <v>55</v>
      </c>
      <c r="D1601" s="1">
        <v>44276</v>
      </c>
      <c r="E1601" s="2">
        <v>0.66666666666666663</v>
      </c>
      <c r="F1601" t="s">
        <v>37</v>
      </c>
      <c r="G1601" t="s">
        <v>28</v>
      </c>
      <c r="H1601">
        <v>0</v>
      </c>
      <c r="I1601">
        <v>0</v>
      </c>
      <c r="J1601" t="s">
        <v>41</v>
      </c>
      <c r="K1601">
        <v>469</v>
      </c>
      <c r="L1601">
        <v>385</v>
      </c>
      <c r="M1601">
        <v>179</v>
      </c>
      <c r="N1601">
        <v>475</v>
      </c>
      <c r="O1601">
        <v>409</v>
      </c>
      <c r="P1601">
        <v>182</v>
      </c>
      <c r="Q1601">
        <v>449</v>
      </c>
      <c r="R1601">
        <v>37</v>
      </c>
      <c r="S1601">
        <v>175</v>
      </c>
      <c r="T1601" t="s">
        <v>31</v>
      </c>
      <c r="U1601" t="s">
        <v>31</v>
      </c>
      <c r="V1601" t="s">
        <v>31</v>
      </c>
      <c r="W1601" t="s">
        <v>31</v>
      </c>
      <c r="X1601" t="s">
        <v>31</v>
      </c>
      <c r="Y1601" t="s">
        <v>31</v>
      </c>
    </row>
    <row r="1602" spans="1:25" hidden="1">
      <c r="A1602" t="s">
        <v>25</v>
      </c>
      <c r="B1602" t="s">
        <v>26</v>
      </c>
      <c r="C1602" t="s">
        <v>55</v>
      </c>
      <c r="D1602" s="1">
        <v>44276</v>
      </c>
      <c r="E1602" s="2">
        <v>0.66666666666666663</v>
      </c>
      <c r="F1602" t="s">
        <v>45</v>
      </c>
      <c r="G1602" t="s">
        <v>38</v>
      </c>
      <c r="H1602">
        <v>2</v>
      </c>
      <c r="I1602">
        <v>1</v>
      </c>
      <c r="J1602" t="s">
        <v>34</v>
      </c>
      <c r="K1602">
        <v>242</v>
      </c>
      <c r="L1602">
        <v>326</v>
      </c>
      <c r="M1602">
        <v>326</v>
      </c>
      <c r="N1602">
        <v>248</v>
      </c>
      <c r="O1602">
        <v>346</v>
      </c>
      <c r="P1602">
        <v>33</v>
      </c>
      <c r="Q1602">
        <v>238</v>
      </c>
      <c r="R1602">
        <v>315</v>
      </c>
      <c r="S1602">
        <v>304</v>
      </c>
      <c r="T1602" t="s">
        <v>31</v>
      </c>
      <c r="U1602" t="s">
        <v>31</v>
      </c>
      <c r="V1602" t="s">
        <v>31</v>
      </c>
      <c r="W1602" t="s">
        <v>31</v>
      </c>
      <c r="X1602" t="s">
        <v>31</v>
      </c>
      <c r="Y1602" t="s">
        <v>31</v>
      </c>
    </row>
    <row r="1603" spans="1:25" hidden="1">
      <c r="A1603" t="s">
        <v>25</v>
      </c>
      <c r="B1603" t="s">
        <v>26</v>
      </c>
      <c r="C1603" t="s">
        <v>55</v>
      </c>
      <c r="D1603" s="1">
        <v>44276</v>
      </c>
      <c r="E1603" s="2">
        <v>0.66666666666666663</v>
      </c>
      <c r="F1603" t="s">
        <v>40</v>
      </c>
      <c r="G1603" t="s">
        <v>39</v>
      </c>
      <c r="H1603">
        <v>3</v>
      </c>
      <c r="I1603">
        <v>5</v>
      </c>
      <c r="J1603" t="s">
        <v>30</v>
      </c>
      <c r="K1603">
        <v>312</v>
      </c>
      <c r="L1603">
        <v>361</v>
      </c>
      <c r="M1603">
        <v>233</v>
      </c>
      <c r="N1603">
        <v>317</v>
      </c>
      <c r="O1603">
        <v>378</v>
      </c>
      <c r="P1603">
        <v>238</v>
      </c>
      <c r="Q1603">
        <v>294</v>
      </c>
      <c r="R1603">
        <v>349</v>
      </c>
      <c r="S1603">
        <v>227</v>
      </c>
      <c r="T1603" t="s">
        <v>31</v>
      </c>
      <c r="U1603" t="s">
        <v>31</v>
      </c>
      <c r="V1603" t="s">
        <v>31</v>
      </c>
      <c r="W1603" t="s">
        <v>31</v>
      </c>
      <c r="X1603" t="s">
        <v>31</v>
      </c>
      <c r="Y1603" t="s">
        <v>31</v>
      </c>
    </row>
    <row r="1604" spans="1:25" hidden="1">
      <c r="A1604" t="s">
        <v>25</v>
      </c>
      <c r="B1604" t="s">
        <v>26</v>
      </c>
      <c r="C1604" t="s">
        <v>55</v>
      </c>
      <c r="D1604" s="1">
        <v>44276</v>
      </c>
      <c r="E1604" s="2">
        <v>0.66666666666666663</v>
      </c>
      <c r="F1604" t="s">
        <v>52</v>
      </c>
      <c r="G1604" t="s">
        <v>48</v>
      </c>
      <c r="H1604">
        <v>3</v>
      </c>
      <c r="I1604">
        <v>3</v>
      </c>
      <c r="J1604" t="s">
        <v>41</v>
      </c>
      <c r="K1604">
        <v>196</v>
      </c>
      <c r="L1604">
        <v>374</v>
      </c>
      <c r="M1604">
        <v>395</v>
      </c>
      <c r="N1604">
        <v>202</v>
      </c>
      <c r="O1604">
        <v>384</v>
      </c>
      <c r="P1604">
        <v>41</v>
      </c>
      <c r="Q1604">
        <v>19</v>
      </c>
      <c r="R1604">
        <v>361</v>
      </c>
      <c r="S1604">
        <v>379</v>
      </c>
      <c r="T1604" t="s">
        <v>31</v>
      </c>
      <c r="U1604" t="s">
        <v>31</v>
      </c>
      <c r="V1604" t="s">
        <v>31</v>
      </c>
      <c r="W1604" t="s">
        <v>31</v>
      </c>
      <c r="X1604" t="s">
        <v>31</v>
      </c>
      <c r="Y1604" t="s">
        <v>31</v>
      </c>
    </row>
    <row r="1605" spans="1:25" hidden="1">
      <c r="A1605" t="s">
        <v>25</v>
      </c>
      <c r="B1605" t="s">
        <v>26</v>
      </c>
      <c r="C1605" t="s">
        <v>55</v>
      </c>
      <c r="D1605" s="1">
        <v>44276</v>
      </c>
      <c r="E1605" s="2">
        <v>0.66666666666666663</v>
      </c>
      <c r="F1605" t="s">
        <v>54</v>
      </c>
      <c r="G1605" t="s">
        <v>35</v>
      </c>
      <c r="H1605">
        <v>1</v>
      </c>
      <c r="I1605">
        <v>1</v>
      </c>
      <c r="J1605" t="s">
        <v>41</v>
      </c>
      <c r="K1605">
        <v>39</v>
      </c>
      <c r="L1605">
        <v>425</v>
      </c>
      <c r="M1605">
        <v>186</v>
      </c>
      <c r="N1605">
        <v>429</v>
      </c>
      <c r="O1605">
        <v>431</v>
      </c>
      <c r="P1605">
        <v>186</v>
      </c>
      <c r="Q1605">
        <v>382</v>
      </c>
      <c r="R1605">
        <v>402</v>
      </c>
      <c r="S1605">
        <v>18</v>
      </c>
      <c r="T1605" t="s">
        <v>31</v>
      </c>
      <c r="U1605" t="s">
        <v>31</v>
      </c>
      <c r="V1605" t="s">
        <v>31</v>
      </c>
      <c r="W1605" t="s">
        <v>31</v>
      </c>
      <c r="X1605" t="s">
        <v>31</v>
      </c>
      <c r="Y1605" t="s">
        <v>31</v>
      </c>
    </row>
    <row r="1606" spans="1:25" hidden="1">
      <c r="A1606" t="s">
        <v>25</v>
      </c>
      <c r="B1606" t="s">
        <v>26</v>
      </c>
      <c r="C1606" t="s">
        <v>55</v>
      </c>
      <c r="D1606" s="1">
        <v>44289</v>
      </c>
      <c r="E1606" s="2">
        <v>0.66666666666666663</v>
      </c>
      <c r="F1606" t="s">
        <v>40</v>
      </c>
      <c r="G1606" t="s">
        <v>45</v>
      </c>
      <c r="H1606">
        <v>2</v>
      </c>
      <c r="I1606">
        <v>0</v>
      </c>
      <c r="J1606" t="s">
        <v>34</v>
      </c>
      <c r="K1606">
        <v>204</v>
      </c>
      <c r="L1606">
        <v>378</v>
      </c>
      <c r="M1606">
        <v>366</v>
      </c>
      <c r="N1606">
        <v>206</v>
      </c>
      <c r="O1606">
        <v>38</v>
      </c>
      <c r="P1606">
        <v>375</v>
      </c>
      <c r="Q1606">
        <v>198</v>
      </c>
      <c r="R1606">
        <v>358</v>
      </c>
      <c r="S1606">
        <v>355</v>
      </c>
      <c r="T1606" t="s">
        <v>31</v>
      </c>
      <c r="U1606" t="s">
        <v>31</v>
      </c>
      <c r="V1606" t="s">
        <v>31</v>
      </c>
      <c r="W1606" t="s">
        <v>31</v>
      </c>
      <c r="X1606" t="s">
        <v>31</v>
      </c>
      <c r="Y1606" t="s">
        <v>31</v>
      </c>
    </row>
    <row r="1607" spans="1:25" hidden="1">
      <c r="A1607" t="s">
        <v>25</v>
      </c>
      <c r="B1607" t="s">
        <v>26</v>
      </c>
      <c r="C1607" t="s">
        <v>55</v>
      </c>
      <c r="D1607" s="1">
        <v>44289</v>
      </c>
      <c r="E1607" s="2">
        <v>0.66666666666666663</v>
      </c>
      <c r="F1607" t="s">
        <v>38</v>
      </c>
      <c r="G1607" t="s">
        <v>52</v>
      </c>
      <c r="H1607">
        <v>3</v>
      </c>
      <c r="I1607">
        <v>2</v>
      </c>
      <c r="J1607" t="s">
        <v>34</v>
      </c>
      <c r="K1607">
        <v>25</v>
      </c>
      <c r="L1607">
        <v>355</v>
      </c>
      <c r="M1607">
        <v>288</v>
      </c>
      <c r="N1607">
        <v>279</v>
      </c>
      <c r="O1607">
        <v>355</v>
      </c>
      <c r="P1607">
        <v>29</v>
      </c>
      <c r="Q1607">
        <v>248</v>
      </c>
      <c r="R1607">
        <v>335</v>
      </c>
      <c r="S1607">
        <v>275</v>
      </c>
      <c r="T1607" t="s">
        <v>31</v>
      </c>
      <c r="U1607" t="s">
        <v>31</v>
      </c>
      <c r="V1607" t="s">
        <v>31</v>
      </c>
      <c r="W1607" t="s">
        <v>31</v>
      </c>
      <c r="X1607" t="s">
        <v>31</v>
      </c>
      <c r="Y1607" t="s">
        <v>31</v>
      </c>
    </row>
    <row r="1608" spans="1:25" hidden="1">
      <c r="A1608" t="s">
        <v>25</v>
      </c>
      <c r="B1608" t="s">
        <v>26</v>
      </c>
      <c r="C1608" t="s">
        <v>55</v>
      </c>
      <c r="D1608" s="1">
        <v>44289</v>
      </c>
      <c r="E1608" s="2">
        <v>0.66666666666666663</v>
      </c>
      <c r="F1608" t="s">
        <v>48</v>
      </c>
      <c r="G1608" t="s">
        <v>37</v>
      </c>
      <c r="H1608">
        <v>0</v>
      </c>
      <c r="I1608">
        <v>1</v>
      </c>
      <c r="J1608" t="s">
        <v>30</v>
      </c>
      <c r="K1608">
        <v>271</v>
      </c>
      <c r="L1608">
        <v>349</v>
      </c>
      <c r="M1608">
        <v>269</v>
      </c>
      <c r="N1608">
        <v>274</v>
      </c>
      <c r="O1608">
        <v>363</v>
      </c>
      <c r="P1608">
        <v>281</v>
      </c>
      <c r="Q1608">
        <v>259</v>
      </c>
      <c r="R1608">
        <v>339</v>
      </c>
      <c r="S1608">
        <v>26</v>
      </c>
      <c r="T1608" t="s">
        <v>31</v>
      </c>
      <c r="U1608" t="s">
        <v>31</v>
      </c>
      <c r="V1608" t="s">
        <v>31</v>
      </c>
      <c r="W1608" t="s">
        <v>31</v>
      </c>
      <c r="X1608" t="s">
        <v>31</v>
      </c>
      <c r="Y1608" t="s">
        <v>31</v>
      </c>
    </row>
    <row r="1609" spans="1:25" hidden="1">
      <c r="A1609" t="s">
        <v>25</v>
      </c>
      <c r="B1609" t="s">
        <v>26</v>
      </c>
      <c r="C1609" t="s">
        <v>55</v>
      </c>
      <c r="D1609" s="1">
        <v>44290</v>
      </c>
      <c r="E1609" s="2">
        <v>0.5625</v>
      </c>
      <c r="F1609" t="s">
        <v>54</v>
      </c>
      <c r="G1609" t="s">
        <v>50</v>
      </c>
      <c r="H1609">
        <v>2</v>
      </c>
      <c r="I1609">
        <v>0</v>
      </c>
      <c r="J1609" t="s">
        <v>34</v>
      </c>
      <c r="K1609">
        <v>546</v>
      </c>
      <c r="L1609">
        <v>498</v>
      </c>
      <c r="M1609">
        <v>154</v>
      </c>
      <c r="N1609">
        <v>6</v>
      </c>
      <c r="O1609">
        <v>498</v>
      </c>
      <c r="P1609">
        <v>171</v>
      </c>
      <c r="Q1609">
        <v>527</v>
      </c>
      <c r="R1609">
        <v>456</v>
      </c>
      <c r="S1609">
        <v>152</v>
      </c>
      <c r="T1609" t="s">
        <v>31</v>
      </c>
      <c r="U1609" t="s">
        <v>31</v>
      </c>
      <c r="V1609" t="s">
        <v>31</v>
      </c>
      <c r="W1609" t="s">
        <v>31</v>
      </c>
      <c r="X1609" t="s">
        <v>31</v>
      </c>
      <c r="Y1609" t="s">
        <v>31</v>
      </c>
    </row>
    <row r="1610" spans="1:25" hidden="1">
      <c r="A1610" t="s">
        <v>25</v>
      </c>
      <c r="B1610" t="s">
        <v>26</v>
      </c>
      <c r="C1610" t="s">
        <v>55</v>
      </c>
      <c r="D1610" s="1">
        <v>44290</v>
      </c>
      <c r="E1610" s="2">
        <v>0.5625</v>
      </c>
      <c r="F1610" t="s">
        <v>39</v>
      </c>
      <c r="G1610" t="s">
        <v>35</v>
      </c>
      <c r="H1610">
        <v>1</v>
      </c>
      <c r="I1610">
        <v>8</v>
      </c>
      <c r="J1610" t="s">
        <v>30</v>
      </c>
      <c r="K1610">
        <v>334</v>
      </c>
      <c r="L1610">
        <v>363</v>
      </c>
      <c r="M1610">
        <v>22</v>
      </c>
      <c r="N1610">
        <v>345</v>
      </c>
      <c r="O1610">
        <v>384</v>
      </c>
      <c r="P1610">
        <v>22</v>
      </c>
      <c r="Q1610">
        <v>319</v>
      </c>
      <c r="R1610">
        <v>362</v>
      </c>
      <c r="S1610">
        <v>21</v>
      </c>
      <c r="T1610" t="s">
        <v>31</v>
      </c>
      <c r="U1610" t="s">
        <v>31</v>
      </c>
      <c r="V1610" t="s">
        <v>31</v>
      </c>
      <c r="W1610" t="s">
        <v>31</v>
      </c>
      <c r="X1610" t="s">
        <v>31</v>
      </c>
      <c r="Y1610" t="s">
        <v>31</v>
      </c>
    </row>
    <row r="1611" spans="1:25" hidden="1">
      <c r="A1611" t="s">
        <v>25</v>
      </c>
      <c r="B1611" t="s">
        <v>26</v>
      </c>
      <c r="C1611" t="s">
        <v>55</v>
      </c>
      <c r="D1611" s="1">
        <v>44290</v>
      </c>
      <c r="E1611" s="2">
        <v>0.66666666666666663</v>
      </c>
      <c r="F1611" t="s">
        <v>29</v>
      </c>
      <c r="G1611" t="s">
        <v>28</v>
      </c>
      <c r="H1611">
        <v>3</v>
      </c>
      <c r="I1611">
        <v>1</v>
      </c>
      <c r="J1611" t="s">
        <v>34</v>
      </c>
      <c r="K1611">
        <v>123</v>
      </c>
      <c r="L1611">
        <v>689</v>
      </c>
      <c r="M1611">
        <v>1211</v>
      </c>
      <c r="N1611">
        <v>127</v>
      </c>
      <c r="O1611">
        <v>689</v>
      </c>
      <c r="P1611">
        <v>1211</v>
      </c>
      <c r="Q1611">
        <v>123</v>
      </c>
      <c r="R1611">
        <v>627</v>
      </c>
      <c r="S1611">
        <v>1058</v>
      </c>
      <c r="T1611" t="s">
        <v>31</v>
      </c>
      <c r="U1611" t="s">
        <v>31</v>
      </c>
      <c r="V1611" t="s">
        <v>31</v>
      </c>
      <c r="W1611" t="s">
        <v>31</v>
      </c>
      <c r="X1611" t="s">
        <v>31</v>
      </c>
      <c r="Y1611" t="s">
        <v>31</v>
      </c>
    </row>
    <row r="1612" spans="1:25" hidden="1">
      <c r="A1612" t="s">
        <v>25</v>
      </c>
      <c r="B1612" t="s">
        <v>26</v>
      </c>
      <c r="C1612" t="s">
        <v>55</v>
      </c>
      <c r="D1612" s="1">
        <v>44296</v>
      </c>
      <c r="E1612" s="2">
        <v>0.66666666666666663</v>
      </c>
      <c r="F1612" t="s">
        <v>37</v>
      </c>
      <c r="G1612" t="s">
        <v>38</v>
      </c>
      <c r="H1612">
        <v>0</v>
      </c>
      <c r="I1612">
        <v>2</v>
      </c>
      <c r="J1612" t="s">
        <v>30</v>
      </c>
      <c r="K1612">
        <v>214</v>
      </c>
      <c r="L1612">
        <v>348</v>
      </c>
      <c r="M1612">
        <v>366</v>
      </c>
      <c r="N1612">
        <v>225</v>
      </c>
      <c r="O1612">
        <v>348</v>
      </c>
      <c r="P1612">
        <v>366</v>
      </c>
      <c r="Q1612">
        <v>216</v>
      </c>
      <c r="R1612">
        <v>331</v>
      </c>
      <c r="S1612">
        <v>333</v>
      </c>
      <c r="T1612" t="s">
        <v>31</v>
      </c>
      <c r="U1612" t="s">
        <v>31</v>
      </c>
      <c r="V1612" t="s">
        <v>31</v>
      </c>
      <c r="W1612" t="s">
        <v>31</v>
      </c>
      <c r="X1612" t="s">
        <v>31</v>
      </c>
      <c r="Y1612" t="s">
        <v>31</v>
      </c>
    </row>
    <row r="1613" spans="1:25" hidden="1">
      <c r="A1613" t="s">
        <v>25</v>
      </c>
      <c r="B1613" t="s">
        <v>26</v>
      </c>
      <c r="C1613" t="s">
        <v>55</v>
      </c>
      <c r="D1613" s="1">
        <v>44296</v>
      </c>
      <c r="E1613" s="2">
        <v>0.66666666666666663</v>
      </c>
      <c r="F1613" t="s">
        <v>45</v>
      </c>
      <c r="G1613" t="s">
        <v>48</v>
      </c>
      <c r="H1613">
        <v>1</v>
      </c>
      <c r="I1613">
        <v>0</v>
      </c>
      <c r="J1613" t="s">
        <v>34</v>
      </c>
      <c r="K1613">
        <v>221</v>
      </c>
      <c r="L1613">
        <v>362</v>
      </c>
      <c r="M1613">
        <v>333</v>
      </c>
      <c r="N1613">
        <v>235</v>
      </c>
      <c r="O1613">
        <v>37</v>
      </c>
      <c r="P1613">
        <v>333</v>
      </c>
      <c r="Q1613">
        <v>226</v>
      </c>
      <c r="R1613">
        <v>344</v>
      </c>
      <c r="S1613">
        <v>302</v>
      </c>
      <c r="T1613" t="s">
        <v>31</v>
      </c>
      <c r="U1613" t="s">
        <v>31</v>
      </c>
      <c r="V1613" t="s">
        <v>31</v>
      </c>
      <c r="W1613" t="s">
        <v>31</v>
      </c>
      <c r="X1613" t="s">
        <v>31</v>
      </c>
      <c r="Y1613" t="s">
        <v>31</v>
      </c>
    </row>
    <row r="1614" spans="1:25" hidden="1">
      <c r="A1614" t="s">
        <v>25</v>
      </c>
      <c r="B1614" t="s">
        <v>26</v>
      </c>
      <c r="C1614" t="s">
        <v>55</v>
      </c>
      <c r="D1614" s="1">
        <v>44296</v>
      </c>
      <c r="E1614" s="2">
        <v>0.66666666666666663</v>
      </c>
      <c r="F1614" t="s">
        <v>52</v>
      </c>
      <c r="G1614" t="s">
        <v>40</v>
      </c>
      <c r="H1614">
        <v>1</v>
      </c>
      <c r="I1614">
        <v>0</v>
      </c>
      <c r="J1614" t="s">
        <v>34</v>
      </c>
      <c r="K1614">
        <v>278</v>
      </c>
      <c r="L1614">
        <v>364</v>
      </c>
      <c r="M1614">
        <v>254</v>
      </c>
      <c r="N1614">
        <v>283</v>
      </c>
      <c r="O1614">
        <v>374</v>
      </c>
      <c r="P1614">
        <v>254</v>
      </c>
      <c r="Q1614">
        <v>268</v>
      </c>
      <c r="R1614">
        <v>355</v>
      </c>
      <c r="S1614">
        <v>244</v>
      </c>
      <c r="T1614" t="s">
        <v>31</v>
      </c>
      <c r="U1614" t="s">
        <v>31</v>
      </c>
      <c r="V1614" t="s">
        <v>31</v>
      </c>
      <c r="W1614" t="s">
        <v>31</v>
      </c>
      <c r="X1614" t="s">
        <v>31</v>
      </c>
      <c r="Y1614" t="s">
        <v>31</v>
      </c>
    </row>
    <row r="1615" spans="1:25" hidden="1">
      <c r="A1615" t="s">
        <v>25</v>
      </c>
      <c r="B1615" t="s">
        <v>26</v>
      </c>
      <c r="C1615" t="s">
        <v>55</v>
      </c>
      <c r="D1615" s="1">
        <v>44297</v>
      </c>
      <c r="E1615" s="2">
        <v>0.5625</v>
      </c>
      <c r="F1615" t="s">
        <v>50</v>
      </c>
      <c r="G1615" t="s">
        <v>39</v>
      </c>
      <c r="H1615">
        <v>2</v>
      </c>
      <c r="I1615">
        <v>1</v>
      </c>
      <c r="J1615" t="s">
        <v>34</v>
      </c>
      <c r="K1615">
        <v>161</v>
      </c>
      <c r="L1615">
        <v>431</v>
      </c>
      <c r="M1615">
        <v>563</v>
      </c>
      <c r="N1615">
        <v>163</v>
      </c>
      <c r="O1615">
        <v>446</v>
      </c>
      <c r="P1615">
        <v>575</v>
      </c>
      <c r="Q1615">
        <v>158</v>
      </c>
      <c r="R1615">
        <v>416</v>
      </c>
      <c r="S1615">
        <v>527</v>
      </c>
      <c r="T1615" t="s">
        <v>31</v>
      </c>
      <c r="U1615" t="s">
        <v>31</v>
      </c>
      <c r="V1615" t="s">
        <v>31</v>
      </c>
      <c r="W1615" t="s">
        <v>31</v>
      </c>
      <c r="X1615" t="s">
        <v>31</v>
      </c>
      <c r="Y1615" t="s">
        <v>31</v>
      </c>
    </row>
    <row r="1616" spans="1:25" hidden="1">
      <c r="A1616" t="s">
        <v>25</v>
      </c>
      <c r="B1616" t="s">
        <v>26</v>
      </c>
      <c r="C1616" t="s">
        <v>55</v>
      </c>
      <c r="D1616" s="1">
        <v>44297</v>
      </c>
      <c r="E1616" s="2">
        <v>0.5625</v>
      </c>
      <c r="F1616" t="s">
        <v>28</v>
      </c>
      <c r="G1616" t="s">
        <v>54</v>
      </c>
      <c r="H1616">
        <v>3</v>
      </c>
      <c r="I1616">
        <v>2</v>
      </c>
      <c r="J1616" t="s">
        <v>34</v>
      </c>
      <c r="K1616">
        <v>201</v>
      </c>
      <c r="L1616">
        <v>377</v>
      </c>
      <c r="M1616">
        <v>378</v>
      </c>
      <c r="N1616">
        <v>205</v>
      </c>
      <c r="O1616">
        <v>377</v>
      </c>
      <c r="P1616">
        <v>387</v>
      </c>
      <c r="Q1616">
        <v>198</v>
      </c>
      <c r="R1616">
        <v>357</v>
      </c>
      <c r="S1616">
        <v>358</v>
      </c>
      <c r="T1616" t="s">
        <v>31</v>
      </c>
      <c r="U1616" t="s">
        <v>31</v>
      </c>
      <c r="V1616" t="s">
        <v>31</v>
      </c>
      <c r="W1616" t="s">
        <v>31</v>
      </c>
      <c r="X1616" t="s">
        <v>31</v>
      </c>
      <c r="Y1616" t="s">
        <v>31</v>
      </c>
    </row>
    <row r="1617" spans="1:25" hidden="1">
      <c r="A1617" t="s">
        <v>25</v>
      </c>
      <c r="B1617" t="s">
        <v>26</v>
      </c>
      <c r="C1617" t="s">
        <v>55</v>
      </c>
      <c r="D1617" s="1">
        <v>44297</v>
      </c>
      <c r="E1617" s="2">
        <v>0.66666666666666663</v>
      </c>
      <c r="F1617" t="s">
        <v>35</v>
      </c>
      <c r="G1617" t="s">
        <v>29</v>
      </c>
      <c r="H1617">
        <v>0</v>
      </c>
      <c r="I1617">
        <v>3</v>
      </c>
      <c r="J1617" t="s">
        <v>30</v>
      </c>
      <c r="K1617">
        <v>479</v>
      </c>
      <c r="L1617">
        <v>464</v>
      </c>
      <c r="M1617">
        <v>165</v>
      </c>
      <c r="N1617">
        <v>52</v>
      </c>
      <c r="O1617">
        <v>464</v>
      </c>
      <c r="P1617">
        <v>17</v>
      </c>
      <c r="Q1617">
        <v>461</v>
      </c>
      <c r="R1617">
        <v>424</v>
      </c>
      <c r="S1617">
        <v>164</v>
      </c>
      <c r="T1617" t="s">
        <v>31</v>
      </c>
      <c r="U1617" t="s">
        <v>31</v>
      </c>
      <c r="V1617" t="s">
        <v>31</v>
      </c>
      <c r="W1617" t="s">
        <v>31</v>
      </c>
      <c r="X1617" t="s">
        <v>31</v>
      </c>
      <c r="Y1617" t="s">
        <v>31</v>
      </c>
    </row>
    <row r="1618" spans="1:25" hidden="1">
      <c r="A1618" t="s">
        <v>25</v>
      </c>
      <c r="B1618" t="s">
        <v>26</v>
      </c>
      <c r="C1618" t="s">
        <v>55</v>
      </c>
      <c r="D1618" s="1">
        <v>44303</v>
      </c>
      <c r="E1618" s="2">
        <v>0.66666666666666663</v>
      </c>
      <c r="F1618" t="s">
        <v>37</v>
      </c>
      <c r="G1618" t="s">
        <v>52</v>
      </c>
      <c r="H1618">
        <v>0</v>
      </c>
      <c r="I1618">
        <v>1</v>
      </c>
      <c r="J1618" t="s">
        <v>30</v>
      </c>
      <c r="K1618">
        <v>269</v>
      </c>
      <c r="L1618">
        <v>353</v>
      </c>
      <c r="M1618">
        <v>269</v>
      </c>
      <c r="N1618">
        <v>281</v>
      </c>
      <c r="O1618">
        <v>363</v>
      </c>
      <c r="P1618">
        <v>272</v>
      </c>
      <c r="Q1618">
        <v>258</v>
      </c>
      <c r="R1618">
        <v>339</v>
      </c>
      <c r="S1618">
        <v>26</v>
      </c>
      <c r="T1618" t="s">
        <v>31</v>
      </c>
      <c r="U1618" t="s">
        <v>31</v>
      </c>
      <c r="V1618" t="s">
        <v>31</v>
      </c>
      <c r="W1618" t="s">
        <v>31</v>
      </c>
      <c r="X1618" t="s">
        <v>31</v>
      </c>
      <c r="Y1618" t="s">
        <v>31</v>
      </c>
    </row>
    <row r="1619" spans="1:25" hidden="1">
      <c r="A1619" t="s">
        <v>25</v>
      </c>
      <c r="B1619" t="s">
        <v>26</v>
      </c>
      <c r="C1619" t="s">
        <v>55</v>
      </c>
      <c r="D1619" s="1">
        <v>44303</v>
      </c>
      <c r="E1619" s="2">
        <v>0.66666666666666663</v>
      </c>
      <c r="F1619" t="s">
        <v>38</v>
      </c>
      <c r="G1619" t="s">
        <v>45</v>
      </c>
      <c r="H1619">
        <v>0</v>
      </c>
      <c r="I1619">
        <v>0</v>
      </c>
      <c r="J1619" t="s">
        <v>41</v>
      </c>
      <c r="K1619">
        <v>237</v>
      </c>
      <c r="L1619">
        <v>342</v>
      </c>
      <c r="M1619">
        <v>318</v>
      </c>
      <c r="N1619">
        <v>241</v>
      </c>
      <c r="O1619">
        <v>352</v>
      </c>
      <c r="P1619">
        <v>328</v>
      </c>
      <c r="Q1619">
        <v>233</v>
      </c>
      <c r="R1619">
        <v>326</v>
      </c>
      <c r="S1619">
        <v>303</v>
      </c>
      <c r="T1619" t="s">
        <v>31</v>
      </c>
      <c r="U1619" t="s">
        <v>31</v>
      </c>
      <c r="V1619" t="s">
        <v>31</v>
      </c>
      <c r="W1619" t="s">
        <v>31</v>
      </c>
      <c r="X1619" t="s">
        <v>31</v>
      </c>
      <c r="Y1619" t="s">
        <v>31</v>
      </c>
    </row>
    <row r="1620" spans="1:25" hidden="1">
      <c r="A1620" t="s">
        <v>25</v>
      </c>
      <c r="B1620" t="s">
        <v>26</v>
      </c>
      <c r="C1620" t="s">
        <v>55</v>
      </c>
      <c r="D1620" s="1">
        <v>44303</v>
      </c>
      <c r="E1620" s="2">
        <v>0.66666666666666663</v>
      </c>
      <c r="F1620" t="s">
        <v>48</v>
      </c>
      <c r="G1620" t="s">
        <v>40</v>
      </c>
      <c r="H1620">
        <v>1</v>
      </c>
      <c r="I1620">
        <v>2</v>
      </c>
      <c r="J1620" t="s">
        <v>30</v>
      </c>
      <c r="K1620">
        <v>294</v>
      </c>
      <c r="L1620">
        <v>375</v>
      </c>
      <c r="M1620">
        <v>238</v>
      </c>
      <c r="N1620">
        <v>308</v>
      </c>
      <c r="O1620">
        <v>375</v>
      </c>
      <c r="P1620">
        <v>24</v>
      </c>
      <c r="Q1620">
        <v>286</v>
      </c>
      <c r="R1620">
        <v>354</v>
      </c>
      <c r="S1620">
        <v>231</v>
      </c>
      <c r="T1620" t="s">
        <v>31</v>
      </c>
      <c r="U1620" t="s">
        <v>31</v>
      </c>
      <c r="V1620" t="s">
        <v>31</v>
      </c>
      <c r="W1620" t="s">
        <v>31</v>
      </c>
      <c r="X1620" t="s">
        <v>31</v>
      </c>
      <c r="Y1620" t="s">
        <v>31</v>
      </c>
    </row>
    <row r="1621" spans="1:25" hidden="1">
      <c r="A1621" t="s">
        <v>25</v>
      </c>
      <c r="B1621" t="s">
        <v>26</v>
      </c>
      <c r="C1621" t="s">
        <v>55</v>
      </c>
      <c r="D1621" s="1">
        <v>44304</v>
      </c>
      <c r="E1621" s="2">
        <v>0.5625</v>
      </c>
      <c r="F1621" t="s">
        <v>29</v>
      </c>
      <c r="G1621" t="s">
        <v>50</v>
      </c>
      <c r="H1621">
        <v>2</v>
      </c>
      <c r="I1621">
        <v>0</v>
      </c>
      <c r="J1621" t="s">
        <v>34</v>
      </c>
      <c r="K1621">
        <v>151</v>
      </c>
      <c r="L1621">
        <v>48</v>
      </c>
      <c r="M1621">
        <v>617</v>
      </c>
      <c r="N1621">
        <v>154</v>
      </c>
      <c r="O1621">
        <v>499</v>
      </c>
      <c r="P1621">
        <v>618</v>
      </c>
      <c r="Q1621">
        <v>148</v>
      </c>
      <c r="R1621">
        <v>458</v>
      </c>
      <c r="S1621">
        <v>582</v>
      </c>
      <c r="T1621" t="s">
        <v>31</v>
      </c>
      <c r="U1621" t="s">
        <v>31</v>
      </c>
      <c r="V1621" t="s">
        <v>31</v>
      </c>
      <c r="W1621" t="s">
        <v>31</v>
      </c>
      <c r="X1621" t="s">
        <v>31</v>
      </c>
      <c r="Y1621" t="s">
        <v>31</v>
      </c>
    </row>
    <row r="1622" spans="1:25" hidden="1">
      <c r="A1622" t="s">
        <v>25</v>
      </c>
      <c r="B1622" t="s">
        <v>26</v>
      </c>
      <c r="C1622" t="s">
        <v>55</v>
      </c>
      <c r="D1622" s="1">
        <v>44304</v>
      </c>
      <c r="E1622" s="2">
        <v>0.5625</v>
      </c>
      <c r="F1622" t="s">
        <v>39</v>
      </c>
      <c r="G1622" t="s">
        <v>54</v>
      </c>
      <c r="H1622">
        <v>2</v>
      </c>
      <c r="I1622">
        <v>0</v>
      </c>
      <c r="J1622" t="s">
        <v>34</v>
      </c>
      <c r="K1622">
        <v>204</v>
      </c>
      <c r="L1622">
        <v>394</v>
      </c>
      <c r="M1622">
        <v>352</v>
      </c>
      <c r="N1622">
        <v>208</v>
      </c>
      <c r="O1622">
        <v>397</v>
      </c>
      <c r="P1622">
        <v>381</v>
      </c>
      <c r="Q1622">
        <v>195</v>
      </c>
      <c r="R1622">
        <v>377</v>
      </c>
      <c r="S1622">
        <v>35</v>
      </c>
      <c r="T1622" t="s">
        <v>31</v>
      </c>
      <c r="U1622" t="s">
        <v>31</v>
      </c>
      <c r="V1622" t="s">
        <v>31</v>
      </c>
      <c r="W1622" t="s">
        <v>31</v>
      </c>
      <c r="X1622" t="s">
        <v>31</v>
      </c>
      <c r="Y1622" t="s">
        <v>31</v>
      </c>
    </row>
    <row r="1623" spans="1:25" hidden="1">
      <c r="A1623" t="s">
        <v>25</v>
      </c>
      <c r="B1623" t="s">
        <v>26</v>
      </c>
      <c r="C1623" t="s">
        <v>55</v>
      </c>
      <c r="D1623" s="1">
        <v>44304</v>
      </c>
      <c r="E1623" s="2">
        <v>0.66666666666666663</v>
      </c>
      <c r="F1623" t="s">
        <v>35</v>
      </c>
      <c r="G1623" t="s">
        <v>28</v>
      </c>
      <c r="H1623">
        <v>0</v>
      </c>
      <c r="I1623">
        <v>0</v>
      </c>
      <c r="J1623" t="s">
        <v>41</v>
      </c>
      <c r="K1623">
        <v>191</v>
      </c>
      <c r="L1623">
        <v>419</v>
      </c>
      <c r="M1623">
        <v>373</v>
      </c>
      <c r="N1623">
        <v>198</v>
      </c>
      <c r="O1623">
        <v>439</v>
      </c>
      <c r="P1623">
        <v>382</v>
      </c>
      <c r="Q1623">
        <v>188</v>
      </c>
      <c r="R1623">
        <v>389</v>
      </c>
      <c r="S1623">
        <v>361</v>
      </c>
      <c r="T1623" t="s">
        <v>31</v>
      </c>
      <c r="U1623" t="s">
        <v>31</v>
      </c>
      <c r="V1623" t="s">
        <v>31</v>
      </c>
      <c r="W1623" t="s">
        <v>31</v>
      </c>
      <c r="X1623" t="s">
        <v>31</v>
      </c>
      <c r="Y1623" t="s">
        <v>31</v>
      </c>
    </row>
    <row r="1624" spans="1:25" hidden="1">
      <c r="A1624" t="s">
        <v>25</v>
      </c>
      <c r="B1624" t="s">
        <v>26</v>
      </c>
      <c r="C1624" t="s">
        <v>55</v>
      </c>
      <c r="D1624" s="1">
        <v>44306</v>
      </c>
      <c r="E1624" s="2">
        <v>0.72916666666666663</v>
      </c>
      <c r="F1624" t="s">
        <v>45</v>
      </c>
      <c r="G1624" t="s">
        <v>37</v>
      </c>
      <c r="H1624">
        <v>0</v>
      </c>
      <c r="I1624">
        <v>1</v>
      </c>
      <c r="J1624" t="s">
        <v>30</v>
      </c>
      <c r="K1624">
        <v>251</v>
      </c>
      <c r="L1624">
        <v>316</v>
      </c>
      <c r="M1624">
        <v>319</v>
      </c>
      <c r="N1624">
        <v>253</v>
      </c>
      <c r="O1624">
        <v>335</v>
      </c>
      <c r="P1624">
        <v>32</v>
      </c>
      <c r="Q1624">
        <v>246</v>
      </c>
      <c r="R1624">
        <v>311</v>
      </c>
      <c r="S1624">
        <v>295</v>
      </c>
      <c r="T1624" t="s">
        <v>31</v>
      </c>
      <c r="U1624" t="s">
        <v>31</v>
      </c>
      <c r="V1624" t="s">
        <v>31</v>
      </c>
      <c r="W1624" t="s">
        <v>31</v>
      </c>
      <c r="X1624" t="s">
        <v>31</v>
      </c>
      <c r="Y1624" t="s">
        <v>31</v>
      </c>
    </row>
    <row r="1625" spans="1:25" hidden="1">
      <c r="A1625" t="s">
        <v>25</v>
      </c>
      <c r="B1625" t="s">
        <v>26</v>
      </c>
      <c r="C1625" t="s">
        <v>55</v>
      </c>
      <c r="D1625" s="1">
        <v>44306</v>
      </c>
      <c r="E1625" s="2">
        <v>0.72916666666666663</v>
      </c>
      <c r="F1625" t="s">
        <v>52</v>
      </c>
      <c r="G1625" t="s">
        <v>48</v>
      </c>
      <c r="H1625">
        <v>0</v>
      </c>
      <c r="I1625">
        <v>0</v>
      </c>
      <c r="J1625" t="s">
        <v>41</v>
      </c>
      <c r="K1625">
        <v>204</v>
      </c>
      <c r="L1625">
        <v>374</v>
      </c>
      <c r="M1625">
        <v>368</v>
      </c>
      <c r="N1625">
        <v>207</v>
      </c>
      <c r="O1625">
        <v>389</v>
      </c>
      <c r="P1625">
        <v>373</v>
      </c>
      <c r="Q1625">
        <v>198</v>
      </c>
      <c r="R1625">
        <v>365</v>
      </c>
      <c r="S1625">
        <v>347</v>
      </c>
      <c r="T1625" t="s">
        <v>31</v>
      </c>
      <c r="U1625" t="s">
        <v>31</v>
      </c>
      <c r="V1625" t="s">
        <v>31</v>
      </c>
      <c r="W1625" t="s">
        <v>31</v>
      </c>
      <c r="X1625" t="s">
        <v>31</v>
      </c>
      <c r="Y1625" t="s">
        <v>31</v>
      </c>
    </row>
    <row r="1626" spans="1:25" hidden="1">
      <c r="A1626" t="s">
        <v>25</v>
      </c>
      <c r="B1626" t="s">
        <v>26</v>
      </c>
      <c r="C1626" t="s">
        <v>55</v>
      </c>
      <c r="D1626" s="1">
        <v>44306</v>
      </c>
      <c r="E1626" s="2">
        <v>0.8125</v>
      </c>
      <c r="F1626" t="s">
        <v>40</v>
      </c>
      <c r="G1626" t="s">
        <v>38</v>
      </c>
      <c r="H1626">
        <v>2</v>
      </c>
      <c r="I1626">
        <v>2</v>
      </c>
      <c r="J1626" t="s">
        <v>41</v>
      </c>
      <c r="K1626">
        <v>174</v>
      </c>
      <c r="L1626">
        <v>422</v>
      </c>
      <c r="M1626">
        <v>457</v>
      </c>
      <c r="N1626">
        <v>183</v>
      </c>
      <c r="O1626">
        <v>424</v>
      </c>
      <c r="P1626">
        <v>471</v>
      </c>
      <c r="Q1626">
        <v>171</v>
      </c>
      <c r="R1626">
        <v>395</v>
      </c>
      <c r="S1626">
        <v>437</v>
      </c>
      <c r="T1626" t="s">
        <v>31</v>
      </c>
      <c r="U1626" t="s">
        <v>31</v>
      </c>
      <c r="V1626" t="s">
        <v>31</v>
      </c>
      <c r="W1626" t="s">
        <v>31</v>
      </c>
      <c r="X1626" t="s">
        <v>31</v>
      </c>
      <c r="Y1626" t="s">
        <v>31</v>
      </c>
    </row>
    <row r="1627" spans="1:25" hidden="1">
      <c r="A1627" t="s">
        <v>25</v>
      </c>
      <c r="B1627" t="s">
        <v>26</v>
      </c>
      <c r="C1627" t="s">
        <v>55</v>
      </c>
      <c r="D1627" s="1">
        <v>44307</v>
      </c>
      <c r="E1627" s="2">
        <v>0.72916666666666663</v>
      </c>
      <c r="F1627" t="s">
        <v>28</v>
      </c>
      <c r="G1627" t="s">
        <v>39</v>
      </c>
      <c r="H1627">
        <v>0</v>
      </c>
      <c r="I1627">
        <v>1</v>
      </c>
      <c r="J1627" t="s">
        <v>30</v>
      </c>
      <c r="K1627">
        <v>249</v>
      </c>
      <c r="L1627">
        <v>352</v>
      </c>
      <c r="M1627">
        <v>292</v>
      </c>
      <c r="N1627">
        <v>254</v>
      </c>
      <c r="O1627">
        <v>379</v>
      </c>
      <c r="P1627">
        <v>316</v>
      </c>
      <c r="Q1627">
        <v>235</v>
      </c>
      <c r="R1627">
        <v>346</v>
      </c>
      <c r="S1627">
        <v>286</v>
      </c>
      <c r="T1627" t="s">
        <v>31</v>
      </c>
      <c r="U1627" t="s">
        <v>31</v>
      </c>
      <c r="V1627" t="s">
        <v>31</v>
      </c>
      <c r="W1627" t="s">
        <v>31</v>
      </c>
      <c r="X1627" t="s">
        <v>31</v>
      </c>
      <c r="Y1627" t="s">
        <v>31</v>
      </c>
    </row>
    <row r="1628" spans="1:25" hidden="1">
      <c r="A1628" t="s">
        <v>25</v>
      </c>
      <c r="B1628" t="s">
        <v>26</v>
      </c>
      <c r="C1628" t="s">
        <v>55</v>
      </c>
      <c r="D1628" s="1">
        <v>44307</v>
      </c>
      <c r="E1628" s="2">
        <v>0.72916666666666663</v>
      </c>
      <c r="F1628" t="s">
        <v>54</v>
      </c>
      <c r="G1628" t="s">
        <v>29</v>
      </c>
      <c r="H1628">
        <v>3</v>
      </c>
      <c r="I1628">
        <v>2</v>
      </c>
      <c r="J1628" t="s">
        <v>34</v>
      </c>
      <c r="K1628">
        <v>1149</v>
      </c>
      <c r="L1628">
        <v>696</v>
      </c>
      <c r="M1628">
        <v>124</v>
      </c>
      <c r="N1628">
        <v>12</v>
      </c>
      <c r="O1628">
        <v>72</v>
      </c>
      <c r="P1628">
        <v>125</v>
      </c>
      <c r="Q1628">
        <v>1066</v>
      </c>
      <c r="R1628">
        <v>676</v>
      </c>
      <c r="S1628">
        <v>121</v>
      </c>
      <c r="T1628" t="s">
        <v>31</v>
      </c>
      <c r="U1628" t="s">
        <v>31</v>
      </c>
      <c r="V1628" t="s">
        <v>31</v>
      </c>
      <c r="W1628" t="s">
        <v>31</v>
      </c>
      <c r="X1628" t="s">
        <v>31</v>
      </c>
      <c r="Y1628" t="s">
        <v>31</v>
      </c>
    </row>
    <row r="1629" spans="1:25" hidden="1">
      <c r="A1629" t="s">
        <v>25</v>
      </c>
      <c r="B1629" t="s">
        <v>26</v>
      </c>
      <c r="C1629" t="s">
        <v>55</v>
      </c>
      <c r="D1629" s="1">
        <v>44307</v>
      </c>
      <c r="E1629" s="2">
        <v>0.8125</v>
      </c>
      <c r="F1629" t="s">
        <v>50</v>
      </c>
      <c r="G1629" t="s">
        <v>35</v>
      </c>
      <c r="H1629">
        <v>1</v>
      </c>
      <c r="I1629">
        <v>1</v>
      </c>
      <c r="J1629" t="s">
        <v>41</v>
      </c>
      <c r="K1629">
        <v>225</v>
      </c>
      <c r="L1629">
        <v>381</v>
      </c>
      <c r="M1629">
        <v>311</v>
      </c>
      <c r="N1629">
        <v>232</v>
      </c>
      <c r="O1629">
        <v>39</v>
      </c>
      <c r="P1629">
        <v>319</v>
      </c>
      <c r="Q1629">
        <v>216</v>
      </c>
      <c r="R1629">
        <v>37</v>
      </c>
      <c r="S1629">
        <v>301</v>
      </c>
      <c r="T1629" t="s">
        <v>31</v>
      </c>
      <c r="U1629" t="s">
        <v>31</v>
      </c>
      <c r="V1629" t="s">
        <v>31</v>
      </c>
      <c r="W1629" t="s">
        <v>31</v>
      </c>
      <c r="X1629" t="s">
        <v>31</v>
      </c>
      <c r="Y1629" t="s">
        <v>31</v>
      </c>
    </row>
    <row r="1630" spans="1:25" hidden="1">
      <c r="A1630" t="s">
        <v>25</v>
      </c>
      <c r="B1630" t="s">
        <v>26</v>
      </c>
      <c r="C1630" t="s">
        <v>55</v>
      </c>
      <c r="D1630" s="1">
        <v>44310</v>
      </c>
      <c r="E1630" s="2">
        <v>0.66666666666666663</v>
      </c>
      <c r="F1630" t="s">
        <v>37</v>
      </c>
      <c r="G1630" t="s">
        <v>40</v>
      </c>
      <c r="H1630">
        <v>0</v>
      </c>
      <c r="I1630">
        <v>2</v>
      </c>
      <c r="J1630" t="s">
        <v>30</v>
      </c>
      <c r="K1630">
        <v>316</v>
      </c>
      <c r="L1630">
        <v>367</v>
      </c>
      <c r="M1630">
        <v>228</v>
      </c>
      <c r="N1630">
        <v>326</v>
      </c>
      <c r="O1630">
        <v>369</v>
      </c>
      <c r="P1630">
        <v>228</v>
      </c>
      <c r="Q1630">
        <v>309</v>
      </c>
      <c r="R1630">
        <v>351</v>
      </c>
      <c r="S1630">
        <v>22</v>
      </c>
      <c r="T1630" t="s">
        <v>31</v>
      </c>
      <c r="U1630" t="s">
        <v>31</v>
      </c>
      <c r="V1630" t="s">
        <v>31</v>
      </c>
      <c r="W1630" t="s">
        <v>31</v>
      </c>
      <c r="X1630" t="s">
        <v>31</v>
      </c>
      <c r="Y1630" t="s">
        <v>31</v>
      </c>
    </row>
    <row r="1631" spans="1:25" hidden="1">
      <c r="A1631" t="s">
        <v>25</v>
      </c>
      <c r="B1631" t="s">
        <v>26</v>
      </c>
      <c r="C1631" t="s">
        <v>55</v>
      </c>
      <c r="D1631" s="1">
        <v>44310</v>
      </c>
      <c r="E1631" s="2">
        <v>0.66666666666666663</v>
      </c>
      <c r="F1631" t="s">
        <v>45</v>
      </c>
      <c r="G1631" t="s">
        <v>52</v>
      </c>
      <c r="H1631">
        <v>2</v>
      </c>
      <c r="I1631">
        <v>2</v>
      </c>
      <c r="J1631" t="s">
        <v>41</v>
      </c>
      <c r="K1631">
        <v>293</v>
      </c>
      <c r="L1631">
        <v>353</v>
      </c>
      <c r="M1631">
        <v>248</v>
      </c>
      <c r="N1631">
        <v>301</v>
      </c>
      <c r="O1631">
        <v>372</v>
      </c>
      <c r="P1631">
        <v>262</v>
      </c>
      <c r="Q1631">
        <v>28</v>
      </c>
      <c r="R1631">
        <v>335</v>
      </c>
      <c r="S1631">
        <v>244</v>
      </c>
      <c r="T1631" t="s">
        <v>31</v>
      </c>
      <c r="U1631" t="s">
        <v>31</v>
      </c>
      <c r="V1631" t="s">
        <v>31</v>
      </c>
      <c r="W1631" t="s">
        <v>31</v>
      </c>
      <c r="X1631" t="s">
        <v>31</v>
      </c>
      <c r="Y1631" t="s">
        <v>31</v>
      </c>
    </row>
    <row r="1632" spans="1:25" hidden="1">
      <c r="A1632" t="s">
        <v>25</v>
      </c>
      <c r="B1632" t="s">
        <v>26</v>
      </c>
      <c r="C1632" t="s">
        <v>55</v>
      </c>
      <c r="D1632" s="1">
        <v>44310</v>
      </c>
      <c r="E1632" s="2">
        <v>0.66666666666666663</v>
      </c>
      <c r="F1632" t="s">
        <v>38</v>
      </c>
      <c r="G1632" t="s">
        <v>48</v>
      </c>
      <c r="H1632">
        <v>2</v>
      </c>
      <c r="I1632">
        <v>1</v>
      </c>
      <c r="J1632" t="s">
        <v>34</v>
      </c>
      <c r="K1632">
        <v>232</v>
      </c>
      <c r="L1632">
        <v>367</v>
      </c>
      <c r="M1632">
        <v>308</v>
      </c>
      <c r="N1632">
        <v>246</v>
      </c>
      <c r="O1632">
        <v>37</v>
      </c>
      <c r="P1632">
        <v>318</v>
      </c>
      <c r="Q1632">
        <v>228</v>
      </c>
      <c r="R1632">
        <v>347</v>
      </c>
      <c r="S1632">
        <v>296</v>
      </c>
      <c r="T1632" t="s">
        <v>31</v>
      </c>
      <c r="U1632" t="s">
        <v>31</v>
      </c>
      <c r="V1632" t="s">
        <v>31</v>
      </c>
      <c r="W1632" t="s">
        <v>31</v>
      </c>
      <c r="X1632" t="s">
        <v>31</v>
      </c>
      <c r="Y1632" t="s">
        <v>31</v>
      </c>
    </row>
    <row r="1633" spans="1:25" hidden="1">
      <c r="A1633" t="s">
        <v>25</v>
      </c>
      <c r="B1633" t="s">
        <v>26</v>
      </c>
      <c r="C1633" t="s">
        <v>55</v>
      </c>
      <c r="D1633" s="1">
        <v>44311</v>
      </c>
      <c r="E1633" s="2">
        <v>0.5625</v>
      </c>
      <c r="F1633" t="s">
        <v>35</v>
      </c>
      <c r="G1633" t="s">
        <v>54</v>
      </c>
      <c r="H1633">
        <v>4</v>
      </c>
      <c r="I1633">
        <v>0</v>
      </c>
      <c r="J1633" t="s">
        <v>34</v>
      </c>
      <c r="K1633">
        <v>151</v>
      </c>
      <c r="L1633">
        <v>515</v>
      </c>
      <c r="M1633">
        <v>578</v>
      </c>
      <c r="N1633">
        <v>153</v>
      </c>
      <c r="O1633">
        <v>52</v>
      </c>
      <c r="P1633">
        <v>587</v>
      </c>
      <c r="Q1633">
        <v>148</v>
      </c>
      <c r="R1633">
        <v>481</v>
      </c>
      <c r="S1633">
        <v>554</v>
      </c>
      <c r="T1633" t="s">
        <v>31</v>
      </c>
      <c r="U1633" t="s">
        <v>31</v>
      </c>
      <c r="V1633" t="s">
        <v>31</v>
      </c>
      <c r="W1633" t="s">
        <v>31</v>
      </c>
      <c r="X1633" t="s">
        <v>31</v>
      </c>
      <c r="Y1633" t="s">
        <v>31</v>
      </c>
    </row>
    <row r="1634" spans="1:25" hidden="1">
      <c r="A1634" t="s">
        <v>25</v>
      </c>
      <c r="B1634" t="s">
        <v>26</v>
      </c>
      <c r="C1634" t="s">
        <v>55</v>
      </c>
      <c r="D1634" s="1">
        <v>44311</v>
      </c>
      <c r="E1634" s="2">
        <v>0.5625</v>
      </c>
      <c r="F1634" t="s">
        <v>39</v>
      </c>
      <c r="G1634" t="s">
        <v>29</v>
      </c>
      <c r="H1634">
        <v>1</v>
      </c>
      <c r="I1634">
        <v>2</v>
      </c>
      <c r="J1634" t="s">
        <v>30</v>
      </c>
      <c r="K1634">
        <v>847</v>
      </c>
      <c r="L1634">
        <v>611</v>
      </c>
      <c r="M1634">
        <v>132</v>
      </c>
      <c r="N1634">
        <v>85</v>
      </c>
      <c r="O1634">
        <v>661</v>
      </c>
      <c r="P1634">
        <v>134</v>
      </c>
      <c r="Q1634">
        <v>785</v>
      </c>
      <c r="R1634">
        <v>588</v>
      </c>
      <c r="S1634">
        <v>13</v>
      </c>
      <c r="T1634" t="s">
        <v>31</v>
      </c>
      <c r="U1634" t="s">
        <v>31</v>
      </c>
      <c r="V1634" t="s">
        <v>31</v>
      </c>
      <c r="W1634" t="s">
        <v>31</v>
      </c>
      <c r="X1634" t="s">
        <v>31</v>
      </c>
      <c r="Y1634" t="s">
        <v>31</v>
      </c>
    </row>
    <row r="1635" spans="1:25" hidden="1">
      <c r="A1635" t="s">
        <v>25</v>
      </c>
      <c r="B1635" t="s">
        <v>26</v>
      </c>
      <c r="C1635" t="s">
        <v>55</v>
      </c>
      <c r="D1635" s="1">
        <v>44311</v>
      </c>
      <c r="E1635" s="2">
        <v>0.66666666666666663</v>
      </c>
      <c r="F1635" t="s">
        <v>28</v>
      </c>
      <c r="G1635" t="s">
        <v>50</v>
      </c>
      <c r="H1635">
        <v>3</v>
      </c>
      <c r="I1635">
        <v>1</v>
      </c>
      <c r="J1635" t="s">
        <v>34</v>
      </c>
      <c r="K1635">
        <v>364</v>
      </c>
      <c r="L1635">
        <v>372</v>
      </c>
      <c r="M1635">
        <v>206</v>
      </c>
      <c r="N1635">
        <v>375</v>
      </c>
      <c r="O1635">
        <v>376</v>
      </c>
      <c r="P1635">
        <v>213</v>
      </c>
      <c r="Q1635">
        <v>346</v>
      </c>
      <c r="R1635">
        <v>354</v>
      </c>
      <c r="S1635">
        <v>203</v>
      </c>
      <c r="T1635" t="s">
        <v>31</v>
      </c>
      <c r="U1635" t="s">
        <v>31</v>
      </c>
      <c r="V1635" t="s">
        <v>31</v>
      </c>
      <c r="W1635" t="s">
        <v>31</v>
      </c>
      <c r="X1635" t="s">
        <v>31</v>
      </c>
      <c r="Y1635" t="s">
        <v>31</v>
      </c>
    </row>
    <row r="1636" spans="1:25" hidden="1">
      <c r="A1636" t="s">
        <v>25</v>
      </c>
      <c r="B1636" t="s">
        <v>26</v>
      </c>
      <c r="C1636" t="s">
        <v>55</v>
      </c>
      <c r="D1636" s="1">
        <v>44313</v>
      </c>
      <c r="E1636" s="2">
        <v>0.72916666666666663</v>
      </c>
      <c r="F1636" t="s">
        <v>40</v>
      </c>
      <c r="G1636" t="s">
        <v>37</v>
      </c>
      <c r="H1636">
        <v>0</v>
      </c>
      <c r="I1636">
        <v>0</v>
      </c>
      <c r="J1636" t="s">
        <v>41</v>
      </c>
      <c r="K1636">
        <v>198</v>
      </c>
      <c r="L1636">
        <v>365</v>
      </c>
      <c r="M1636">
        <v>4</v>
      </c>
      <c r="N1636">
        <v>202</v>
      </c>
      <c r="O1636">
        <v>383</v>
      </c>
      <c r="P1636">
        <v>419</v>
      </c>
      <c r="Q1636">
        <v>192</v>
      </c>
      <c r="R1636">
        <v>354</v>
      </c>
      <c r="S1636">
        <v>381</v>
      </c>
      <c r="T1636" t="s">
        <v>31</v>
      </c>
      <c r="U1636" t="s">
        <v>31</v>
      </c>
      <c r="V1636" t="s">
        <v>31</v>
      </c>
      <c r="W1636" t="s">
        <v>31</v>
      </c>
      <c r="X1636" t="s">
        <v>31</v>
      </c>
      <c r="Y1636" t="s">
        <v>31</v>
      </c>
    </row>
    <row r="1637" spans="1:25" hidden="1">
      <c r="A1637" t="s">
        <v>25</v>
      </c>
      <c r="B1637" t="s">
        <v>26</v>
      </c>
      <c r="C1637" t="s">
        <v>55</v>
      </c>
      <c r="D1637" s="1">
        <v>44313</v>
      </c>
      <c r="E1637" s="2">
        <v>0.72916666666666663</v>
      </c>
      <c r="F1637" t="s">
        <v>52</v>
      </c>
      <c r="G1637" t="s">
        <v>45</v>
      </c>
      <c r="H1637">
        <v>2</v>
      </c>
      <c r="I1637">
        <v>1</v>
      </c>
      <c r="J1637" t="s">
        <v>34</v>
      </c>
      <c r="K1637">
        <v>213</v>
      </c>
      <c r="L1637">
        <v>358</v>
      </c>
      <c r="M1637">
        <v>358</v>
      </c>
      <c r="N1637">
        <v>213</v>
      </c>
      <c r="O1637">
        <v>366</v>
      </c>
      <c r="P1637">
        <v>369</v>
      </c>
      <c r="Q1637">
        <v>206</v>
      </c>
      <c r="R1637">
        <v>346</v>
      </c>
      <c r="S1637">
        <v>345</v>
      </c>
      <c r="T1637" t="s">
        <v>31</v>
      </c>
      <c r="U1637" t="s">
        <v>31</v>
      </c>
      <c r="V1637" t="s">
        <v>31</v>
      </c>
      <c r="W1637" t="s">
        <v>31</v>
      </c>
      <c r="X1637" t="s">
        <v>31</v>
      </c>
      <c r="Y1637" t="s">
        <v>31</v>
      </c>
    </row>
    <row r="1638" spans="1:25" hidden="1">
      <c r="A1638" t="s">
        <v>25</v>
      </c>
      <c r="B1638" t="s">
        <v>26</v>
      </c>
      <c r="C1638" t="s">
        <v>55</v>
      </c>
      <c r="D1638" s="1">
        <v>44313</v>
      </c>
      <c r="E1638" s="2">
        <v>0.72916666666666663</v>
      </c>
      <c r="F1638" t="s">
        <v>48</v>
      </c>
      <c r="G1638" t="s">
        <v>38</v>
      </c>
      <c r="H1638">
        <v>0</v>
      </c>
      <c r="I1638">
        <v>0</v>
      </c>
      <c r="J1638" t="s">
        <v>41</v>
      </c>
      <c r="K1638">
        <v>278</v>
      </c>
      <c r="L1638">
        <v>342</v>
      </c>
      <c r="M1638">
        <v>267</v>
      </c>
      <c r="N1638">
        <v>291</v>
      </c>
      <c r="O1638">
        <v>36</v>
      </c>
      <c r="P1638">
        <v>267</v>
      </c>
      <c r="Q1638">
        <v>269</v>
      </c>
      <c r="R1638">
        <v>333</v>
      </c>
      <c r="S1638">
        <v>255</v>
      </c>
      <c r="T1638" t="s">
        <v>31</v>
      </c>
      <c r="U1638" t="s">
        <v>31</v>
      </c>
      <c r="V1638" t="s">
        <v>31</v>
      </c>
      <c r="W1638" t="s">
        <v>31</v>
      </c>
      <c r="X1638" t="s">
        <v>31</v>
      </c>
      <c r="Y1638" t="s">
        <v>31</v>
      </c>
    </row>
    <row r="1639" spans="1:25" hidden="1">
      <c r="A1639" t="s">
        <v>25</v>
      </c>
      <c r="B1639" t="s">
        <v>26</v>
      </c>
      <c r="C1639" t="s">
        <v>55</v>
      </c>
      <c r="D1639" s="1">
        <v>44314</v>
      </c>
      <c r="E1639" s="2">
        <v>0.72916666666666663</v>
      </c>
      <c r="F1639" t="s">
        <v>50</v>
      </c>
      <c r="G1639" t="s">
        <v>28</v>
      </c>
      <c r="H1639">
        <v>0</v>
      </c>
      <c r="I1639">
        <v>0</v>
      </c>
      <c r="J1639" t="s">
        <v>41</v>
      </c>
      <c r="K1639">
        <v>201</v>
      </c>
      <c r="L1639">
        <v>358</v>
      </c>
      <c r="M1639">
        <v>397</v>
      </c>
      <c r="N1639">
        <v>208</v>
      </c>
      <c r="O1639">
        <v>36</v>
      </c>
      <c r="P1639">
        <v>4</v>
      </c>
      <c r="Q1639">
        <v>201</v>
      </c>
      <c r="R1639">
        <v>344</v>
      </c>
      <c r="S1639">
        <v>362</v>
      </c>
      <c r="T1639" t="s">
        <v>31</v>
      </c>
      <c r="U1639" t="s">
        <v>31</v>
      </c>
      <c r="V1639" t="s">
        <v>31</v>
      </c>
      <c r="W1639" t="s">
        <v>31</v>
      </c>
      <c r="X1639" t="s">
        <v>31</v>
      </c>
      <c r="Y1639" t="s">
        <v>31</v>
      </c>
    </row>
    <row r="1640" spans="1:25" hidden="1">
      <c r="A1640" t="s">
        <v>25</v>
      </c>
      <c r="B1640" t="s">
        <v>26</v>
      </c>
      <c r="C1640" t="s">
        <v>55</v>
      </c>
      <c r="D1640" s="1">
        <v>44314</v>
      </c>
      <c r="E1640" s="2">
        <v>0.72916666666666663</v>
      </c>
      <c r="F1640" t="s">
        <v>29</v>
      </c>
      <c r="G1640" t="s">
        <v>39</v>
      </c>
      <c r="H1640">
        <v>1</v>
      </c>
      <c r="I1640">
        <v>1</v>
      </c>
      <c r="J1640" t="s">
        <v>41</v>
      </c>
      <c r="K1640">
        <v>135</v>
      </c>
      <c r="L1640">
        <v>606</v>
      </c>
      <c r="M1640">
        <v>786</v>
      </c>
      <c r="N1640">
        <v>137</v>
      </c>
      <c r="O1640">
        <v>606</v>
      </c>
      <c r="P1640">
        <v>9</v>
      </c>
      <c r="Q1640">
        <v>133</v>
      </c>
      <c r="R1640">
        <v>564</v>
      </c>
      <c r="S1640">
        <v>743</v>
      </c>
      <c r="T1640" t="s">
        <v>31</v>
      </c>
      <c r="U1640" t="s">
        <v>31</v>
      </c>
      <c r="V1640" t="s">
        <v>31</v>
      </c>
      <c r="W1640" t="s">
        <v>31</v>
      </c>
      <c r="X1640" t="s">
        <v>31</v>
      </c>
      <c r="Y1640" t="s">
        <v>31</v>
      </c>
    </row>
    <row r="1641" spans="1:25" hidden="1">
      <c r="A1641" t="s">
        <v>25</v>
      </c>
      <c r="B1641" t="s">
        <v>26</v>
      </c>
      <c r="C1641" t="s">
        <v>55</v>
      </c>
      <c r="D1641" s="1">
        <v>44314</v>
      </c>
      <c r="E1641" s="2">
        <v>0.72916666666666663</v>
      </c>
      <c r="F1641" t="s">
        <v>54</v>
      </c>
      <c r="G1641" t="s">
        <v>35</v>
      </c>
      <c r="H1641">
        <v>2</v>
      </c>
      <c r="I1641">
        <v>3</v>
      </c>
      <c r="J1641" t="s">
        <v>30</v>
      </c>
      <c r="K1641">
        <v>58</v>
      </c>
      <c r="L1641">
        <v>513</v>
      </c>
      <c r="M1641">
        <v>151</v>
      </c>
      <c r="N1641">
        <v>6</v>
      </c>
      <c r="O1641">
        <v>513</v>
      </c>
      <c r="P1641">
        <v>158</v>
      </c>
      <c r="Q1641">
        <v>535</v>
      </c>
      <c r="R1641">
        <v>47</v>
      </c>
      <c r="S1641">
        <v>151</v>
      </c>
      <c r="T1641" t="s">
        <v>31</v>
      </c>
      <c r="U1641" t="s">
        <v>31</v>
      </c>
      <c r="V1641" t="s">
        <v>31</v>
      </c>
      <c r="W1641" t="s">
        <v>31</v>
      </c>
      <c r="X1641" t="s">
        <v>31</v>
      </c>
      <c r="Y1641" t="s">
        <v>31</v>
      </c>
    </row>
    <row r="1642" spans="1:25" hidden="1">
      <c r="A1642" t="s">
        <v>25</v>
      </c>
      <c r="B1642" t="s">
        <v>26</v>
      </c>
      <c r="C1642" t="s">
        <v>55</v>
      </c>
      <c r="D1642" s="1">
        <v>44324</v>
      </c>
      <c r="E1642" s="2">
        <v>0.66666666666666663</v>
      </c>
      <c r="F1642" t="s">
        <v>37</v>
      </c>
      <c r="G1642" t="s">
        <v>48</v>
      </c>
      <c r="H1642">
        <v>2</v>
      </c>
      <c r="I1642">
        <v>0</v>
      </c>
      <c r="J1642" t="s">
        <v>34</v>
      </c>
      <c r="K1642">
        <v>243</v>
      </c>
      <c r="L1642">
        <v>336</v>
      </c>
      <c r="M1642">
        <v>314</v>
      </c>
      <c r="N1642">
        <v>253</v>
      </c>
      <c r="O1642">
        <v>344</v>
      </c>
      <c r="P1642">
        <v>323</v>
      </c>
      <c r="Q1642">
        <v>235</v>
      </c>
      <c r="R1642">
        <v>327</v>
      </c>
      <c r="S1642">
        <v>305</v>
      </c>
      <c r="T1642" t="s">
        <v>31</v>
      </c>
      <c r="U1642" t="s">
        <v>31</v>
      </c>
      <c r="V1642" t="s">
        <v>31</v>
      </c>
      <c r="W1642" t="s">
        <v>31</v>
      </c>
      <c r="X1642" t="s">
        <v>31</v>
      </c>
      <c r="Y1642" t="s">
        <v>31</v>
      </c>
    </row>
    <row r="1643" spans="1:25" hidden="1">
      <c r="A1643" t="s">
        <v>25</v>
      </c>
      <c r="B1643" t="s">
        <v>26</v>
      </c>
      <c r="C1643" t="s">
        <v>55</v>
      </c>
      <c r="D1643" s="1">
        <v>44324</v>
      </c>
      <c r="E1643" s="2">
        <v>0.66666666666666663</v>
      </c>
      <c r="F1643" t="s">
        <v>45</v>
      </c>
      <c r="G1643" t="s">
        <v>40</v>
      </c>
      <c r="H1643">
        <v>2</v>
      </c>
      <c r="I1643">
        <v>1</v>
      </c>
      <c r="J1643" t="s">
        <v>34</v>
      </c>
      <c r="K1643">
        <v>347</v>
      </c>
      <c r="L1643">
        <v>361</v>
      </c>
      <c r="M1643">
        <v>216</v>
      </c>
      <c r="N1643">
        <v>36</v>
      </c>
      <c r="O1643">
        <v>37</v>
      </c>
      <c r="P1643">
        <v>221</v>
      </c>
      <c r="Q1643">
        <v>33</v>
      </c>
      <c r="R1643">
        <v>347</v>
      </c>
      <c r="S1643">
        <v>213</v>
      </c>
      <c r="T1643" t="s">
        <v>31</v>
      </c>
      <c r="U1643" t="s">
        <v>31</v>
      </c>
      <c r="V1643" t="s">
        <v>31</v>
      </c>
      <c r="W1643" t="s">
        <v>31</v>
      </c>
      <c r="X1643" t="s">
        <v>31</v>
      </c>
      <c r="Y1643" t="s">
        <v>31</v>
      </c>
    </row>
    <row r="1644" spans="1:25" hidden="1">
      <c r="A1644" t="s">
        <v>25</v>
      </c>
      <c r="B1644" t="s">
        <v>26</v>
      </c>
      <c r="C1644" t="s">
        <v>55</v>
      </c>
      <c r="D1644" s="1">
        <v>44324</v>
      </c>
      <c r="E1644" s="2">
        <v>0.66666666666666663</v>
      </c>
      <c r="F1644" t="s">
        <v>52</v>
      </c>
      <c r="G1644" t="s">
        <v>38</v>
      </c>
      <c r="H1644">
        <v>1</v>
      </c>
      <c r="I1644">
        <v>1</v>
      </c>
      <c r="J1644" t="s">
        <v>41</v>
      </c>
      <c r="K1644">
        <v>185</v>
      </c>
      <c r="L1644">
        <v>398</v>
      </c>
      <c r="M1644">
        <v>417</v>
      </c>
      <c r="N1644">
        <v>198</v>
      </c>
      <c r="O1644">
        <v>398</v>
      </c>
      <c r="P1644">
        <v>432</v>
      </c>
      <c r="Q1644">
        <v>187</v>
      </c>
      <c r="R1644">
        <v>372</v>
      </c>
      <c r="S1644">
        <v>392</v>
      </c>
      <c r="T1644" t="s">
        <v>31</v>
      </c>
      <c r="U1644" t="s">
        <v>31</v>
      </c>
      <c r="V1644" t="s">
        <v>31</v>
      </c>
      <c r="W1644" t="s">
        <v>31</v>
      </c>
      <c r="X1644" t="s">
        <v>31</v>
      </c>
      <c r="Y1644" t="s">
        <v>31</v>
      </c>
    </row>
    <row r="1645" spans="1:25" hidden="1">
      <c r="A1645" t="s">
        <v>25</v>
      </c>
      <c r="B1645" t="s">
        <v>26</v>
      </c>
      <c r="C1645" t="s">
        <v>55</v>
      </c>
      <c r="D1645" s="1">
        <v>44325</v>
      </c>
      <c r="E1645" s="2">
        <v>0.5625</v>
      </c>
      <c r="F1645" t="s">
        <v>50</v>
      </c>
      <c r="G1645" t="s">
        <v>54</v>
      </c>
      <c r="H1645">
        <v>3</v>
      </c>
      <c r="I1645">
        <v>3</v>
      </c>
      <c r="J1645" t="s">
        <v>41</v>
      </c>
      <c r="K1645">
        <v>139</v>
      </c>
      <c r="L1645">
        <v>552</v>
      </c>
      <c r="M1645">
        <v>768</v>
      </c>
      <c r="N1645">
        <v>142</v>
      </c>
      <c r="O1645">
        <v>552</v>
      </c>
      <c r="P1645">
        <v>8</v>
      </c>
      <c r="Q1645">
        <v>138</v>
      </c>
      <c r="R1645">
        <v>502</v>
      </c>
      <c r="S1645">
        <v>737</v>
      </c>
      <c r="T1645" t="s">
        <v>31</v>
      </c>
      <c r="U1645" t="s">
        <v>31</v>
      </c>
      <c r="V1645" t="s">
        <v>31</v>
      </c>
      <c r="W1645" t="s">
        <v>31</v>
      </c>
      <c r="X1645" t="s">
        <v>31</v>
      </c>
      <c r="Y1645" t="s">
        <v>31</v>
      </c>
    </row>
    <row r="1646" spans="1:25" hidden="1">
      <c r="A1646" t="s">
        <v>25</v>
      </c>
      <c r="B1646" t="s">
        <v>26</v>
      </c>
      <c r="C1646" t="s">
        <v>55</v>
      </c>
      <c r="D1646" s="1">
        <v>44325</v>
      </c>
      <c r="E1646" s="2">
        <v>0.5625</v>
      </c>
      <c r="F1646" t="s">
        <v>28</v>
      </c>
      <c r="G1646" t="s">
        <v>29</v>
      </c>
      <c r="H1646">
        <v>1</v>
      </c>
      <c r="I1646">
        <v>3</v>
      </c>
      <c r="J1646" t="s">
        <v>30</v>
      </c>
      <c r="K1646">
        <v>827</v>
      </c>
      <c r="L1646">
        <v>579</v>
      </c>
      <c r="M1646">
        <v>135</v>
      </c>
      <c r="N1646">
        <v>10</v>
      </c>
      <c r="O1646">
        <v>58</v>
      </c>
      <c r="P1646">
        <v>141</v>
      </c>
      <c r="Q1646">
        <v>771</v>
      </c>
      <c r="R1646">
        <v>535</v>
      </c>
      <c r="S1646">
        <v>134</v>
      </c>
      <c r="T1646" t="s">
        <v>31</v>
      </c>
      <c r="U1646" t="s">
        <v>31</v>
      </c>
      <c r="V1646" t="s">
        <v>31</v>
      </c>
      <c r="W1646" t="s">
        <v>31</v>
      </c>
      <c r="X1646" t="s">
        <v>31</v>
      </c>
      <c r="Y1646" t="s">
        <v>31</v>
      </c>
    </row>
    <row r="1647" spans="1:25" hidden="1">
      <c r="A1647" t="s">
        <v>25</v>
      </c>
      <c r="B1647" t="s">
        <v>26</v>
      </c>
      <c r="C1647" t="s">
        <v>55</v>
      </c>
      <c r="D1647" s="1">
        <v>44325</v>
      </c>
      <c r="E1647" s="2">
        <v>0.66666666666666663</v>
      </c>
      <c r="F1647" t="s">
        <v>35</v>
      </c>
      <c r="G1647" t="s">
        <v>39</v>
      </c>
      <c r="H1647">
        <v>1</v>
      </c>
      <c r="I1647">
        <v>2</v>
      </c>
      <c r="J1647" t="s">
        <v>30</v>
      </c>
      <c r="K1647">
        <v>163</v>
      </c>
      <c r="L1647">
        <v>447</v>
      </c>
      <c r="M1647">
        <v>517</v>
      </c>
      <c r="N1647">
        <v>168</v>
      </c>
      <c r="O1647">
        <v>447</v>
      </c>
      <c r="P1647">
        <v>525</v>
      </c>
      <c r="Q1647">
        <v>163</v>
      </c>
      <c r="R1647">
        <v>419</v>
      </c>
      <c r="S1647">
        <v>481</v>
      </c>
      <c r="T1647" t="s">
        <v>31</v>
      </c>
      <c r="U1647" t="s">
        <v>31</v>
      </c>
      <c r="V1647" t="s">
        <v>31</v>
      </c>
      <c r="W1647" t="s">
        <v>31</v>
      </c>
      <c r="X1647" t="s">
        <v>31</v>
      </c>
      <c r="Y1647" t="s">
        <v>31</v>
      </c>
    </row>
    <row r="1648" spans="1:25" hidden="1">
      <c r="A1648" t="s">
        <v>25</v>
      </c>
      <c r="B1648" t="s">
        <v>26</v>
      </c>
      <c r="C1648" t="s">
        <v>55</v>
      </c>
      <c r="D1648" s="1">
        <v>44327</v>
      </c>
      <c r="E1648" s="2">
        <v>0.72916666666666663</v>
      </c>
      <c r="F1648" t="s">
        <v>38</v>
      </c>
      <c r="G1648" t="s">
        <v>37</v>
      </c>
      <c r="H1648">
        <v>0</v>
      </c>
      <c r="I1648">
        <v>0</v>
      </c>
      <c r="J1648" t="s">
        <v>41</v>
      </c>
      <c r="K1648">
        <v>298</v>
      </c>
      <c r="L1648">
        <v>328</v>
      </c>
      <c r="M1648">
        <v>258</v>
      </c>
      <c r="N1648">
        <v>298</v>
      </c>
      <c r="O1648">
        <v>347</v>
      </c>
      <c r="P1648">
        <v>263</v>
      </c>
      <c r="Q1648">
        <v>28</v>
      </c>
      <c r="R1648">
        <v>321</v>
      </c>
      <c r="S1648">
        <v>253</v>
      </c>
      <c r="T1648" t="s">
        <v>31</v>
      </c>
      <c r="U1648" t="s">
        <v>31</v>
      </c>
      <c r="V1648" t="s">
        <v>31</v>
      </c>
      <c r="W1648" t="s">
        <v>31</v>
      </c>
      <c r="X1648" t="s">
        <v>31</v>
      </c>
      <c r="Y1648" t="s">
        <v>31</v>
      </c>
    </row>
    <row r="1649" spans="1:25" hidden="1">
      <c r="A1649" t="s">
        <v>25</v>
      </c>
      <c r="B1649" t="s">
        <v>26</v>
      </c>
      <c r="C1649" t="s">
        <v>55</v>
      </c>
      <c r="D1649" s="1">
        <v>44327</v>
      </c>
      <c r="E1649" s="2">
        <v>0.72916666666666663</v>
      </c>
      <c r="F1649" t="s">
        <v>48</v>
      </c>
      <c r="G1649" t="s">
        <v>45</v>
      </c>
      <c r="H1649">
        <v>3</v>
      </c>
      <c r="I1649">
        <v>3</v>
      </c>
      <c r="J1649" t="s">
        <v>41</v>
      </c>
      <c r="K1649">
        <v>287</v>
      </c>
      <c r="L1649">
        <v>342</v>
      </c>
      <c r="M1649">
        <v>259</v>
      </c>
      <c r="N1649">
        <v>288</v>
      </c>
      <c r="O1649">
        <v>379</v>
      </c>
      <c r="P1649">
        <v>264</v>
      </c>
      <c r="Q1649">
        <v>272</v>
      </c>
      <c r="R1649">
        <v>33</v>
      </c>
      <c r="S1649">
        <v>255</v>
      </c>
      <c r="T1649" t="s">
        <v>31</v>
      </c>
      <c r="U1649" t="s">
        <v>31</v>
      </c>
      <c r="V1649" t="s">
        <v>31</v>
      </c>
      <c r="W1649" t="s">
        <v>31</v>
      </c>
      <c r="X1649" t="s">
        <v>31</v>
      </c>
      <c r="Y1649" t="s">
        <v>31</v>
      </c>
    </row>
    <row r="1650" spans="1:25" hidden="1">
      <c r="A1650" t="s">
        <v>25</v>
      </c>
      <c r="B1650" t="s">
        <v>26</v>
      </c>
      <c r="C1650" t="s">
        <v>55</v>
      </c>
      <c r="D1650" s="1">
        <v>44327</v>
      </c>
      <c r="E1650" s="2">
        <v>0.8125</v>
      </c>
      <c r="F1650" t="s">
        <v>40</v>
      </c>
      <c r="G1650" t="s">
        <v>52</v>
      </c>
      <c r="H1650">
        <v>3</v>
      </c>
      <c r="I1650">
        <v>1</v>
      </c>
      <c r="J1650" t="s">
        <v>34</v>
      </c>
      <c r="K1650">
        <v>213</v>
      </c>
      <c r="L1650">
        <v>381</v>
      </c>
      <c r="M1650">
        <v>337</v>
      </c>
      <c r="N1650">
        <v>213</v>
      </c>
      <c r="O1650">
        <v>391</v>
      </c>
      <c r="P1650">
        <v>341</v>
      </c>
      <c r="Q1650">
        <v>205</v>
      </c>
      <c r="R1650">
        <v>373</v>
      </c>
      <c r="S1650">
        <v>324</v>
      </c>
      <c r="T1650" t="s">
        <v>31</v>
      </c>
      <c r="U1650" t="s">
        <v>31</v>
      </c>
      <c r="V1650" t="s">
        <v>31</v>
      </c>
      <c r="W1650" t="s">
        <v>31</v>
      </c>
      <c r="X1650" t="s">
        <v>31</v>
      </c>
      <c r="Y1650" t="s">
        <v>31</v>
      </c>
    </row>
    <row r="1651" spans="1:25" hidden="1">
      <c r="A1651" t="s">
        <v>25</v>
      </c>
      <c r="B1651" t="s">
        <v>26</v>
      </c>
      <c r="C1651" t="s">
        <v>55</v>
      </c>
      <c r="D1651" s="1">
        <v>44328</v>
      </c>
      <c r="E1651" s="2">
        <v>0.72916666666666663</v>
      </c>
      <c r="F1651" t="s">
        <v>54</v>
      </c>
      <c r="G1651" t="s">
        <v>28</v>
      </c>
      <c r="H1651">
        <v>2</v>
      </c>
      <c r="I1651">
        <v>3</v>
      </c>
      <c r="J1651" t="s">
        <v>30</v>
      </c>
      <c r="K1651">
        <v>311</v>
      </c>
      <c r="L1651">
        <v>366</v>
      </c>
      <c r="M1651">
        <v>226</v>
      </c>
      <c r="N1651">
        <v>32</v>
      </c>
      <c r="O1651">
        <v>375</v>
      </c>
      <c r="P1651">
        <v>226</v>
      </c>
      <c r="Q1651">
        <v>304</v>
      </c>
      <c r="R1651">
        <v>359</v>
      </c>
      <c r="S1651">
        <v>219</v>
      </c>
      <c r="T1651" t="s">
        <v>31</v>
      </c>
      <c r="U1651" t="s">
        <v>31</v>
      </c>
      <c r="V1651" t="s">
        <v>31</v>
      </c>
      <c r="W1651" t="s">
        <v>31</v>
      </c>
      <c r="X1651" t="s">
        <v>31</v>
      </c>
      <c r="Y1651" t="s">
        <v>31</v>
      </c>
    </row>
    <row r="1652" spans="1:25" hidden="1">
      <c r="A1652" t="s">
        <v>25</v>
      </c>
      <c r="B1652" t="s">
        <v>26</v>
      </c>
      <c r="C1652" t="s">
        <v>55</v>
      </c>
      <c r="D1652" s="1">
        <v>44328</v>
      </c>
      <c r="E1652" s="2">
        <v>0.72916666666666663</v>
      </c>
      <c r="F1652" t="s">
        <v>39</v>
      </c>
      <c r="G1652" t="s">
        <v>50</v>
      </c>
      <c r="H1652">
        <v>0</v>
      </c>
      <c r="I1652">
        <v>4</v>
      </c>
      <c r="J1652" t="s">
        <v>30</v>
      </c>
      <c r="K1652">
        <v>374</v>
      </c>
      <c r="L1652">
        <v>403</v>
      </c>
      <c r="M1652">
        <v>192</v>
      </c>
      <c r="N1652">
        <v>39</v>
      </c>
      <c r="O1652">
        <v>41</v>
      </c>
      <c r="P1652">
        <v>195</v>
      </c>
      <c r="Q1652">
        <v>364</v>
      </c>
      <c r="R1652">
        <v>385</v>
      </c>
      <c r="S1652">
        <v>189</v>
      </c>
      <c r="T1652" t="s">
        <v>31</v>
      </c>
      <c r="U1652" t="s">
        <v>31</v>
      </c>
      <c r="V1652" t="s">
        <v>31</v>
      </c>
      <c r="W1652" t="s">
        <v>31</v>
      </c>
      <c r="X1652" t="s">
        <v>31</v>
      </c>
      <c r="Y1652" t="s">
        <v>31</v>
      </c>
    </row>
    <row r="1653" spans="1:25" hidden="1">
      <c r="A1653" t="s">
        <v>25</v>
      </c>
      <c r="B1653" t="s">
        <v>26</v>
      </c>
      <c r="C1653" t="s">
        <v>55</v>
      </c>
      <c r="D1653" s="1">
        <v>44328</v>
      </c>
      <c r="E1653" s="2">
        <v>0.8125</v>
      </c>
      <c r="F1653" t="s">
        <v>29</v>
      </c>
      <c r="G1653" t="s">
        <v>35</v>
      </c>
      <c r="H1653">
        <v>2</v>
      </c>
      <c r="I1653">
        <v>0</v>
      </c>
      <c r="J1653" t="s">
        <v>34</v>
      </c>
      <c r="K1653">
        <v>126</v>
      </c>
      <c r="L1653">
        <v>639</v>
      </c>
      <c r="M1653">
        <v>108</v>
      </c>
      <c r="N1653">
        <v>127</v>
      </c>
      <c r="O1653">
        <v>676</v>
      </c>
      <c r="P1653">
        <v>121</v>
      </c>
      <c r="Q1653">
        <v>124</v>
      </c>
      <c r="R1653">
        <v>63</v>
      </c>
      <c r="S1653">
        <v>1006</v>
      </c>
      <c r="T1653" t="s">
        <v>31</v>
      </c>
      <c r="U1653" t="s">
        <v>31</v>
      </c>
      <c r="V1653" t="s">
        <v>31</v>
      </c>
      <c r="W1653" t="s">
        <v>31</v>
      </c>
      <c r="X1653" t="s">
        <v>31</v>
      </c>
      <c r="Y1653" t="s">
        <v>31</v>
      </c>
    </row>
    <row r="1654" spans="1:25" hidden="1">
      <c r="A1654" t="s">
        <v>25</v>
      </c>
      <c r="B1654" t="s">
        <v>26</v>
      </c>
      <c r="C1654" t="s">
        <v>55</v>
      </c>
      <c r="D1654" s="1">
        <v>44331</v>
      </c>
      <c r="E1654" s="2">
        <v>0.66666666666666663</v>
      </c>
      <c r="F1654" t="s">
        <v>45</v>
      </c>
      <c r="G1654" t="s">
        <v>38</v>
      </c>
      <c r="H1654">
        <v>3</v>
      </c>
      <c r="I1654">
        <v>0</v>
      </c>
      <c r="J1654" t="s">
        <v>34</v>
      </c>
      <c r="K1654">
        <v>201</v>
      </c>
      <c r="L1654">
        <v>349</v>
      </c>
      <c r="M1654">
        <v>395</v>
      </c>
      <c r="N1654">
        <v>202</v>
      </c>
      <c r="O1654">
        <v>358</v>
      </c>
      <c r="P1654">
        <v>405</v>
      </c>
      <c r="Q1654">
        <v>196</v>
      </c>
      <c r="R1654">
        <v>345</v>
      </c>
      <c r="S1654">
        <v>377</v>
      </c>
      <c r="T1654" t="s">
        <v>31</v>
      </c>
      <c r="U1654" t="s">
        <v>31</v>
      </c>
      <c r="V1654" t="s">
        <v>31</v>
      </c>
      <c r="W1654" t="s">
        <v>31</v>
      </c>
      <c r="X1654" t="s">
        <v>31</v>
      </c>
      <c r="Y1654" t="s">
        <v>31</v>
      </c>
    </row>
    <row r="1655" spans="1:25" hidden="1">
      <c r="A1655" t="s">
        <v>25</v>
      </c>
      <c r="B1655" t="s">
        <v>26</v>
      </c>
      <c r="C1655" t="s">
        <v>55</v>
      </c>
      <c r="D1655" s="1">
        <v>44331</v>
      </c>
      <c r="E1655" s="2">
        <v>0.66666666666666663</v>
      </c>
      <c r="F1655" t="s">
        <v>40</v>
      </c>
      <c r="G1655" t="s">
        <v>48</v>
      </c>
      <c r="H1655">
        <v>2</v>
      </c>
      <c r="I1655">
        <v>1</v>
      </c>
      <c r="J1655" t="s">
        <v>34</v>
      </c>
      <c r="K1655">
        <v>17</v>
      </c>
      <c r="L1655">
        <v>414</v>
      </c>
      <c r="M1655">
        <v>486</v>
      </c>
      <c r="N1655">
        <v>171</v>
      </c>
      <c r="O1655">
        <v>427</v>
      </c>
      <c r="P1655">
        <v>55</v>
      </c>
      <c r="Q1655">
        <v>166</v>
      </c>
      <c r="R1655">
        <v>407</v>
      </c>
      <c r="S1655">
        <v>467</v>
      </c>
      <c r="T1655" t="s">
        <v>31</v>
      </c>
      <c r="U1655" t="s">
        <v>31</v>
      </c>
      <c r="V1655" t="s">
        <v>31</v>
      </c>
      <c r="W1655" t="s">
        <v>31</v>
      </c>
      <c r="X1655" t="s">
        <v>31</v>
      </c>
      <c r="Y1655" t="s">
        <v>31</v>
      </c>
    </row>
    <row r="1656" spans="1:25" hidden="1">
      <c r="A1656" t="s">
        <v>25</v>
      </c>
      <c r="B1656" t="s">
        <v>26</v>
      </c>
      <c r="C1656" t="s">
        <v>55</v>
      </c>
      <c r="D1656" s="1">
        <v>44331</v>
      </c>
      <c r="E1656" s="2">
        <v>0.66666666666666663</v>
      </c>
      <c r="F1656" t="s">
        <v>52</v>
      </c>
      <c r="G1656" t="s">
        <v>37</v>
      </c>
      <c r="H1656">
        <v>2</v>
      </c>
      <c r="I1656">
        <v>0</v>
      </c>
      <c r="J1656" t="s">
        <v>34</v>
      </c>
      <c r="K1656">
        <v>255</v>
      </c>
      <c r="L1656">
        <v>331</v>
      </c>
      <c r="M1656">
        <v>292</v>
      </c>
      <c r="N1656">
        <v>256</v>
      </c>
      <c r="O1656">
        <v>35</v>
      </c>
      <c r="P1656">
        <v>32</v>
      </c>
      <c r="Q1656">
        <v>241</v>
      </c>
      <c r="R1656">
        <v>332</v>
      </c>
      <c r="S1656">
        <v>289</v>
      </c>
      <c r="T1656" t="s">
        <v>31</v>
      </c>
      <c r="U1656" t="s">
        <v>31</v>
      </c>
      <c r="V1656" t="s">
        <v>31</v>
      </c>
      <c r="W1656" t="s">
        <v>31</v>
      </c>
      <c r="X1656" t="s">
        <v>31</v>
      </c>
      <c r="Y1656" t="s">
        <v>31</v>
      </c>
    </row>
    <row r="1657" spans="1:25" hidden="1">
      <c r="A1657" t="s">
        <v>25</v>
      </c>
      <c r="B1657" t="s">
        <v>26</v>
      </c>
      <c r="C1657" t="s">
        <v>55</v>
      </c>
      <c r="D1657" s="1">
        <v>44332</v>
      </c>
      <c r="E1657" s="2">
        <v>0.66666666666666663</v>
      </c>
      <c r="F1657" t="s">
        <v>50</v>
      </c>
      <c r="G1657" t="s">
        <v>29</v>
      </c>
      <c r="H1657">
        <v>2</v>
      </c>
      <c r="I1657">
        <v>5</v>
      </c>
      <c r="J1657" t="s">
        <v>30</v>
      </c>
      <c r="K1657">
        <v>286</v>
      </c>
      <c r="L1657">
        <v>375</v>
      </c>
      <c r="M1657">
        <v>238</v>
      </c>
      <c r="N1657">
        <v>3</v>
      </c>
      <c r="O1657">
        <v>385</v>
      </c>
      <c r="P1657">
        <v>241</v>
      </c>
      <c r="Q1657">
        <v>279</v>
      </c>
      <c r="R1657">
        <v>367</v>
      </c>
      <c r="S1657">
        <v>232</v>
      </c>
      <c r="T1657" t="s">
        <v>31</v>
      </c>
      <c r="U1657" t="s">
        <v>31</v>
      </c>
      <c r="V1657" t="s">
        <v>31</v>
      </c>
      <c r="W1657" t="s">
        <v>31</v>
      </c>
      <c r="X1657" t="s">
        <v>31</v>
      </c>
      <c r="Y1657" t="s">
        <v>31</v>
      </c>
    </row>
    <row r="1658" spans="1:25" hidden="1">
      <c r="A1658" t="s">
        <v>25</v>
      </c>
      <c r="B1658" t="s">
        <v>26</v>
      </c>
      <c r="C1658" t="s">
        <v>55</v>
      </c>
      <c r="D1658" s="1">
        <v>44332</v>
      </c>
      <c r="E1658" s="2">
        <v>0.66666666666666663</v>
      </c>
      <c r="F1658" t="s">
        <v>28</v>
      </c>
      <c r="G1658" t="s">
        <v>35</v>
      </c>
      <c r="H1658">
        <v>4</v>
      </c>
      <c r="I1658">
        <v>1</v>
      </c>
      <c r="J1658" t="s">
        <v>34</v>
      </c>
      <c r="K1658">
        <v>306</v>
      </c>
      <c r="L1658">
        <v>386</v>
      </c>
      <c r="M1658">
        <v>222</v>
      </c>
      <c r="N1658">
        <v>332</v>
      </c>
      <c r="O1658">
        <v>388</v>
      </c>
      <c r="P1658">
        <v>224</v>
      </c>
      <c r="Q1658">
        <v>302</v>
      </c>
      <c r="R1658">
        <v>367</v>
      </c>
      <c r="S1658">
        <v>218</v>
      </c>
      <c r="T1658" t="s">
        <v>31</v>
      </c>
      <c r="U1658" t="s">
        <v>31</v>
      </c>
      <c r="V1658" t="s">
        <v>31</v>
      </c>
      <c r="W1658" t="s">
        <v>31</v>
      </c>
      <c r="X1658" t="s">
        <v>31</v>
      </c>
      <c r="Y1658" t="s">
        <v>31</v>
      </c>
    </row>
    <row r="1659" spans="1:25" hidden="1">
      <c r="A1659" t="s">
        <v>25</v>
      </c>
      <c r="B1659" t="s">
        <v>26</v>
      </c>
      <c r="C1659" t="s">
        <v>55</v>
      </c>
      <c r="D1659" s="1">
        <v>44332</v>
      </c>
      <c r="E1659" s="2">
        <v>0.66666666666666663</v>
      </c>
      <c r="F1659" t="s">
        <v>54</v>
      </c>
      <c r="G1659" t="s">
        <v>39</v>
      </c>
      <c r="H1659">
        <v>2</v>
      </c>
      <c r="I1659">
        <v>2</v>
      </c>
      <c r="J1659" t="s">
        <v>41</v>
      </c>
      <c r="K1659">
        <v>308</v>
      </c>
      <c r="L1659">
        <v>396</v>
      </c>
      <c r="M1659">
        <v>218</v>
      </c>
      <c r="N1659">
        <v>335</v>
      </c>
      <c r="O1659">
        <v>4</v>
      </c>
      <c r="P1659">
        <v>223</v>
      </c>
      <c r="Q1659">
        <v>3</v>
      </c>
      <c r="R1659">
        <v>373</v>
      </c>
      <c r="S1659">
        <v>217</v>
      </c>
      <c r="T1659" t="s">
        <v>31</v>
      </c>
      <c r="U1659" t="s">
        <v>31</v>
      </c>
      <c r="V1659" t="s">
        <v>31</v>
      </c>
      <c r="W1659" t="s">
        <v>31</v>
      </c>
      <c r="X1659" t="s">
        <v>31</v>
      </c>
      <c r="Y1659" t="s">
        <v>31</v>
      </c>
    </row>
    <row r="1660" spans="1:25" hidden="1">
      <c r="A1660" t="s">
        <v>25</v>
      </c>
      <c r="B1660" t="s">
        <v>26</v>
      </c>
      <c r="C1660" t="s">
        <v>55</v>
      </c>
      <c r="D1660" s="1">
        <v>44337</v>
      </c>
      <c r="E1660" s="2">
        <v>0.75</v>
      </c>
      <c r="F1660" t="s">
        <v>37</v>
      </c>
      <c r="G1660" t="s">
        <v>45</v>
      </c>
      <c r="H1660">
        <v>1</v>
      </c>
      <c r="I1660">
        <v>1</v>
      </c>
      <c r="J1660" t="s">
        <v>41</v>
      </c>
      <c r="K1660">
        <v>684</v>
      </c>
      <c r="L1660">
        <v>463</v>
      </c>
      <c r="M1660">
        <v>144</v>
      </c>
      <c r="N1660">
        <v>793</v>
      </c>
      <c r="O1660">
        <v>525</v>
      </c>
      <c r="P1660">
        <v>185</v>
      </c>
      <c r="Q1660">
        <v>655</v>
      </c>
      <c r="R1660">
        <v>472</v>
      </c>
      <c r="S1660">
        <v>143</v>
      </c>
      <c r="T1660" t="s">
        <v>31</v>
      </c>
      <c r="U1660" t="s">
        <v>31</v>
      </c>
      <c r="V1660" t="s">
        <v>31</v>
      </c>
      <c r="W1660" t="s">
        <v>31</v>
      </c>
      <c r="X1660" t="s">
        <v>31</v>
      </c>
      <c r="Y1660" t="s">
        <v>31</v>
      </c>
    </row>
    <row r="1661" spans="1:25" hidden="1">
      <c r="A1661" t="s">
        <v>25</v>
      </c>
      <c r="B1661" t="s">
        <v>26</v>
      </c>
      <c r="C1661" t="s">
        <v>55</v>
      </c>
      <c r="D1661" s="1">
        <v>44337</v>
      </c>
      <c r="E1661" s="2">
        <v>0.75</v>
      </c>
      <c r="F1661" t="s">
        <v>38</v>
      </c>
      <c r="G1661" t="s">
        <v>40</v>
      </c>
      <c r="H1661">
        <v>3</v>
      </c>
      <c r="I1661">
        <v>2</v>
      </c>
      <c r="J1661" t="s">
        <v>34</v>
      </c>
      <c r="K1661">
        <v>296</v>
      </c>
      <c r="L1661">
        <v>373</v>
      </c>
      <c r="M1661">
        <v>232</v>
      </c>
      <c r="N1661">
        <v>303</v>
      </c>
      <c r="O1661">
        <v>395</v>
      </c>
      <c r="P1661">
        <v>238</v>
      </c>
      <c r="Q1661">
        <v>287</v>
      </c>
      <c r="R1661">
        <v>365</v>
      </c>
      <c r="S1661">
        <v>227</v>
      </c>
      <c r="T1661" t="s">
        <v>31</v>
      </c>
      <c r="U1661" t="s">
        <v>31</v>
      </c>
      <c r="V1661" t="s">
        <v>31</v>
      </c>
      <c r="W1661" t="s">
        <v>31</v>
      </c>
      <c r="X1661" t="s">
        <v>31</v>
      </c>
      <c r="Y1661" t="s">
        <v>31</v>
      </c>
    </row>
    <row r="1662" spans="1:25" hidden="1">
      <c r="A1662" t="s">
        <v>25</v>
      </c>
      <c r="B1662" t="s">
        <v>26</v>
      </c>
      <c r="C1662" t="s">
        <v>55</v>
      </c>
      <c r="D1662" s="1">
        <v>44337</v>
      </c>
      <c r="E1662" s="2">
        <v>0.75</v>
      </c>
      <c r="F1662" t="s">
        <v>48</v>
      </c>
      <c r="G1662" t="s">
        <v>52</v>
      </c>
      <c r="H1662">
        <v>0</v>
      </c>
      <c r="I1662">
        <v>1</v>
      </c>
      <c r="J1662" t="s">
        <v>30</v>
      </c>
      <c r="K1662">
        <v>288</v>
      </c>
      <c r="L1662">
        <v>383</v>
      </c>
      <c r="M1662">
        <v>234</v>
      </c>
      <c r="N1662">
        <v>306</v>
      </c>
      <c r="O1662">
        <v>398</v>
      </c>
      <c r="P1662">
        <v>234</v>
      </c>
      <c r="Q1662">
        <v>285</v>
      </c>
      <c r="R1662">
        <v>373</v>
      </c>
      <c r="S1662">
        <v>225</v>
      </c>
      <c r="T1662" t="s">
        <v>31</v>
      </c>
      <c r="U1662" t="s">
        <v>31</v>
      </c>
      <c r="V1662" t="s">
        <v>31</v>
      </c>
      <c r="W1662" t="s">
        <v>31</v>
      </c>
      <c r="X1662" t="s">
        <v>31</v>
      </c>
      <c r="Y1662" t="s">
        <v>31</v>
      </c>
    </row>
    <row r="1663" spans="1:25" hidden="1">
      <c r="A1663" t="s">
        <v>25</v>
      </c>
      <c r="B1663" t="s">
        <v>26</v>
      </c>
      <c r="C1663" t="s">
        <v>55</v>
      </c>
      <c r="D1663" s="1">
        <v>44338</v>
      </c>
      <c r="E1663" s="2">
        <v>0.66666666666666663</v>
      </c>
      <c r="F1663" t="s">
        <v>35</v>
      </c>
      <c r="G1663" t="s">
        <v>50</v>
      </c>
      <c r="H1663">
        <v>3</v>
      </c>
      <c r="I1663">
        <v>0</v>
      </c>
      <c r="J1663" t="s">
        <v>34</v>
      </c>
      <c r="K1663">
        <v>244</v>
      </c>
      <c r="L1663">
        <v>4</v>
      </c>
      <c r="M1663">
        <v>271</v>
      </c>
      <c r="N1663">
        <v>245</v>
      </c>
      <c r="O1663">
        <v>4</v>
      </c>
      <c r="P1663">
        <v>279</v>
      </c>
      <c r="Q1663">
        <v>239</v>
      </c>
      <c r="R1663">
        <v>378</v>
      </c>
      <c r="S1663">
        <v>265</v>
      </c>
      <c r="T1663" t="s">
        <v>31</v>
      </c>
      <c r="U1663" t="s">
        <v>31</v>
      </c>
      <c r="V1663" t="s">
        <v>31</v>
      </c>
      <c r="W1663" t="s">
        <v>31</v>
      </c>
      <c r="X1663" t="s">
        <v>31</v>
      </c>
      <c r="Y1663" t="s">
        <v>31</v>
      </c>
    </row>
    <row r="1664" spans="1:25" hidden="1">
      <c r="A1664" t="s">
        <v>25</v>
      </c>
      <c r="B1664" t="s">
        <v>26</v>
      </c>
      <c r="C1664" t="s">
        <v>55</v>
      </c>
      <c r="D1664" s="1">
        <v>44338</v>
      </c>
      <c r="E1664" s="2">
        <v>0.66666666666666663</v>
      </c>
      <c r="F1664" t="s">
        <v>29</v>
      </c>
      <c r="G1664" t="s">
        <v>54</v>
      </c>
      <c r="H1664">
        <v>4</v>
      </c>
      <c r="I1664">
        <v>0</v>
      </c>
      <c r="J1664" t="s">
        <v>34</v>
      </c>
      <c r="K1664">
        <v>111</v>
      </c>
      <c r="L1664">
        <v>1181</v>
      </c>
      <c r="M1664">
        <v>1855</v>
      </c>
      <c r="N1664">
        <v>117</v>
      </c>
      <c r="O1664">
        <v>122</v>
      </c>
      <c r="P1664">
        <v>23</v>
      </c>
      <c r="Q1664">
        <v>111</v>
      </c>
      <c r="R1664">
        <v>1037</v>
      </c>
      <c r="S1664">
        <v>1716</v>
      </c>
      <c r="T1664" t="s">
        <v>31</v>
      </c>
      <c r="U1664" t="s">
        <v>31</v>
      </c>
      <c r="V1664" t="s">
        <v>31</v>
      </c>
      <c r="W1664" t="s">
        <v>31</v>
      </c>
      <c r="X1664" t="s">
        <v>31</v>
      </c>
      <c r="Y1664" t="s">
        <v>31</v>
      </c>
    </row>
    <row r="1665" spans="1:25" hidden="1">
      <c r="A1665" t="s">
        <v>25</v>
      </c>
      <c r="B1665" t="s">
        <v>26</v>
      </c>
      <c r="C1665" t="s">
        <v>55</v>
      </c>
      <c r="D1665" s="1">
        <v>44338</v>
      </c>
      <c r="E1665" s="2">
        <v>0.66666666666666663</v>
      </c>
      <c r="F1665" t="s">
        <v>39</v>
      </c>
      <c r="G1665" t="s">
        <v>28</v>
      </c>
      <c r="H1665">
        <v>1</v>
      </c>
      <c r="I1665">
        <v>3</v>
      </c>
      <c r="J1665" t="s">
        <v>30</v>
      </c>
      <c r="K1665">
        <v>351</v>
      </c>
      <c r="L1665">
        <v>407</v>
      </c>
      <c r="M1665">
        <v>201</v>
      </c>
      <c r="N1665">
        <v>361</v>
      </c>
      <c r="O1665">
        <v>424</v>
      </c>
      <c r="P1665">
        <v>211</v>
      </c>
      <c r="Q1665">
        <v>335</v>
      </c>
      <c r="R1665">
        <v>392</v>
      </c>
      <c r="S1665">
        <v>197</v>
      </c>
      <c r="T1665" t="s">
        <v>31</v>
      </c>
      <c r="U1665" t="s">
        <v>31</v>
      </c>
      <c r="V1665" t="s">
        <v>31</v>
      </c>
      <c r="W1665" t="s">
        <v>31</v>
      </c>
      <c r="X1665" t="s">
        <v>31</v>
      </c>
      <c r="Y1665" t="s">
        <v>31</v>
      </c>
    </row>
    <row r="1666" spans="1:25" hidden="1">
      <c r="A1666" t="s">
        <v>25</v>
      </c>
      <c r="B1666" t="s">
        <v>26</v>
      </c>
      <c r="C1666" t="s">
        <v>55</v>
      </c>
      <c r="D1666" s="1">
        <v>44340</v>
      </c>
      <c r="E1666" s="2">
        <v>0.66666666666666663</v>
      </c>
      <c r="F1666" t="s">
        <v>52</v>
      </c>
      <c r="G1666" t="s">
        <v>40</v>
      </c>
      <c r="H1666">
        <v>0</v>
      </c>
      <c r="I1666">
        <v>3</v>
      </c>
      <c r="J1666" t="s">
        <v>30</v>
      </c>
      <c r="K1666">
        <v>279</v>
      </c>
      <c r="L1666">
        <v>365</v>
      </c>
      <c r="M1666">
        <v>253</v>
      </c>
      <c r="N1666">
        <v>289</v>
      </c>
      <c r="O1666">
        <v>379</v>
      </c>
      <c r="P1666">
        <v>253</v>
      </c>
      <c r="Q1666">
        <v>275</v>
      </c>
      <c r="R1666">
        <v>352</v>
      </c>
      <c r="S1666">
        <v>242</v>
      </c>
      <c r="T1666" t="s">
        <v>31</v>
      </c>
      <c r="U1666" t="s">
        <v>31</v>
      </c>
      <c r="V1666" t="s">
        <v>31</v>
      </c>
      <c r="W1666" t="s">
        <v>31</v>
      </c>
      <c r="X1666" t="s">
        <v>31</v>
      </c>
      <c r="Y1666" t="s">
        <v>31</v>
      </c>
    </row>
    <row r="1667" spans="1:25" hidden="1">
      <c r="A1667" t="s">
        <v>25</v>
      </c>
      <c r="B1667" t="s">
        <v>26</v>
      </c>
      <c r="C1667" t="s">
        <v>55</v>
      </c>
      <c r="D1667" s="1">
        <v>44342</v>
      </c>
      <c r="E1667" s="2">
        <v>0.70833333333333337</v>
      </c>
      <c r="F1667" t="s">
        <v>56</v>
      </c>
      <c r="G1667" t="s">
        <v>48</v>
      </c>
      <c r="H1667">
        <v>4</v>
      </c>
      <c r="I1667">
        <v>0</v>
      </c>
      <c r="J1667" t="s">
        <v>34</v>
      </c>
      <c r="K1667">
        <v>211</v>
      </c>
      <c r="L1667">
        <v>352</v>
      </c>
      <c r="M1667">
        <v>348</v>
      </c>
      <c r="N1667">
        <v>231</v>
      </c>
      <c r="O1667">
        <v>36</v>
      </c>
      <c r="P1667">
        <v>348</v>
      </c>
      <c r="Q1667">
        <v>211</v>
      </c>
      <c r="R1667">
        <v>343</v>
      </c>
      <c r="S1667">
        <v>332</v>
      </c>
      <c r="T1667" t="s">
        <v>31</v>
      </c>
      <c r="U1667" t="s">
        <v>31</v>
      </c>
      <c r="V1667" t="s">
        <v>31</v>
      </c>
      <c r="W1667" t="s">
        <v>31</v>
      </c>
      <c r="X1667" t="s">
        <v>31</v>
      </c>
      <c r="Y1667" t="s">
        <v>31</v>
      </c>
    </row>
    <row r="1668" spans="1:25" hidden="1">
      <c r="A1668" t="s">
        <v>25</v>
      </c>
      <c r="B1668" t="s">
        <v>26</v>
      </c>
      <c r="C1668" t="s">
        <v>55</v>
      </c>
      <c r="D1668" s="1">
        <v>44343</v>
      </c>
      <c r="E1668" s="2">
        <v>0.75</v>
      </c>
      <c r="F1668" t="s">
        <v>40</v>
      </c>
      <c r="G1668" t="s">
        <v>39</v>
      </c>
      <c r="H1668">
        <v>3</v>
      </c>
      <c r="I1668">
        <v>0</v>
      </c>
      <c r="J1668" t="s">
        <v>34</v>
      </c>
      <c r="K1668">
        <v>248</v>
      </c>
      <c r="L1668">
        <v>367</v>
      </c>
      <c r="M1668">
        <v>284</v>
      </c>
      <c r="N1668">
        <v>252</v>
      </c>
      <c r="O1668">
        <v>372</v>
      </c>
      <c r="P1668">
        <v>286</v>
      </c>
      <c r="Q1668">
        <v>238</v>
      </c>
      <c r="R1668">
        <v>355</v>
      </c>
      <c r="S1668">
        <v>276</v>
      </c>
      <c r="T1668" t="s">
        <v>31</v>
      </c>
      <c r="U1668" t="s">
        <v>31</v>
      </c>
      <c r="V1668" t="s">
        <v>31</v>
      </c>
      <c r="W1668" t="s">
        <v>31</v>
      </c>
      <c r="X1668" t="s">
        <v>31</v>
      </c>
      <c r="Y1668" t="s">
        <v>31</v>
      </c>
    </row>
    <row r="1669" spans="1:25" hidden="1">
      <c r="A1669" t="s">
        <v>25</v>
      </c>
      <c r="B1669" t="s">
        <v>26</v>
      </c>
      <c r="C1669" t="s">
        <v>55</v>
      </c>
      <c r="D1669" s="1">
        <v>44345</v>
      </c>
      <c r="E1669" s="2">
        <v>0.66666666666666663</v>
      </c>
      <c r="F1669" t="s">
        <v>48</v>
      </c>
      <c r="G1669" t="s">
        <v>56</v>
      </c>
      <c r="H1669">
        <v>0</v>
      </c>
      <c r="I1669">
        <v>1</v>
      </c>
      <c r="J1669" t="s">
        <v>30</v>
      </c>
      <c r="K1669">
        <v>275</v>
      </c>
      <c r="L1669">
        <v>4</v>
      </c>
      <c r="M1669">
        <v>241</v>
      </c>
      <c r="N1669">
        <v>301</v>
      </c>
      <c r="O1669">
        <v>4</v>
      </c>
      <c r="P1669">
        <v>246</v>
      </c>
      <c r="Q1669">
        <v>268</v>
      </c>
      <c r="R1669">
        <v>374</v>
      </c>
      <c r="S1669">
        <v>234</v>
      </c>
      <c r="T1669" t="s">
        <v>31</v>
      </c>
      <c r="U1669" t="s">
        <v>31</v>
      </c>
      <c r="V1669" t="s">
        <v>31</v>
      </c>
      <c r="W1669" t="s">
        <v>31</v>
      </c>
      <c r="X1669" t="s">
        <v>31</v>
      </c>
      <c r="Y1669" t="s">
        <v>31</v>
      </c>
    </row>
    <row r="1670" spans="1:25" hidden="1">
      <c r="A1670" t="s">
        <v>25</v>
      </c>
      <c r="B1670" t="s">
        <v>26</v>
      </c>
      <c r="C1670" t="s">
        <v>55</v>
      </c>
      <c r="D1670" s="1">
        <v>44346</v>
      </c>
      <c r="E1670" s="2">
        <v>0.66666666666666663</v>
      </c>
      <c r="F1670" t="s">
        <v>39</v>
      </c>
      <c r="G1670" t="s">
        <v>40</v>
      </c>
      <c r="H1670">
        <v>1</v>
      </c>
      <c r="I1670">
        <v>2</v>
      </c>
      <c r="J1670" t="s">
        <v>30</v>
      </c>
      <c r="K1670">
        <v>25</v>
      </c>
      <c r="L1670">
        <v>381</v>
      </c>
      <c r="M1670">
        <v>273</v>
      </c>
      <c r="N1670">
        <v>253</v>
      </c>
      <c r="O1670">
        <v>383</v>
      </c>
      <c r="P1670">
        <v>29</v>
      </c>
      <c r="Q1670">
        <v>241</v>
      </c>
      <c r="R1670">
        <v>363</v>
      </c>
      <c r="S1670">
        <v>268</v>
      </c>
      <c r="T1670" t="s">
        <v>31</v>
      </c>
      <c r="U1670" t="s">
        <v>31</v>
      </c>
      <c r="V1670" t="s">
        <v>31</v>
      </c>
      <c r="W1670" t="s">
        <v>31</v>
      </c>
      <c r="X1670" t="s">
        <v>31</v>
      </c>
      <c r="Y1670" t="s">
        <v>31</v>
      </c>
    </row>
    <row r="1671" spans="1:25" hidden="1">
      <c r="A1671" t="s">
        <v>25</v>
      </c>
      <c r="B1671" t="s">
        <v>26</v>
      </c>
      <c r="C1671" t="s">
        <v>57</v>
      </c>
      <c r="D1671" s="1">
        <v>44400</v>
      </c>
      <c r="E1671" s="2">
        <v>0.8125</v>
      </c>
      <c r="F1671" t="s">
        <v>28</v>
      </c>
      <c r="G1671" t="s">
        <v>29</v>
      </c>
      <c r="H1671">
        <v>1</v>
      </c>
      <c r="I1671">
        <v>3</v>
      </c>
      <c r="J1671" t="s">
        <v>30</v>
      </c>
      <c r="K1671">
        <v>503</v>
      </c>
      <c r="L1671">
        <v>411</v>
      </c>
      <c r="M1671">
        <v>17</v>
      </c>
      <c r="N1671">
        <v>52</v>
      </c>
      <c r="O1671">
        <v>438</v>
      </c>
      <c r="P1671">
        <v>172</v>
      </c>
      <c r="Q1671">
        <v>483</v>
      </c>
      <c r="R1671">
        <v>407</v>
      </c>
      <c r="S1671">
        <v>164</v>
      </c>
      <c r="T1671" t="s">
        <v>31</v>
      </c>
      <c r="U1671" t="s">
        <v>31</v>
      </c>
      <c r="V1671" t="s">
        <v>31</v>
      </c>
      <c r="W1671" t="s">
        <v>31</v>
      </c>
      <c r="X1671" t="s">
        <v>31</v>
      </c>
      <c r="Y1671" t="s">
        <v>31</v>
      </c>
    </row>
    <row r="1672" spans="1:25" hidden="1">
      <c r="A1672" t="s">
        <v>25</v>
      </c>
      <c r="B1672" t="s">
        <v>26</v>
      </c>
      <c r="C1672" t="s">
        <v>57</v>
      </c>
      <c r="D1672" s="1">
        <v>44401</v>
      </c>
      <c r="E1672" s="2">
        <v>0.66666666666666663</v>
      </c>
      <c r="F1672" t="s">
        <v>45</v>
      </c>
      <c r="G1672" t="s">
        <v>50</v>
      </c>
      <c r="H1672">
        <v>0</v>
      </c>
      <c r="I1672">
        <v>1</v>
      </c>
      <c r="J1672" t="s">
        <v>30</v>
      </c>
      <c r="K1672">
        <v>615</v>
      </c>
      <c r="L1672">
        <v>44</v>
      </c>
      <c r="M1672">
        <v>156</v>
      </c>
      <c r="N1672">
        <v>65</v>
      </c>
      <c r="O1672">
        <v>44</v>
      </c>
      <c r="P1672">
        <v>158</v>
      </c>
      <c r="Q1672">
        <v>587</v>
      </c>
      <c r="R1672">
        <v>422</v>
      </c>
      <c r="S1672">
        <v>153</v>
      </c>
      <c r="T1672" t="s">
        <v>31</v>
      </c>
      <c r="U1672" t="s">
        <v>31</v>
      </c>
      <c r="V1672" t="s">
        <v>31</v>
      </c>
      <c r="W1672" t="s">
        <v>31</v>
      </c>
      <c r="X1672" t="s">
        <v>31</v>
      </c>
      <c r="Y1672" t="s">
        <v>31</v>
      </c>
    </row>
    <row r="1673" spans="1:25" hidden="1">
      <c r="A1673" t="s">
        <v>25</v>
      </c>
      <c r="B1673" t="s">
        <v>26</v>
      </c>
      <c r="C1673" t="s">
        <v>57</v>
      </c>
      <c r="D1673" s="1">
        <v>44401</v>
      </c>
      <c r="E1673" s="2">
        <v>0.66666666666666663</v>
      </c>
      <c r="F1673" t="s">
        <v>35</v>
      </c>
      <c r="G1673" t="s">
        <v>52</v>
      </c>
      <c r="H1673">
        <v>0</v>
      </c>
      <c r="I1673">
        <v>2</v>
      </c>
      <c r="J1673" t="s">
        <v>30</v>
      </c>
      <c r="K1673">
        <v>137</v>
      </c>
      <c r="L1673">
        <v>545</v>
      </c>
      <c r="M1673">
        <v>829</v>
      </c>
      <c r="N1673">
        <v>139</v>
      </c>
      <c r="O1673">
        <v>557</v>
      </c>
      <c r="P1673">
        <v>83</v>
      </c>
      <c r="Q1673">
        <v>136</v>
      </c>
      <c r="R1673">
        <v>52</v>
      </c>
      <c r="S1673">
        <v>75</v>
      </c>
      <c r="T1673" t="s">
        <v>31</v>
      </c>
      <c r="U1673" t="s">
        <v>31</v>
      </c>
      <c r="V1673" t="s">
        <v>31</v>
      </c>
      <c r="W1673" t="s">
        <v>31</v>
      </c>
      <c r="X1673" t="s">
        <v>31</v>
      </c>
      <c r="Y1673" t="s">
        <v>31</v>
      </c>
    </row>
    <row r="1674" spans="1:25" hidden="1">
      <c r="A1674" t="s">
        <v>25</v>
      </c>
      <c r="B1674" t="s">
        <v>26</v>
      </c>
      <c r="C1674" t="s">
        <v>57</v>
      </c>
      <c r="D1674" s="1">
        <v>44401</v>
      </c>
      <c r="E1674" s="2">
        <v>0.66666666666666663</v>
      </c>
      <c r="F1674" t="s">
        <v>54</v>
      </c>
      <c r="G1674" t="s">
        <v>37</v>
      </c>
      <c r="H1674">
        <v>1</v>
      </c>
      <c r="I1674">
        <v>1</v>
      </c>
      <c r="J1674" t="s">
        <v>41</v>
      </c>
      <c r="K1674">
        <v>221</v>
      </c>
      <c r="L1674">
        <v>357</v>
      </c>
      <c r="M1674">
        <v>337</v>
      </c>
      <c r="N1674">
        <v>224</v>
      </c>
      <c r="O1674">
        <v>37</v>
      </c>
      <c r="P1674">
        <v>388</v>
      </c>
      <c r="Q1674">
        <v>208</v>
      </c>
      <c r="R1674">
        <v>347</v>
      </c>
      <c r="S1674">
        <v>34</v>
      </c>
      <c r="T1674" t="s">
        <v>31</v>
      </c>
      <c r="U1674" t="s">
        <v>31</v>
      </c>
      <c r="V1674" t="s">
        <v>31</v>
      </c>
      <c r="W1674" t="s">
        <v>31</v>
      </c>
      <c r="X1674" t="s">
        <v>31</v>
      </c>
      <c r="Y1674" t="s">
        <v>31</v>
      </c>
    </row>
    <row r="1675" spans="1:25" hidden="1">
      <c r="A1675" t="s">
        <v>25</v>
      </c>
      <c r="B1675" t="s">
        <v>26</v>
      </c>
      <c r="C1675" t="s">
        <v>57</v>
      </c>
      <c r="D1675" s="1">
        <v>44402</v>
      </c>
      <c r="E1675" s="2">
        <v>0.66666666666666663</v>
      </c>
      <c r="F1675" t="s">
        <v>56</v>
      </c>
      <c r="G1675" t="s">
        <v>39</v>
      </c>
      <c r="H1675">
        <v>1</v>
      </c>
      <c r="I1675">
        <v>1</v>
      </c>
      <c r="J1675" t="s">
        <v>41</v>
      </c>
      <c r="K1675">
        <v>299</v>
      </c>
      <c r="L1675">
        <v>366</v>
      </c>
      <c r="M1675">
        <v>238</v>
      </c>
      <c r="N1675">
        <v>313</v>
      </c>
      <c r="O1675">
        <v>384</v>
      </c>
      <c r="P1675">
        <v>24</v>
      </c>
      <c r="Q1675">
        <v>292</v>
      </c>
      <c r="R1675">
        <v>346</v>
      </c>
      <c r="S1675">
        <v>231</v>
      </c>
      <c r="T1675" t="s">
        <v>31</v>
      </c>
      <c r="U1675" t="s">
        <v>31</v>
      </c>
      <c r="V1675" t="s">
        <v>31</v>
      </c>
      <c r="W1675" t="s">
        <v>31</v>
      </c>
      <c r="X1675" t="s">
        <v>31</v>
      </c>
      <c r="Y1675" t="s">
        <v>31</v>
      </c>
    </row>
    <row r="1676" spans="1:25" hidden="1">
      <c r="A1676" t="s">
        <v>25</v>
      </c>
      <c r="B1676" t="s">
        <v>26</v>
      </c>
      <c r="C1676" t="s">
        <v>57</v>
      </c>
      <c r="D1676" s="1">
        <v>44402</v>
      </c>
      <c r="E1676" s="2">
        <v>0.66666666666666663</v>
      </c>
      <c r="F1676" t="s">
        <v>38</v>
      </c>
      <c r="G1676" t="s">
        <v>40</v>
      </c>
      <c r="H1676">
        <v>2</v>
      </c>
      <c r="I1676">
        <v>1</v>
      </c>
      <c r="J1676" t="s">
        <v>34</v>
      </c>
      <c r="K1676">
        <v>322</v>
      </c>
      <c r="L1676">
        <v>378</v>
      </c>
      <c r="M1676">
        <v>221</v>
      </c>
      <c r="N1676">
        <v>332</v>
      </c>
      <c r="O1676">
        <v>378</v>
      </c>
      <c r="P1676">
        <v>228</v>
      </c>
      <c r="Q1676">
        <v>309</v>
      </c>
      <c r="R1676">
        <v>358</v>
      </c>
      <c r="S1676">
        <v>217</v>
      </c>
      <c r="T1676" t="s">
        <v>31</v>
      </c>
      <c r="U1676" t="s">
        <v>31</v>
      </c>
      <c r="V1676" t="s">
        <v>31</v>
      </c>
      <c r="W1676" t="s">
        <v>31</v>
      </c>
      <c r="X1676" t="s">
        <v>31</v>
      </c>
      <c r="Y1676" t="s">
        <v>31</v>
      </c>
    </row>
    <row r="1677" spans="1:25" hidden="1">
      <c r="A1677" t="s">
        <v>25</v>
      </c>
      <c r="B1677" t="s">
        <v>26</v>
      </c>
      <c r="C1677" t="s">
        <v>57</v>
      </c>
      <c r="D1677" s="1">
        <v>44408</v>
      </c>
      <c r="E1677" s="2">
        <v>0.66666666666666663</v>
      </c>
      <c r="F1677" t="s">
        <v>37</v>
      </c>
      <c r="G1677" t="s">
        <v>56</v>
      </c>
      <c r="H1677">
        <v>4</v>
      </c>
      <c r="I1677">
        <v>0</v>
      </c>
      <c r="J1677" t="s">
        <v>34</v>
      </c>
      <c r="K1677">
        <v>239</v>
      </c>
      <c r="L1677">
        <v>35</v>
      </c>
      <c r="M1677">
        <v>309</v>
      </c>
      <c r="N1677">
        <v>244</v>
      </c>
      <c r="O1677">
        <v>375</v>
      </c>
      <c r="P1677">
        <v>31</v>
      </c>
      <c r="Q1677">
        <v>232</v>
      </c>
      <c r="R1677">
        <v>339</v>
      </c>
      <c r="S1677">
        <v>297</v>
      </c>
      <c r="T1677" t="s">
        <v>31</v>
      </c>
      <c r="U1677" t="s">
        <v>31</v>
      </c>
      <c r="V1677" t="s">
        <v>31</v>
      </c>
      <c r="W1677" t="s">
        <v>31</v>
      </c>
      <c r="X1677" t="s">
        <v>31</v>
      </c>
      <c r="Y1677" t="s">
        <v>31</v>
      </c>
    </row>
    <row r="1678" spans="1:25" hidden="1">
      <c r="A1678" t="s">
        <v>25</v>
      </c>
      <c r="B1678" t="s">
        <v>26</v>
      </c>
      <c r="C1678" t="s">
        <v>57</v>
      </c>
      <c r="D1678" s="1">
        <v>44408</v>
      </c>
      <c r="E1678" s="2">
        <v>0.66666666666666663</v>
      </c>
      <c r="F1678" t="s">
        <v>52</v>
      </c>
      <c r="G1678" t="s">
        <v>45</v>
      </c>
      <c r="H1678">
        <v>1</v>
      </c>
      <c r="I1678">
        <v>2</v>
      </c>
      <c r="J1678" t="s">
        <v>30</v>
      </c>
      <c r="K1678">
        <v>206</v>
      </c>
      <c r="L1678">
        <v>352</v>
      </c>
      <c r="M1678">
        <v>385</v>
      </c>
      <c r="N1678">
        <v>207</v>
      </c>
      <c r="O1678">
        <v>36</v>
      </c>
      <c r="P1678">
        <v>398</v>
      </c>
      <c r="Q1678">
        <v>2</v>
      </c>
      <c r="R1678">
        <v>344</v>
      </c>
      <c r="S1678">
        <v>368</v>
      </c>
      <c r="T1678" t="s">
        <v>31</v>
      </c>
      <c r="U1678" t="s">
        <v>31</v>
      </c>
      <c r="V1678" t="s">
        <v>31</v>
      </c>
      <c r="W1678" t="s">
        <v>31</v>
      </c>
      <c r="X1678" t="s">
        <v>31</v>
      </c>
      <c r="Y1678" t="s">
        <v>31</v>
      </c>
    </row>
    <row r="1679" spans="1:25" hidden="1">
      <c r="A1679" t="s">
        <v>25</v>
      </c>
      <c r="B1679" t="s">
        <v>26</v>
      </c>
      <c r="C1679" t="s">
        <v>57</v>
      </c>
      <c r="D1679" s="1">
        <v>44408</v>
      </c>
      <c r="E1679" s="2">
        <v>0.66666666666666663</v>
      </c>
      <c r="F1679" t="s">
        <v>50</v>
      </c>
      <c r="G1679" t="s">
        <v>35</v>
      </c>
      <c r="H1679">
        <v>1</v>
      </c>
      <c r="I1679">
        <v>1</v>
      </c>
      <c r="J1679" t="s">
        <v>41</v>
      </c>
      <c r="K1679">
        <v>211</v>
      </c>
      <c r="L1679">
        <v>381</v>
      </c>
      <c r="M1679">
        <v>341</v>
      </c>
      <c r="N1679">
        <v>216</v>
      </c>
      <c r="O1679">
        <v>387</v>
      </c>
      <c r="P1679">
        <v>35</v>
      </c>
      <c r="Q1679">
        <v>206</v>
      </c>
      <c r="R1679">
        <v>365</v>
      </c>
      <c r="S1679">
        <v>329</v>
      </c>
      <c r="T1679" t="s">
        <v>31</v>
      </c>
      <c r="U1679" t="s">
        <v>31</v>
      </c>
      <c r="V1679" t="s">
        <v>31</v>
      </c>
      <c r="W1679" t="s">
        <v>31</v>
      </c>
      <c r="X1679" t="s">
        <v>31</v>
      </c>
      <c r="Y1679" t="s">
        <v>31</v>
      </c>
    </row>
    <row r="1680" spans="1:25" hidden="1">
      <c r="A1680" t="s">
        <v>25</v>
      </c>
      <c r="B1680" t="s">
        <v>26</v>
      </c>
      <c r="C1680" t="s">
        <v>57</v>
      </c>
      <c r="D1680" s="1">
        <v>44409</v>
      </c>
      <c r="E1680" s="2">
        <v>0.66666666666666663</v>
      </c>
      <c r="F1680" t="s">
        <v>40</v>
      </c>
      <c r="G1680" t="s">
        <v>54</v>
      </c>
      <c r="H1680">
        <v>1</v>
      </c>
      <c r="I1680">
        <v>1</v>
      </c>
      <c r="J1680" t="s">
        <v>41</v>
      </c>
      <c r="K1680">
        <v>201</v>
      </c>
      <c r="L1680">
        <v>39</v>
      </c>
      <c r="M1680">
        <v>364</v>
      </c>
      <c r="N1680">
        <v>208</v>
      </c>
      <c r="O1680">
        <v>393</v>
      </c>
      <c r="P1680">
        <v>367</v>
      </c>
      <c r="Q1680">
        <v>199</v>
      </c>
      <c r="R1680">
        <v>374</v>
      </c>
      <c r="S1680">
        <v>341</v>
      </c>
      <c r="T1680" t="s">
        <v>31</v>
      </c>
      <c r="U1680" t="s">
        <v>31</v>
      </c>
      <c r="V1680" t="s">
        <v>31</v>
      </c>
      <c r="W1680" t="s">
        <v>31</v>
      </c>
      <c r="X1680" t="s">
        <v>31</v>
      </c>
      <c r="Y1680" t="s">
        <v>31</v>
      </c>
    </row>
    <row r="1681" spans="1:25" hidden="1">
      <c r="A1681" t="s">
        <v>25</v>
      </c>
      <c r="B1681" t="s">
        <v>26</v>
      </c>
      <c r="C1681" t="s">
        <v>57</v>
      </c>
      <c r="D1681" s="1">
        <v>44409</v>
      </c>
      <c r="E1681" s="2">
        <v>0.66666666666666663</v>
      </c>
      <c r="F1681" t="s">
        <v>29</v>
      </c>
      <c r="G1681" t="s">
        <v>38</v>
      </c>
      <c r="H1681">
        <v>7</v>
      </c>
      <c r="I1681">
        <v>1</v>
      </c>
      <c r="J1681" t="s">
        <v>34</v>
      </c>
      <c r="K1681">
        <v>111</v>
      </c>
      <c r="L1681">
        <v>1069</v>
      </c>
      <c r="M1681">
        <v>2262</v>
      </c>
      <c r="N1681">
        <v>112</v>
      </c>
      <c r="O1681">
        <v>111</v>
      </c>
      <c r="P1681">
        <v>26</v>
      </c>
      <c r="Q1681">
        <v>11</v>
      </c>
      <c r="R1681">
        <v>981</v>
      </c>
      <c r="S1681">
        <v>2013</v>
      </c>
      <c r="T1681" t="s">
        <v>31</v>
      </c>
      <c r="U1681" t="s">
        <v>31</v>
      </c>
      <c r="V1681" t="s">
        <v>31</v>
      </c>
      <c r="W1681" t="s">
        <v>31</v>
      </c>
      <c r="X1681" t="s">
        <v>31</v>
      </c>
      <c r="Y1681" t="s">
        <v>31</v>
      </c>
    </row>
    <row r="1682" spans="1:25" hidden="1">
      <c r="A1682" t="s">
        <v>25</v>
      </c>
      <c r="B1682" t="s">
        <v>26</v>
      </c>
      <c r="C1682" t="s">
        <v>57</v>
      </c>
      <c r="D1682" s="1">
        <v>44409</v>
      </c>
      <c r="E1682" s="2">
        <v>0.66666666666666663</v>
      </c>
      <c r="F1682" t="s">
        <v>39</v>
      </c>
      <c r="G1682" t="s">
        <v>28</v>
      </c>
      <c r="H1682">
        <v>1</v>
      </c>
      <c r="I1682">
        <v>4</v>
      </c>
      <c r="J1682" t="s">
        <v>30</v>
      </c>
      <c r="K1682">
        <v>318</v>
      </c>
      <c r="L1682">
        <v>379</v>
      </c>
      <c r="M1682">
        <v>222</v>
      </c>
      <c r="N1682">
        <v>318</v>
      </c>
      <c r="O1682">
        <v>379</v>
      </c>
      <c r="P1682">
        <v>228</v>
      </c>
      <c r="Q1682">
        <v>304</v>
      </c>
      <c r="R1682">
        <v>362</v>
      </c>
      <c r="S1682">
        <v>218</v>
      </c>
      <c r="T1682" t="s">
        <v>31</v>
      </c>
      <c r="U1682" t="s">
        <v>31</v>
      </c>
      <c r="V1682" t="s">
        <v>31</v>
      </c>
      <c r="W1682" t="s">
        <v>31</v>
      </c>
      <c r="X1682" t="s">
        <v>31</v>
      </c>
      <c r="Y1682" t="s">
        <v>31</v>
      </c>
    </row>
    <row r="1683" spans="1:25" hidden="1">
      <c r="A1683" t="s">
        <v>25</v>
      </c>
      <c r="B1683" t="s">
        <v>26</v>
      </c>
      <c r="C1683" t="s">
        <v>57</v>
      </c>
      <c r="D1683" s="1">
        <v>44415</v>
      </c>
      <c r="E1683" s="2">
        <v>0.66666666666666663</v>
      </c>
      <c r="F1683" t="s">
        <v>56</v>
      </c>
      <c r="G1683" t="s">
        <v>52</v>
      </c>
      <c r="H1683">
        <v>4</v>
      </c>
      <c r="I1683">
        <v>3</v>
      </c>
      <c r="J1683" t="s">
        <v>34</v>
      </c>
      <c r="K1683">
        <v>262</v>
      </c>
      <c r="L1683">
        <v>378</v>
      </c>
      <c r="M1683">
        <v>262</v>
      </c>
      <c r="N1683">
        <v>269</v>
      </c>
      <c r="O1683">
        <v>378</v>
      </c>
      <c r="P1683">
        <v>262</v>
      </c>
      <c r="Q1683">
        <v>259</v>
      </c>
      <c r="R1683">
        <v>359</v>
      </c>
      <c r="S1683">
        <v>25</v>
      </c>
      <c r="T1683" t="s">
        <v>31</v>
      </c>
      <c r="U1683" t="s">
        <v>31</v>
      </c>
      <c r="V1683" t="s">
        <v>31</v>
      </c>
      <c r="W1683" t="s">
        <v>31</v>
      </c>
      <c r="X1683" t="s">
        <v>31</v>
      </c>
      <c r="Y1683" t="s">
        <v>31</v>
      </c>
    </row>
    <row r="1684" spans="1:25" hidden="1">
      <c r="A1684" t="s">
        <v>25</v>
      </c>
      <c r="B1684" t="s">
        <v>26</v>
      </c>
      <c r="C1684" t="s">
        <v>57</v>
      </c>
      <c r="D1684" s="1">
        <v>44415</v>
      </c>
      <c r="E1684" s="2">
        <v>0.66666666666666663</v>
      </c>
      <c r="F1684" t="s">
        <v>38</v>
      </c>
      <c r="G1684" t="s">
        <v>37</v>
      </c>
      <c r="H1684">
        <v>2</v>
      </c>
      <c r="I1684">
        <v>1</v>
      </c>
      <c r="J1684" t="s">
        <v>34</v>
      </c>
      <c r="K1684">
        <v>312</v>
      </c>
      <c r="L1684">
        <v>349</v>
      </c>
      <c r="M1684">
        <v>229</v>
      </c>
      <c r="N1684">
        <v>327</v>
      </c>
      <c r="O1684">
        <v>36</v>
      </c>
      <c r="P1684">
        <v>235</v>
      </c>
      <c r="Q1684">
        <v>307</v>
      </c>
      <c r="R1684">
        <v>341</v>
      </c>
      <c r="S1684">
        <v>224</v>
      </c>
      <c r="T1684" t="s">
        <v>31</v>
      </c>
      <c r="U1684" t="s">
        <v>31</v>
      </c>
      <c r="V1684" t="s">
        <v>31</v>
      </c>
      <c r="W1684" t="s">
        <v>31</v>
      </c>
      <c r="X1684" t="s">
        <v>31</v>
      </c>
      <c r="Y1684" t="s">
        <v>31</v>
      </c>
    </row>
    <row r="1685" spans="1:25" hidden="1">
      <c r="A1685" t="s">
        <v>25</v>
      </c>
      <c r="B1685" t="s">
        <v>26</v>
      </c>
      <c r="C1685" t="s">
        <v>57</v>
      </c>
      <c r="D1685" s="1">
        <v>44415</v>
      </c>
      <c r="E1685" s="2">
        <v>0.66666666666666663</v>
      </c>
      <c r="F1685" t="s">
        <v>28</v>
      </c>
      <c r="G1685" t="s">
        <v>45</v>
      </c>
      <c r="H1685">
        <v>3</v>
      </c>
      <c r="I1685">
        <v>1</v>
      </c>
      <c r="J1685" t="s">
        <v>34</v>
      </c>
      <c r="K1685">
        <v>137</v>
      </c>
      <c r="L1685">
        <v>549</v>
      </c>
      <c r="M1685">
        <v>85</v>
      </c>
      <c r="N1685">
        <v>145</v>
      </c>
      <c r="O1685">
        <v>56</v>
      </c>
      <c r="P1685">
        <v>864</v>
      </c>
      <c r="Q1685">
        <v>135</v>
      </c>
      <c r="R1685">
        <v>515</v>
      </c>
      <c r="S1685">
        <v>774</v>
      </c>
      <c r="T1685" t="s">
        <v>31</v>
      </c>
      <c r="U1685" t="s">
        <v>31</v>
      </c>
      <c r="V1685" t="s">
        <v>31</v>
      </c>
      <c r="W1685" t="s">
        <v>31</v>
      </c>
      <c r="X1685" t="s">
        <v>31</v>
      </c>
      <c r="Y1685" t="s">
        <v>31</v>
      </c>
    </row>
    <row r="1686" spans="1:25" hidden="1">
      <c r="A1686" t="s">
        <v>25</v>
      </c>
      <c r="B1686" t="s">
        <v>26</v>
      </c>
      <c r="C1686" t="s">
        <v>57</v>
      </c>
      <c r="D1686" s="1">
        <v>44416</v>
      </c>
      <c r="E1686" s="2">
        <v>0.66666666666666663</v>
      </c>
      <c r="F1686" t="s">
        <v>35</v>
      </c>
      <c r="G1686" t="s">
        <v>39</v>
      </c>
      <c r="H1686">
        <v>3</v>
      </c>
      <c r="I1686">
        <v>0</v>
      </c>
      <c r="J1686" t="s">
        <v>34</v>
      </c>
      <c r="K1686">
        <v>167</v>
      </c>
      <c r="L1686">
        <v>433</v>
      </c>
      <c r="M1686">
        <v>499</v>
      </c>
      <c r="N1686">
        <v>169</v>
      </c>
      <c r="O1686">
        <v>45</v>
      </c>
      <c r="P1686">
        <v>512</v>
      </c>
      <c r="Q1686">
        <v>164</v>
      </c>
      <c r="R1686">
        <v>418</v>
      </c>
      <c r="S1686">
        <v>472</v>
      </c>
      <c r="T1686" t="s">
        <v>31</v>
      </c>
      <c r="U1686" t="s">
        <v>31</v>
      </c>
      <c r="V1686" t="s">
        <v>31</v>
      </c>
      <c r="W1686" t="s">
        <v>31</v>
      </c>
      <c r="X1686" t="s">
        <v>31</v>
      </c>
      <c r="Y1686" t="s">
        <v>31</v>
      </c>
    </row>
    <row r="1687" spans="1:25" hidden="1">
      <c r="A1687" t="s">
        <v>25</v>
      </c>
      <c r="B1687" t="s">
        <v>26</v>
      </c>
      <c r="C1687" t="s">
        <v>57</v>
      </c>
      <c r="D1687" s="1">
        <v>44416</v>
      </c>
      <c r="E1687" s="2">
        <v>0.66666666666666663</v>
      </c>
      <c r="F1687" t="s">
        <v>29</v>
      </c>
      <c r="G1687" t="s">
        <v>40</v>
      </c>
      <c r="H1687">
        <v>1</v>
      </c>
      <c r="I1687">
        <v>0</v>
      </c>
      <c r="J1687" t="s">
        <v>34</v>
      </c>
      <c r="K1687">
        <v>114</v>
      </c>
      <c r="L1687">
        <v>946</v>
      </c>
      <c r="M1687">
        <v>1992</v>
      </c>
      <c r="N1687">
        <v>115</v>
      </c>
      <c r="O1687">
        <v>98</v>
      </c>
      <c r="P1687">
        <v>21</v>
      </c>
      <c r="Q1687">
        <v>113</v>
      </c>
      <c r="R1687">
        <v>877</v>
      </c>
      <c r="S1687">
        <v>1714</v>
      </c>
      <c r="T1687" t="s">
        <v>31</v>
      </c>
      <c r="U1687" t="s">
        <v>31</v>
      </c>
      <c r="V1687" t="s">
        <v>31</v>
      </c>
      <c r="W1687" t="s">
        <v>31</v>
      </c>
      <c r="X1687" t="s">
        <v>31</v>
      </c>
      <c r="Y1687" t="s">
        <v>31</v>
      </c>
    </row>
    <row r="1688" spans="1:25" hidden="1">
      <c r="A1688" t="s">
        <v>25</v>
      </c>
      <c r="B1688" t="s">
        <v>26</v>
      </c>
      <c r="C1688" t="s">
        <v>57</v>
      </c>
      <c r="D1688" s="1">
        <v>44416</v>
      </c>
      <c r="E1688" s="2">
        <v>0.66666666666666663</v>
      </c>
      <c r="F1688" t="s">
        <v>54</v>
      </c>
      <c r="G1688" t="s">
        <v>50</v>
      </c>
      <c r="H1688">
        <v>1</v>
      </c>
      <c r="I1688">
        <v>1</v>
      </c>
      <c r="J1688" t="s">
        <v>41</v>
      </c>
      <c r="K1688">
        <v>42</v>
      </c>
      <c r="L1688">
        <v>379</v>
      </c>
      <c r="M1688">
        <v>189</v>
      </c>
      <c r="N1688">
        <v>424</v>
      </c>
      <c r="O1688">
        <v>388</v>
      </c>
      <c r="P1688">
        <v>196</v>
      </c>
      <c r="Q1688">
        <v>388</v>
      </c>
      <c r="R1688">
        <v>367</v>
      </c>
      <c r="S1688">
        <v>187</v>
      </c>
      <c r="T1688" t="s">
        <v>31</v>
      </c>
      <c r="U1688" t="s">
        <v>31</v>
      </c>
      <c r="V1688" t="s">
        <v>31</v>
      </c>
      <c r="W1688" t="s">
        <v>31</v>
      </c>
      <c r="X1688" t="s">
        <v>31</v>
      </c>
      <c r="Y1688" t="s">
        <v>31</v>
      </c>
    </row>
    <row r="1689" spans="1:25" hidden="1">
      <c r="A1689" t="s">
        <v>25</v>
      </c>
      <c r="B1689" t="s">
        <v>26</v>
      </c>
      <c r="C1689" t="s">
        <v>57</v>
      </c>
      <c r="D1689" s="1">
        <v>44422</v>
      </c>
      <c r="E1689" s="2">
        <v>0.66666666666666663</v>
      </c>
      <c r="F1689" t="s">
        <v>37</v>
      </c>
      <c r="G1689" t="s">
        <v>29</v>
      </c>
      <c r="H1689">
        <v>0</v>
      </c>
      <c r="I1689">
        <v>1</v>
      </c>
      <c r="J1689" t="s">
        <v>30</v>
      </c>
      <c r="K1689">
        <v>1171</v>
      </c>
      <c r="L1689">
        <v>644</v>
      </c>
      <c r="M1689">
        <v>126</v>
      </c>
      <c r="N1689">
        <v>13</v>
      </c>
      <c r="O1689">
        <v>675</v>
      </c>
      <c r="P1689">
        <v>13</v>
      </c>
      <c r="Q1689">
        <v>11</v>
      </c>
      <c r="R1689">
        <v>614</v>
      </c>
      <c r="S1689">
        <v>123</v>
      </c>
      <c r="T1689" t="s">
        <v>31</v>
      </c>
      <c r="U1689" t="s">
        <v>31</v>
      </c>
      <c r="V1689" t="s">
        <v>31</v>
      </c>
      <c r="W1689" t="s">
        <v>31</v>
      </c>
      <c r="X1689" t="s">
        <v>31</v>
      </c>
      <c r="Y1689" t="s">
        <v>31</v>
      </c>
    </row>
    <row r="1690" spans="1:25" hidden="1">
      <c r="A1690" t="s">
        <v>25</v>
      </c>
      <c r="B1690" t="s">
        <v>26</v>
      </c>
      <c r="C1690" t="s">
        <v>57</v>
      </c>
      <c r="D1690" s="1">
        <v>44422</v>
      </c>
      <c r="E1690" s="2">
        <v>0.66666666666666663</v>
      </c>
      <c r="F1690" t="s">
        <v>52</v>
      </c>
      <c r="G1690" t="s">
        <v>38</v>
      </c>
      <c r="H1690">
        <v>1</v>
      </c>
      <c r="I1690">
        <v>1</v>
      </c>
      <c r="J1690" t="s">
        <v>41</v>
      </c>
      <c r="K1690">
        <v>209</v>
      </c>
      <c r="L1690">
        <v>371</v>
      </c>
      <c r="M1690">
        <v>356</v>
      </c>
      <c r="N1690">
        <v>21</v>
      </c>
      <c r="O1690">
        <v>38</v>
      </c>
      <c r="P1690">
        <v>36</v>
      </c>
      <c r="Q1690">
        <v>203</v>
      </c>
      <c r="R1690">
        <v>362</v>
      </c>
      <c r="S1690">
        <v>338</v>
      </c>
      <c r="T1690" t="s">
        <v>31</v>
      </c>
      <c r="U1690" t="s">
        <v>31</v>
      </c>
      <c r="V1690" t="s">
        <v>31</v>
      </c>
      <c r="W1690" t="s">
        <v>31</v>
      </c>
      <c r="X1690" t="s">
        <v>31</v>
      </c>
      <c r="Y1690" t="s">
        <v>31</v>
      </c>
    </row>
    <row r="1691" spans="1:25" hidden="1">
      <c r="A1691" t="s">
        <v>25</v>
      </c>
      <c r="B1691" t="s">
        <v>26</v>
      </c>
      <c r="C1691" t="s">
        <v>57</v>
      </c>
      <c r="D1691" s="1">
        <v>44422</v>
      </c>
      <c r="E1691" s="2">
        <v>0.66666666666666663</v>
      </c>
      <c r="F1691" t="s">
        <v>39</v>
      </c>
      <c r="G1691" t="s">
        <v>54</v>
      </c>
      <c r="H1691">
        <v>2</v>
      </c>
      <c r="I1691">
        <v>2</v>
      </c>
      <c r="J1691" t="s">
        <v>41</v>
      </c>
      <c r="K1691">
        <v>181</v>
      </c>
      <c r="L1691">
        <v>43</v>
      </c>
      <c r="M1691">
        <v>405</v>
      </c>
      <c r="N1691">
        <v>21</v>
      </c>
      <c r="O1691">
        <v>43</v>
      </c>
      <c r="P1691">
        <v>433</v>
      </c>
      <c r="Q1691">
        <v>184</v>
      </c>
      <c r="R1691">
        <v>395</v>
      </c>
      <c r="S1691">
        <v>375</v>
      </c>
      <c r="T1691" t="s">
        <v>31</v>
      </c>
      <c r="U1691" t="s">
        <v>31</v>
      </c>
      <c r="V1691" t="s">
        <v>31</v>
      </c>
      <c r="W1691" t="s">
        <v>31</v>
      </c>
      <c r="X1691" t="s">
        <v>31</v>
      </c>
      <c r="Y1691" t="s">
        <v>31</v>
      </c>
    </row>
    <row r="1692" spans="1:25" hidden="1">
      <c r="A1692" t="s">
        <v>25</v>
      </c>
      <c r="B1692" t="s">
        <v>26</v>
      </c>
      <c r="C1692" t="s">
        <v>57</v>
      </c>
      <c r="D1692" s="1">
        <v>44423</v>
      </c>
      <c r="E1692" s="2">
        <v>0.66666666666666663</v>
      </c>
      <c r="F1692" t="s">
        <v>45</v>
      </c>
      <c r="G1692" t="s">
        <v>35</v>
      </c>
      <c r="H1692">
        <v>2</v>
      </c>
      <c r="I1692">
        <v>1</v>
      </c>
      <c r="J1692" t="s">
        <v>34</v>
      </c>
      <c r="K1692">
        <v>445</v>
      </c>
      <c r="L1692">
        <v>409</v>
      </c>
      <c r="M1692">
        <v>178</v>
      </c>
      <c r="N1692">
        <v>475</v>
      </c>
      <c r="O1692">
        <v>42</v>
      </c>
      <c r="P1692">
        <v>178</v>
      </c>
      <c r="Q1692">
        <v>435</v>
      </c>
      <c r="R1692">
        <v>395</v>
      </c>
      <c r="S1692">
        <v>172</v>
      </c>
      <c r="T1692" t="s">
        <v>31</v>
      </c>
      <c r="U1692" t="s">
        <v>31</v>
      </c>
      <c r="V1692" t="s">
        <v>31</v>
      </c>
      <c r="W1692" t="s">
        <v>31</v>
      </c>
      <c r="X1692" t="s">
        <v>31</v>
      </c>
      <c r="Y1692" t="s">
        <v>31</v>
      </c>
    </row>
    <row r="1693" spans="1:25" hidden="1">
      <c r="A1693" t="s">
        <v>25</v>
      </c>
      <c r="B1693" t="s">
        <v>26</v>
      </c>
      <c r="C1693" t="s">
        <v>57</v>
      </c>
      <c r="D1693" s="1">
        <v>44423</v>
      </c>
      <c r="E1693" s="2">
        <v>0.66666666666666663</v>
      </c>
      <c r="F1693" t="s">
        <v>40</v>
      </c>
      <c r="G1693" t="s">
        <v>56</v>
      </c>
      <c r="H1693">
        <v>1</v>
      </c>
      <c r="I1693">
        <v>1</v>
      </c>
      <c r="J1693" t="s">
        <v>41</v>
      </c>
      <c r="K1693">
        <v>158</v>
      </c>
      <c r="L1693">
        <v>448</v>
      </c>
      <c r="M1693">
        <v>572</v>
      </c>
      <c r="N1693">
        <v>17</v>
      </c>
      <c r="O1693">
        <v>448</v>
      </c>
      <c r="P1693">
        <v>6</v>
      </c>
      <c r="Q1693">
        <v>159</v>
      </c>
      <c r="R1693">
        <v>413</v>
      </c>
      <c r="S1693">
        <v>519</v>
      </c>
      <c r="T1693" t="s">
        <v>31</v>
      </c>
      <c r="U1693" t="s">
        <v>31</v>
      </c>
      <c r="V1693" t="s">
        <v>31</v>
      </c>
      <c r="W1693" t="s">
        <v>31</v>
      </c>
      <c r="X1693" t="s">
        <v>31</v>
      </c>
      <c r="Y1693" t="s">
        <v>31</v>
      </c>
    </row>
    <row r="1694" spans="1:25" hidden="1">
      <c r="A1694" t="s">
        <v>25</v>
      </c>
      <c r="B1694" t="s">
        <v>26</v>
      </c>
      <c r="C1694" t="s">
        <v>57</v>
      </c>
      <c r="D1694" s="1">
        <v>44423</v>
      </c>
      <c r="E1694" s="2">
        <v>0.66666666666666663</v>
      </c>
      <c r="F1694" t="s">
        <v>50</v>
      </c>
      <c r="G1694" t="s">
        <v>28</v>
      </c>
      <c r="H1694">
        <v>1</v>
      </c>
      <c r="I1694">
        <v>3</v>
      </c>
      <c r="J1694" t="s">
        <v>30</v>
      </c>
      <c r="K1694">
        <v>214</v>
      </c>
      <c r="L1694">
        <v>371</v>
      </c>
      <c r="M1694">
        <v>342</v>
      </c>
      <c r="N1694">
        <v>22</v>
      </c>
      <c r="O1694">
        <v>371</v>
      </c>
      <c r="P1694">
        <v>345</v>
      </c>
      <c r="Q1694">
        <v>211</v>
      </c>
      <c r="R1694">
        <v>35</v>
      </c>
      <c r="S1694">
        <v>329</v>
      </c>
      <c r="T1694" t="s">
        <v>31</v>
      </c>
      <c r="U1694" t="s">
        <v>31</v>
      </c>
      <c r="V1694" t="s">
        <v>31</v>
      </c>
      <c r="W1694" t="s">
        <v>31</v>
      </c>
      <c r="X1694" t="s">
        <v>31</v>
      </c>
      <c r="Y1694" t="s">
        <v>31</v>
      </c>
    </row>
    <row r="1695" spans="1:25" hidden="1">
      <c r="A1695" t="s">
        <v>25</v>
      </c>
      <c r="B1695" t="s">
        <v>26</v>
      </c>
      <c r="C1695" t="s">
        <v>57</v>
      </c>
      <c r="D1695" s="1">
        <v>44429</v>
      </c>
      <c r="E1695" s="2">
        <v>0.66666666666666663</v>
      </c>
      <c r="F1695" t="s">
        <v>29</v>
      </c>
      <c r="G1695" t="s">
        <v>56</v>
      </c>
      <c r="H1695">
        <v>3</v>
      </c>
      <c r="I1695">
        <v>1</v>
      </c>
      <c r="J1695" t="s">
        <v>34</v>
      </c>
      <c r="K1695">
        <v>111</v>
      </c>
      <c r="L1695">
        <v>1116</v>
      </c>
      <c r="M1695">
        <v>2243</v>
      </c>
      <c r="N1695">
        <v>115</v>
      </c>
      <c r="O1695">
        <v>12</v>
      </c>
      <c r="P1695">
        <v>23</v>
      </c>
      <c r="Q1695">
        <v>11</v>
      </c>
      <c r="R1695">
        <v>986</v>
      </c>
      <c r="S1695">
        <v>1945</v>
      </c>
      <c r="T1695" t="s">
        <v>31</v>
      </c>
      <c r="U1695" t="s">
        <v>31</v>
      </c>
      <c r="V1695" t="s">
        <v>31</v>
      </c>
      <c r="W1695" t="s">
        <v>31</v>
      </c>
      <c r="X1695" t="s">
        <v>31</v>
      </c>
      <c r="Y1695" t="s">
        <v>31</v>
      </c>
    </row>
    <row r="1696" spans="1:25" hidden="1">
      <c r="A1696" t="s">
        <v>25</v>
      </c>
      <c r="B1696" t="s">
        <v>26</v>
      </c>
      <c r="C1696" t="s">
        <v>57</v>
      </c>
      <c r="D1696" s="1">
        <v>44429</v>
      </c>
      <c r="E1696" s="2">
        <v>0.66666666666666663</v>
      </c>
      <c r="F1696" t="s">
        <v>54</v>
      </c>
      <c r="G1696" t="s">
        <v>45</v>
      </c>
      <c r="H1696">
        <v>0</v>
      </c>
      <c r="I1696">
        <v>0</v>
      </c>
      <c r="J1696" t="s">
        <v>41</v>
      </c>
      <c r="K1696">
        <v>189</v>
      </c>
      <c r="L1696">
        <v>414</v>
      </c>
      <c r="M1696">
        <v>387</v>
      </c>
      <c r="N1696">
        <v>198</v>
      </c>
      <c r="O1696">
        <v>416</v>
      </c>
      <c r="P1696">
        <v>42</v>
      </c>
      <c r="Q1696">
        <v>188</v>
      </c>
      <c r="R1696">
        <v>389</v>
      </c>
      <c r="S1696">
        <v>365</v>
      </c>
      <c r="T1696" t="s">
        <v>31</v>
      </c>
      <c r="U1696" t="s">
        <v>31</v>
      </c>
      <c r="V1696" t="s">
        <v>31</v>
      </c>
      <c r="W1696" t="s">
        <v>31</v>
      </c>
      <c r="X1696" t="s">
        <v>31</v>
      </c>
      <c r="Y1696" t="s">
        <v>31</v>
      </c>
    </row>
    <row r="1697" spans="1:25" hidden="1">
      <c r="A1697" t="s">
        <v>25</v>
      </c>
      <c r="B1697" t="s">
        <v>26</v>
      </c>
      <c r="C1697" t="s">
        <v>57</v>
      </c>
      <c r="D1697" s="1">
        <v>44429</v>
      </c>
      <c r="E1697" s="2">
        <v>0.66666666666666663</v>
      </c>
      <c r="F1697" t="s">
        <v>39</v>
      </c>
      <c r="G1697" t="s">
        <v>37</v>
      </c>
      <c r="H1697">
        <v>3</v>
      </c>
      <c r="I1697">
        <v>0</v>
      </c>
      <c r="J1697" t="s">
        <v>34</v>
      </c>
      <c r="K1697">
        <v>188</v>
      </c>
      <c r="L1697">
        <v>378</v>
      </c>
      <c r="M1697">
        <v>425</v>
      </c>
      <c r="N1697">
        <v>203</v>
      </c>
      <c r="O1697">
        <v>4</v>
      </c>
      <c r="P1697">
        <v>426</v>
      </c>
      <c r="Q1697">
        <v>193</v>
      </c>
      <c r="R1697">
        <v>359</v>
      </c>
      <c r="S1697">
        <v>378</v>
      </c>
      <c r="T1697" t="s">
        <v>31</v>
      </c>
      <c r="U1697" t="s">
        <v>31</v>
      </c>
      <c r="V1697" t="s">
        <v>31</v>
      </c>
      <c r="W1697" t="s">
        <v>31</v>
      </c>
      <c r="X1697" t="s">
        <v>31</v>
      </c>
      <c r="Y1697" t="s">
        <v>31</v>
      </c>
    </row>
    <row r="1698" spans="1:25" hidden="1">
      <c r="A1698" t="s">
        <v>25</v>
      </c>
      <c r="B1698" t="s">
        <v>26</v>
      </c>
      <c r="C1698" t="s">
        <v>57</v>
      </c>
      <c r="D1698" s="1">
        <v>44430</v>
      </c>
      <c r="E1698" s="2">
        <v>0.66666666666666663</v>
      </c>
      <c r="F1698" t="s">
        <v>50</v>
      </c>
      <c r="G1698" t="s">
        <v>52</v>
      </c>
      <c r="H1698">
        <v>1</v>
      </c>
      <c r="I1698">
        <v>1</v>
      </c>
      <c r="J1698" t="s">
        <v>41</v>
      </c>
      <c r="K1698">
        <v>154</v>
      </c>
      <c r="L1698">
        <v>485</v>
      </c>
      <c r="M1698">
        <v>566</v>
      </c>
      <c r="N1698">
        <v>157</v>
      </c>
      <c r="O1698">
        <v>485</v>
      </c>
      <c r="P1698">
        <v>6</v>
      </c>
      <c r="Q1698">
        <v>152</v>
      </c>
      <c r="R1698">
        <v>455</v>
      </c>
      <c r="S1698">
        <v>544</v>
      </c>
      <c r="T1698" t="s">
        <v>31</v>
      </c>
      <c r="U1698" t="s">
        <v>31</v>
      </c>
      <c r="V1698" t="s">
        <v>31</v>
      </c>
      <c r="W1698" t="s">
        <v>31</v>
      </c>
      <c r="X1698" t="s">
        <v>31</v>
      </c>
      <c r="Y1698" t="s">
        <v>31</v>
      </c>
    </row>
    <row r="1699" spans="1:25" hidden="1">
      <c r="A1699" t="s">
        <v>25</v>
      </c>
      <c r="B1699" t="s">
        <v>26</v>
      </c>
      <c r="C1699" t="s">
        <v>57</v>
      </c>
      <c r="D1699" s="1">
        <v>44430</v>
      </c>
      <c r="E1699" s="2">
        <v>0.66666666666666663</v>
      </c>
      <c r="F1699" t="s">
        <v>35</v>
      </c>
      <c r="G1699" t="s">
        <v>38</v>
      </c>
      <c r="H1699">
        <v>3</v>
      </c>
      <c r="I1699">
        <v>0</v>
      </c>
      <c r="J1699" t="s">
        <v>34</v>
      </c>
      <c r="K1699">
        <v>134</v>
      </c>
      <c r="L1699">
        <v>576</v>
      </c>
      <c r="M1699">
        <v>894</v>
      </c>
      <c r="N1699">
        <v>14</v>
      </c>
      <c r="O1699">
        <v>59</v>
      </c>
      <c r="P1699">
        <v>10</v>
      </c>
      <c r="Q1699">
        <v>131</v>
      </c>
      <c r="R1699">
        <v>541</v>
      </c>
      <c r="S1699">
        <v>879</v>
      </c>
      <c r="T1699" t="s">
        <v>31</v>
      </c>
      <c r="U1699" t="s">
        <v>31</v>
      </c>
      <c r="V1699" t="s">
        <v>31</v>
      </c>
      <c r="W1699" t="s">
        <v>31</v>
      </c>
      <c r="X1699" t="s">
        <v>31</v>
      </c>
      <c r="Y1699" t="s">
        <v>31</v>
      </c>
    </row>
    <row r="1700" spans="1:25" hidden="1">
      <c r="A1700" t="s">
        <v>25</v>
      </c>
      <c r="B1700" t="s">
        <v>26</v>
      </c>
      <c r="C1700" t="s">
        <v>57</v>
      </c>
      <c r="D1700" s="1">
        <v>44430</v>
      </c>
      <c r="E1700" s="2">
        <v>0.66666666666666663</v>
      </c>
      <c r="F1700" t="s">
        <v>28</v>
      </c>
      <c r="G1700" t="s">
        <v>40</v>
      </c>
      <c r="H1700">
        <v>2</v>
      </c>
      <c r="I1700">
        <v>2</v>
      </c>
      <c r="J1700" t="s">
        <v>41</v>
      </c>
      <c r="K1700">
        <v>208</v>
      </c>
      <c r="L1700">
        <v>383</v>
      </c>
      <c r="M1700">
        <v>348</v>
      </c>
      <c r="N1700">
        <v>214</v>
      </c>
      <c r="O1700">
        <v>39</v>
      </c>
      <c r="P1700">
        <v>39</v>
      </c>
      <c r="Q1700">
        <v>201</v>
      </c>
      <c r="R1700">
        <v>374</v>
      </c>
      <c r="S1700">
        <v>338</v>
      </c>
      <c r="T1700" t="s">
        <v>31</v>
      </c>
      <c r="U1700" t="s">
        <v>31</v>
      </c>
      <c r="V1700" t="s">
        <v>31</v>
      </c>
      <c r="W1700" t="s">
        <v>31</v>
      </c>
      <c r="X1700" t="s">
        <v>31</v>
      </c>
      <c r="Y1700" t="s">
        <v>31</v>
      </c>
    </row>
    <row r="1701" spans="1:25" hidden="1">
      <c r="A1701" t="s">
        <v>25</v>
      </c>
      <c r="B1701" t="s">
        <v>26</v>
      </c>
      <c r="C1701" t="s">
        <v>57</v>
      </c>
      <c r="D1701" s="1">
        <v>44436</v>
      </c>
      <c r="E1701" s="2">
        <v>0.66666666666666663</v>
      </c>
      <c r="F1701" t="s">
        <v>56</v>
      </c>
      <c r="G1701" t="s">
        <v>54</v>
      </c>
      <c r="H1701">
        <v>2</v>
      </c>
      <c r="I1701">
        <v>1</v>
      </c>
      <c r="J1701" t="s">
        <v>34</v>
      </c>
      <c r="K1701">
        <v>266</v>
      </c>
      <c r="L1701">
        <v>385</v>
      </c>
      <c r="M1701">
        <v>255</v>
      </c>
      <c r="N1701">
        <v>269</v>
      </c>
      <c r="O1701">
        <v>388</v>
      </c>
      <c r="P1701">
        <v>265</v>
      </c>
      <c r="Q1701">
        <v>258</v>
      </c>
      <c r="R1701">
        <v>368</v>
      </c>
      <c r="S1701">
        <v>248</v>
      </c>
      <c r="T1701" t="s">
        <v>31</v>
      </c>
      <c r="U1701" t="s">
        <v>31</v>
      </c>
      <c r="V1701" t="s">
        <v>31</v>
      </c>
      <c r="W1701" t="s">
        <v>31</v>
      </c>
      <c r="X1701" t="s">
        <v>31</v>
      </c>
      <c r="Y1701" t="s">
        <v>31</v>
      </c>
    </row>
    <row r="1702" spans="1:25" hidden="1">
      <c r="A1702" t="s">
        <v>25</v>
      </c>
      <c r="B1702" t="s">
        <v>26</v>
      </c>
      <c r="C1702" t="s">
        <v>57</v>
      </c>
      <c r="D1702" s="1">
        <v>44436</v>
      </c>
      <c r="E1702" s="2">
        <v>0.66666666666666663</v>
      </c>
      <c r="F1702" t="s">
        <v>45</v>
      </c>
      <c r="G1702" t="s">
        <v>39</v>
      </c>
      <c r="H1702">
        <v>1</v>
      </c>
      <c r="I1702">
        <v>2</v>
      </c>
      <c r="J1702" t="s">
        <v>30</v>
      </c>
      <c r="K1702">
        <v>359</v>
      </c>
      <c r="L1702">
        <v>368</v>
      </c>
      <c r="M1702">
        <v>209</v>
      </c>
      <c r="N1702">
        <v>359</v>
      </c>
      <c r="O1702">
        <v>385</v>
      </c>
      <c r="P1702">
        <v>217</v>
      </c>
      <c r="Q1702">
        <v>331</v>
      </c>
      <c r="R1702">
        <v>353</v>
      </c>
      <c r="S1702">
        <v>209</v>
      </c>
      <c r="T1702" t="s">
        <v>31</v>
      </c>
      <c r="U1702" t="s">
        <v>31</v>
      </c>
      <c r="V1702" t="s">
        <v>31</v>
      </c>
      <c r="W1702" t="s">
        <v>31</v>
      </c>
      <c r="X1702" t="s">
        <v>31</v>
      </c>
      <c r="Y1702" t="s">
        <v>31</v>
      </c>
    </row>
    <row r="1703" spans="1:25" hidden="1">
      <c r="A1703" t="s">
        <v>25</v>
      </c>
      <c r="B1703" t="s">
        <v>26</v>
      </c>
      <c r="C1703" t="s">
        <v>57</v>
      </c>
      <c r="D1703" s="1">
        <v>44436</v>
      </c>
      <c r="E1703" s="2">
        <v>0.66666666666666663</v>
      </c>
      <c r="F1703" t="s">
        <v>52</v>
      </c>
      <c r="G1703" t="s">
        <v>29</v>
      </c>
      <c r="H1703">
        <v>0</v>
      </c>
      <c r="I1703">
        <v>1</v>
      </c>
      <c r="J1703" t="s">
        <v>30</v>
      </c>
      <c r="K1703">
        <v>1041</v>
      </c>
      <c r="L1703">
        <v>64</v>
      </c>
      <c r="M1703">
        <v>127</v>
      </c>
      <c r="N1703">
        <v>1041</v>
      </c>
      <c r="O1703">
        <v>65</v>
      </c>
      <c r="P1703">
        <v>131</v>
      </c>
      <c r="Q1703">
        <v>917</v>
      </c>
      <c r="R1703">
        <v>601</v>
      </c>
      <c r="S1703">
        <v>127</v>
      </c>
      <c r="T1703" t="s">
        <v>31</v>
      </c>
      <c r="U1703" t="s">
        <v>31</v>
      </c>
      <c r="V1703" t="s">
        <v>31</v>
      </c>
      <c r="W1703" t="s">
        <v>31</v>
      </c>
      <c r="X1703" t="s">
        <v>31</v>
      </c>
      <c r="Y1703" t="s">
        <v>31</v>
      </c>
    </row>
    <row r="1704" spans="1:25" hidden="1">
      <c r="A1704" t="s">
        <v>25</v>
      </c>
      <c r="B1704" t="s">
        <v>26</v>
      </c>
      <c r="C1704" t="s">
        <v>57</v>
      </c>
      <c r="D1704" s="1">
        <v>44437</v>
      </c>
      <c r="E1704" s="2">
        <v>0.66666666666666663</v>
      </c>
      <c r="F1704" t="s">
        <v>37</v>
      </c>
      <c r="G1704" t="s">
        <v>28</v>
      </c>
      <c r="H1704">
        <v>1</v>
      </c>
      <c r="I1704">
        <v>1</v>
      </c>
      <c r="J1704" t="s">
        <v>41</v>
      </c>
      <c r="K1704">
        <v>53</v>
      </c>
      <c r="L1704">
        <v>392</v>
      </c>
      <c r="M1704">
        <v>17</v>
      </c>
      <c r="N1704">
        <v>54</v>
      </c>
      <c r="O1704">
        <v>4</v>
      </c>
      <c r="P1704">
        <v>174</v>
      </c>
      <c r="Q1704">
        <v>49</v>
      </c>
      <c r="R1704">
        <v>376</v>
      </c>
      <c r="S1704">
        <v>169</v>
      </c>
      <c r="T1704" t="s">
        <v>31</v>
      </c>
      <c r="U1704" t="s">
        <v>31</v>
      </c>
      <c r="V1704" t="s">
        <v>31</v>
      </c>
      <c r="W1704" t="s">
        <v>31</v>
      </c>
      <c r="X1704" t="s">
        <v>31</v>
      </c>
      <c r="Y1704" t="s">
        <v>31</v>
      </c>
    </row>
    <row r="1705" spans="1:25" hidden="1">
      <c r="A1705" t="s">
        <v>25</v>
      </c>
      <c r="B1705" t="s">
        <v>26</v>
      </c>
      <c r="C1705" t="s">
        <v>57</v>
      </c>
      <c r="D1705" s="1">
        <v>44437</v>
      </c>
      <c r="E1705" s="2">
        <v>0.66666666666666663</v>
      </c>
      <c r="F1705" t="s">
        <v>40</v>
      </c>
      <c r="G1705" t="s">
        <v>35</v>
      </c>
      <c r="H1705">
        <v>1</v>
      </c>
      <c r="I1705">
        <v>1</v>
      </c>
      <c r="J1705" t="s">
        <v>41</v>
      </c>
      <c r="K1705">
        <v>324</v>
      </c>
      <c r="L1705">
        <v>37</v>
      </c>
      <c r="M1705">
        <v>223</v>
      </c>
      <c r="N1705">
        <v>33</v>
      </c>
      <c r="O1705">
        <v>375</v>
      </c>
      <c r="P1705">
        <v>229</v>
      </c>
      <c r="Q1705">
        <v>31</v>
      </c>
      <c r="R1705">
        <v>356</v>
      </c>
      <c r="S1705">
        <v>218</v>
      </c>
      <c r="T1705" t="s">
        <v>31</v>
      </c>
      <c r="U1705" t="s">
        <v>31</v>
      </c>
      <c r="V1705" t="s">
        <v>31</v>
      </c>
      <c r="W1705" t="s">
        <v>31</v>
      </c>
      <c r="X1705" t="s">
        <v>31</v>
      </c>
      <c r="Y1705" t="s">
        <v>31</v>
      </c>
    </row>
    <row r="1706" spans="1:25" hidden="1">
      <c r="A1706" t="s">
        <v>25</v>
      </c>
      <c r="B1706" t="s">
        <v>26</v>
      </c>
      <c r="C1706" t="s">
        <v>57</v>
      </c>
      <c r="D1706" s="1">
        <v>44437</v>
      </c>
      <c r="E1706" s="2">
        <v>0.66666666666666663</v>
      </c>
      <c r="F1706" t="s">
        <v>38</v>
      </c>
      <c r="G1706" t="s">
        <v>50</v>
      </c>
      <c r="H1706">
        <v>1</v>
      </c>
      <c r="I1706">
        <v>0</v>
      </c>
      <c r="J1706" t="s">
        <v>34</v>
      </c>
      <c r="K1706">
        <v>625</v>
      </c>
      <c r="L1706">
        <v>483</v>
      </c>
      <c r="M1706">
        <v>151</v>
      </c>
      <c r="N1706">
        <v>7</v>
      </c>
      <c r="O1706">
        <v>486</v>
      </c>
      <c r="P1706">
        <v>151</v>
      </c>
      <c r="Q1706">
        <v>623</v>
      </c>
      <c r="R1706">
        <v>459</v>
      </c>
      <c r="S1706">
        <v>146</v>
      </c>
      <c r="T1706" t="s">
        <v>31</v>
      </c>
      <c r="U1706" t="s">
        <v>31</v>
      </c>
      <c r="V1706" t="s">
        <v>31</v>
      </c>
      <c r="W1706" t="s">
        <v>31</v>
      </c>
      <c r="X1706" t="s">
        <v>31</v>
      </c>
      <c r="Y1706" t="s">
        <v>31</v>
      </c>
    </row>
    <row r="1707" spans="1:25" hidden="1">
      <c r="A1707" t="s">
        <v>25</v>
      </c>
      <c r="B1707" t="s">
        <v>26</v>
      </c>
      <c r="C1707" t="s">
        <v>57</v>
      </c>
      <c r="D1707" s="1">
        <v>44450</v>
      </c>
      <c r="E1707" s="2">
        <v>0.66666666666666663</v>
      </c>
      <c r="F1707" t="s">
        <v>35</v>
      </c>
      <c r="G1707" t="s">
        <v>37</v>
      </c>
      <c r="H1707">
        <v>1</v>
      </c>
      <c r="I1707">
        <v>2</v>
      </c>
      <c r="J1707" t="s">
        <v>30</v>
      </c>
      <c r="K1707">
        <v>145</v>
      </c>
      <c r="L1707">
        <v>492</v>
      </c>
      <c r="M1707">
        <v>706</v>
      </c>
      <c r="N1707">
        <v>146</v>
      </c>
      <c r="O1707">
        <v>5</v>
      </c>
      <c r="P1707">
        <v>84</v>
      </c>
      <c r="Q1707">
        <v>141</v>
      </c>
      <c r="R1707">
        <v>472</v>
      </c>
      <c r="S1707">
        <v>699</v>
      </c>
      <c r="T1707" t="s">
        <v>31</v>
      </c>
      <c r="U1707" t="s">
        <v>31</v>
      </c>
      <c r="V1707" t="s">
        <v>31</v>
      </c>
      <c r="W1707" t="s">
        <v>31</v>
      </c>
      <c r="X1707" t="s">
        <v>31</v>
      </c>
      <c r="Y1707" t="s">
        <v>31</v>
      </c>
    </row>
    <row r="1708" spans="1:25" hidden="1">
      <c r="A1708" t="s">
        <v>25</v>
      </c>
      <c r="B1708" t="s">
        <v>26</v>
      </c>
      <c r="C1708" t="s">
        <v>57</v>
      </c>
      <c r="D1708" s="1">
        <v>44450</v>
      </c>
      <c r="E1708" s="2">
        <v>0.66666666666666663</v>
      </c>
      <c r="F1708" t="s">
        <v>54</v>
      </c>
      <c r="G1708" t="s">
        <v>29</v>
      </c>
      <c r="H1708">
        <v>1</v>
      </c>
      <c r="I1708">
        <v>3</v>
      </c>
      <c r="J1708" t="s">
        <v>30</v>
      </c>
      <c r="K1708">
        <v>1227</v>
      </c>
      <c r="L1708">
        <v>659</v>
      </c>
      <c r="M1708">
        <v>124</v>
      </c>
      <c r="N1708">
        <v>13</v>
      </c>
      <c r="O1708">
        <v>7</v>
      </c>
      <c r="P1708">
        <v>135</v>
      </c>
      <c r="Q1708">
        <v>1146</v>
      </c>
      <c r="R1708">
        <v>635</v>
      </c>
      <c r="S1708">
        <v>122</v>
      </c>
      <c r="T1708" t="s">
        <v>31</v>
      </c>
      <c r="U1708" t="s">
        <v>31</v>
      </c>
      <c r="V1708" t="s">
        <v>31</v>
      </c>
      <c r="W1708" t="s">
        <v>31</v>
      </c>
      <c r="X1708" t="s">
        <v>31</v>
      </c>
      <c r="Y1708" t="s">
        <v>31</v>
      </c>
    </row>
    <row r="1709" spans="1:25" hidden="1">
      <c r="A1709" t="s">
        <v>25</v>
      </c>
      <c r="B1709" t="s">
        <v>26</v>
      </c>
      <c r="C1709" t="s">
        <v>57</v>
      </c>
      <c r="D1709" s="1">
        <v>44450</v>
      </c>
      <c r="E1709" s="2">
        <v>0.66666666666666663</v>
      </c>
      <c r="F1709" t="s">
        <v>39</v>
      </c>
      <c r="G1709" t="s">
        <v>52</v>
      </c>
      <c r="H1709">
        <v>1</v>
      </c>
      <c r="I1709">
        <v>3</v>
      </c>
      <c r="J1709" t="s">
        <v>30</v>
      </c>
      <c r="K1709">
        <v>175</v>
      </c>
      <c r="L1709">
        <v>403</v>
      </c>
      <c r="M1709">
        <v>477</v>
      </c>
      <c r="N1709">
        <v>202</v>
      </c>
      <c r="O1709">
        <v>422</v>
      </c>
      <c r="P1709">
        <v>5</v>
      </c>
      <c r="Q1709">
        <v>172</v>
      </c>
      <c r="R1709">
        <v>39</v>
      </c>
      <c r="S1709">
        <v>449</v>
      </c>
      <c r="T1709" t="s">
        <v>31</v>
      </c>
      <c r="U1709" t="s">
        <v>31</v>
      </c>
      <c r="V1709" t="s">
        <v>31</v>
      </c>
      <c r="W1709" t="s">
        <v>31</v>
      </c>
      <c r="X1709" t="s">
        <v>31</v>
      </c>
      <c r="Y1709" t="s">
        <v>31</v>
      </c>
    </row>
    <row r="1710" spans="1:25" hidden="1">
      <c r="A1710" t="s">
        <v>25</v>
      </c>
      <c r="B1710" t="s">
        <v>26</v>
      </c>
      <c r="C1710" t="s">
        <v>57</v>
      </c>
      <c r="D1710" s="1">
        <v>44451</v>
      </c>
      <c r="E1710" s="2">
        <v>0.5625</v>
      </c>
      <c r="F1710" t="s">
        <v>45</v>
      </c>
      <c r="G1710" t="s">
        <v>38</v>
      </c>
      <c r="H1710">
        <v>1</v>
      </c>
      <c r="I1710">
        <v>1</v>
      </c>
      <c r="J1710" t="s">
        <v>41</v>
      </c>
      <c r="K1710">
        <v>231</v>
      </c>
      <c r="L1710">
        <v>347</v>
      </c>
      <c r="M1710">
        <v>326</v>
      </c>
      <c r="N1710">
        <v>231</v>
      </c>
      <c r="O1710">
        <v>36</v>
      </c>
      <c r="P1710">
        <v>331</v>
      </c>
      <c r="Q1710">
        <v>222</v>
      </c>
      <c r="R1710">
        <v>336</v>
      </c>
      <c r="S1710">
        <v>318</v>
      </c>
      <c r="T1710" t="s">
        <v>31</v>
      </c>
      <c r="U1710" t="s">
        <v>31</v>
      </c>
      <c r="V1710" t="s">
        <v>31</v>
      </c>
      <c r="W1710" t="s">
        <v>31</v>
      </c>
      <c r="X1710" t="s">
        <v>31</v>
      </c>
      <c r="Y1710" t="s">
        <v>31</v>
      </c>
    </row>
    <row r="1711" spans="1:25" hidden="1">
      <c r="A1711" t="s">
        <v>25</v>
      </c>
      <c r="B1711" t="s">
        <v>26</v>
      </c>
      <c r="C1711" t="s">
        <v>57</v>
      </c>
      <c r="D1711" s="1">
        <v>44451</v>
      </c>
      <c r="E1711" s="2">
        <v>0.5625</v>
      </c>
      <c r="F1711" t="s">
        <v>50</v>
      </c>
      <c r="G1711" t="s">
        <v>40</v>
      </c>
      <c r="H1711">
        <v>0</v>
      </c>
      <c r="I1711">
        <v>2</v>
      </c>
      <c r="J1711" t="s">
        <v>30</v>
      </c>
      <c r="K1711">
        <v>162</v>
      </c>
      <c r="L1711">
        <v>441</v>
      </c>
      <c r="M1711">
        <v>537</v>
      </c>
      <c r="N1711">
        <v>173</v>
      </c>
      <c r="O1711">
        <v>441</v>
      </c>
      <c r="P1711">
        <v>6</v>
      </c>
      <c r="Q1711">
        <v>163</v>
      </c>
      <c r="R1711">
        <v>403</v>
      </c>
      <c r="S1711">
        <v>5</v>
      </c>
      <c r="T1711" t="s">
        <v>31</v>
      </c>
      <c r="U1711" t="s">
        <v>31</v>
      </c>
      <c r="V1711" t="s">
        <v>31</v>
      </c>
      <c r="W1711" t="s">
        <v>31</v>
      </c>
      <c r="X1711" t="s">
        <v>31</v>
      </c>
      <c r="Y1711" t="s">
        <v>31</v>
      </c>
    </row>
    <row r="1712" spans="1:25" hidden="1">
      <c r="A1712" t="s">
        <v>25</v>
      </c>
      <c r="B1712" t="s">
        <v>26</v>
      </c>
      <c r="C1712" t="s">
        <v>57</v>
      </c>
      <c r="D1712" s="1">
        <v>44451</v>
      </c>
      <c r="E1712" s="2">
        <v>0.66666666666666663</v>
      </c>
      <c r="F1712" t="s">
        <v>28</v>
      </c>
      <c r="G1712" t="s">
        <v>56</v>
      </c>
      <c r="H1712">
        <v>2</v>
      </c>
      <c r="I1712">
        <v>1</v>
      </c>
      <c r="J1712" t="s">
        <v>34</v>
      </c>
      <c r="K1712">
        <v>138</v>
      </c>
      <c r="L1712">
        <v>533</v>
      </c>
      <c r="M1712">
        <v>836</v>
      </c>
      <c r="N1712">
        <v>14</v>
      </c>
      <c r="O1712">
        <v>551</v>
      </c>
      <c r="P1712">
        <v>11</v>
      </c>
      <c r="Q1712">
        <v>135</v>
      </c>
      <c r="R1712">
        <v>514</v>
      </c>
      <c r="S1712">
        <v>764</v>
      </c>
      <c r="T1712" t="s">
        <v>31</v>
      </c>
      <c r="U1712" t="s">
        <v>31</v>
      </c>
      <c r="V1712" t="s">
        <v>31</v>
      </c>
      <c r="W1712" t="s">
        <v>31</v>
      </c>
      <c r="X1712" t="s">
        <v>31</v>
      </c>
      <c r="Y1712" t="s">
        <v>31</v>
      </c>
    </row>
    <row r="1713" spans="1:25" hidden="1">
      <c r="A1713" t="s">
        <v>25</v>
      </c>
      <c r="B1713" t="s">
        <v>26</v>
      </c>
      <c r="C1713" t="s">
        <v>57</v>
      </c>
      <c r="D1713" s="1">
        <v>44457</v>
      </c>
      <c r="E1713" s="2">
        <v>0.66666666666666663</v>
      </c>
      <c r="F1713" t="s">
        <v>37</v>
      </c>
      <c r="G1713" t="s">
        <v>52</v>
      </c>
      <c r="H1713">
        <v>1</v>
      </c>
      <c r="I1713">
        <v>1</v>
      </c>
      <c r="J1713" t="s">
        <v>41</v>
      </c>
      <c r="K1713">
        <v>236</v>
      </c>
      <c r="L1713">
        <v>354</v>
      </c>
      <c r="M1713">
        <v>31</v>
      </c>
      <c r="N1713">
        <v>243</v>
      </c>
      <c r="O1713">
        <v>354</v>
      </c>
      <c r="P1713">
        <v>31</v>
      </c>
      <c r="Q1713">
        <v>233</v>
      </c>
      <c r="R1713">
        <v>336</v>
      </c>
      <c r="S1713">
        <v>296</v>
      </c>
      <c r="T1713" t="s">
        <v>31</v>
      </c>
      <c r="U1713" t="s">
        <v>31</v>
      </c>
      <c r="V1713" t="s">
        <v>31</v>
      </c>
      <c r="W1713" t="s">
        <v>31</v>
      </c>
      <c r="X1713" t="s">
        <v>31</v>
      </c>
      <c r="Y1713" t="s">
        <v>31</v>
      </c>
    </row>
    <row r="1714" spans="1:25" hidden="1">
      <c r="A1714" t="s">
        <v>25</v>
      </c>
      <c r="B1714" t="s">
        <v>26</v>
      </c>
      <c r="C1714" t="s">
        <v>57</v>
      </c>
      <c r="D1714" s="1">
        <v>44457</v>
      </c>
      <c r="E1714" s="2">
        <v>0.66666666666666663</v>
      </c>
      <c r="F1714" t="s">
        <v>40</v>
      </c>
      <c r="G1714" t="s">
        <v>45</v>
      </c>
      <c r="H1714">
        <v>0</v>
      </c>
      <c r="I1714">
        <v>0</v>
      </c>
      <c r="J1714" t="s">
        <v>41</v>
      </c>
      <c r="K1714">
        <v>165</v>
      </c>
      <c r="L1714">
        <v>434</v>
      </c>
      <c r="M1714">
        <v>514</v>
      </c>
      <c r="N1714">
        <v>17</v>
      </c>
      <c r="O1714">
        <v>434</v>
      </c>
      <c r="P1714">
        <v>55</v>
      </c>
      <c r="Q1714">
        <v>161</v>
      </c>
      <c r="R1714">
        <v>407</v>
      </c>
      <c r="S1714">
        <v>506</v>
      </c>
      <c r="T1714" t="s">
        <v>31</v>
      </c>
      <c r="U1714" t="s">
        <v>31</v>
      </c>
      <c r="V1714" t="s">
        <v>31</v>
      </c>
      <c r="W1714" t="s">
        <v>31</v>
      </c>
      <c r="X1714" t="s">
        <v>31</v>
      </c>
      <c r="Y1714" t="s">
        <v>31</v>
      </c>
    </row>
    <row r="1715" spans="1:25" hidden="1">
      <c r="A1715" t="s">
        <v>25</v>
      </c>
      <c r="B1715" t="s">
        <v>26</v>
      </c>
      <c r="C1715" t="s">
        <v>57</v>
      </c>
      <c r="D1715" s="1">
        <v>44457</v>
      </c>
      <c r="E1715" s="2">
        <v>0.66666666666666663</v>
      </c>
      <c r="F1715" t="s">
        <v>38</v>
      </c>
      <c r="G1715" t="s">
        <v>39</v>
      </c>
      <c r="H1715">
        <v>3</v>
      </c>
      <c r="I1715">
        <v>3</v>
      </c>
      <c r="J1715" t="s">
        <v>41</v>
      </c>
      <c r="K1715">
        <v>445</v>
      </c>
      <c r="L1715">
        <v>422</v>
      </c>
      <c r="M1715">
        <v>176</v>
      </c>
      <c r="N1715">
        <v>475</v>
      </c>
      <c r="O1715">
        <v>425</v>
      </c>
      <c r="P1715">
        <v>195</v>
      </c>
      <c r="Q1715">
        <v>403</v>
      </c>
      <c r="R1715">
        <v>388</v>
      </c>
      <c r="S1715">
        <v>18</v>
      </c>
      <c r="T1715" t="s">
        <v>31</v>
      </c>
      <c r="U1715" t="s">
        <v>31</v>
      </c>
      <c r="V1715" t="s">
        <v>31</v>
      </c>
      <c r="W1715" t="s">
        <v>31</v>
      </c>
      <c r="X1715" t="s">
        <v>31</v>
      </c>
      <c r="Y1715" t="s">
        <v>31</v>
      </c>
    </row>
    <row r="1716" spans="1:25" hidden="1">
      <c r="A1716" t="s">
        <v>25</v>
      </c>
      <c r="B1716" t="s">
        <v>26</v>
      </c>
      <c r="C1716" t="s">
        <v>57</v>
      </c>
      <c r="D1716" s="1">
        <v>44458</v>
      </c>
      <c r="E1716" s="2">
        <v>0.5625</v>
      </c>
      <c r="F1716" t="s">
        <v>56</v>
      </c>
      <c r="G1716" t="s">
        <v>50</v>
      </c>
      <c r="H1716">
        <v>1</v>
      </c>
      <c r="I1716">
        <v>1</v>
      </c>
      <c r="J1716" t="s">
        <v>41</v>
      </c>
      <c r="K1716">
        <v>509</v>
      </c>
      <c r="L1716">
        <v>432</v>
      </c>
      <c r="M1716">
        <v>166</v>
      </c>
      <c r="N1716">
        <v>55</v>
      </c>
      <c r="O1716">
        <v>442</v>
      </c>
      <c r="P1716">
        <v>166</v>
      </c>
      <c r="Q1716">
        <v>494</v>
      </c>
      <c r="R1716">
        <v>419</v>
      </c>
      <c r="S1716">
        <v>161</v>
      </c>
      <c r="T1716" t="s">
        <v>31</v>
      </c>
      <c r="U1716" t="s">
        <v>31</v>
      </c>
      <c r="V1716" t="s">
        <v>31</v>
      </c>
      <c r="W1716" t="s">
        <v>31</v>
      </c>
      <c r="X1716" t="s">
        <v>31</v>
      </c>
      <c r="Y1716" t="s">
        <v>31</v>
      </c>
    </row>
    <row r="1717" spans="1:25" hidden="1">
      <c r="A1717" t="s">
        <v>25</v>
      </c>
      <c r="B1717" t="s">
        <v>26</v>
      </c>
      <c r="C1717" t="s">
        <v>57</v>
      </c>
      <c r="D1717" s="1">
        <v>44458</v>
      </c>
      <c r="E1717" s="2">
        <v>0.5625</v>
      </c>
      <c r="F1717" t="s">
        <v>28</v>
      </c>
      <c r="G1717" t="s">
        <v>54</v>
      </c>
      <c r="H1717">
        <v>5</v>
      </c>
      <c r="I1717">
        <v>0</v>
      </c>
      <c r="J1717" t="s">
        <v>34</v>
      </c>
      <c r="K1717">
        <v>148</v>
      </c>
      <c r="L1717">
        <v>492</v>
      </c>
      <c r="M1717">
        <v>651</v>
      </c>
      <c r="N1717">
        <v>149</v>
      </c>
      <c r="O1717">
        <v>5</v>
      </c>
      <c r="P1717">
        <v>75</v>
      </c>
      <c r="Q1717">
        <v>145</v>
      </c>
      <c r="R1717">
        <v>472</v>
      </c>
      <c r="S1717">
        <v>622</v>
      </c>
      <c r="T1717" t="s">
        <v>31</v>
      </c>
      <c r="U1717" t="s">
        <v>31</v>
      </c>
      <c r="V1717" t="s">
        <v>31</v>
      </c>
      <c r="W1717" t="s">
        <v>31</v>
      </c>
      <c r="X1717" t="s">
        <v>31</v>
      </c>
      <c r="Y1717" t="s">
        <v>31</v>
      </c>
    </row>
    <row r="1718" spans="1:25" hidden="1">
      <c r="A1718" t="s">
        <v>25</v>
      </c>
      <c r="B1718" t="s">
        <v>26</v>
      </c>
      <c r="C1718" t="s">
        <v>57</v>
      </c>
      <c r="D1718" s="1">
        <v>44458</v>
      </c>
      <c r="E1718" s="2">
        <v>0.66666666666666663</v>
      </c>
      <c r="F1718" t="s">
        <v>29</v>
      </c>
      <c r="G1718" t="s">
        <v>35</v>
      </c>
      <c r="H1718">
        <v>2</v>
      </c>
      <c r="I1718">
        <v>0</v>
      </c>
      <c r="J1718" t="s">
        <v>34</v>
      </c>
      <c r="K1718">
        <v>127</v>
      </c>
      <c r="L1718">
        <v>615</v>
      </c>
      <c r="M1718">
        <v>1174</v>
      </c>
      <c r="N1718">
        <v>13</v>
      </c>
      <c r="O1718">
        <v>65</v>
      </c>
      <c r="P1718">
        <v>1235</v>
      </c>
      <c r="Q1718">
        <v>125</v>
      </c>
      <c r="R1718">
        <v>6</v>
      </c>
      <c r="S1718">
        <v>1052</v>
      </c>
      <c r="T1718" t="s">
        <v>31</v>
      </c>
      <c r="U1718" t="s">
        <v>31</v>
      </c>
      <c r="V1718" t="s">
        <v>31</v>
      </c>
      <c r="W1718" t="s">
        <v>31</v>
      </c>
      <c r="X1718" t="s">
        <v>31</v>
      </c>
      <c r="Y1718" t="s">
        <v>31</v>
      </c>
    </row>
    <row r="1719" spans="1:25" hidden="1">
      <c r="A1719" t="s">
        <v>25</v>
      </c>
      <c r="B1719" t="s">
        <v>26</v>
      </c>
      <c r="C1719" t="s">
        <v>57</v>
      </c>
      <c r="D1719" s="1">
        <v>44464</v>
      </c>
      <c r="E1719" s="2">
        <v>0.66666666666666663</v>
      </c>
      <c r="F1719" t="s">
        <v>45</v>
      </c>
      <c r="G1719" t="s">
        <v>56</v>
      </c>
      <c r="H1719">
        <v>0</v>
      </c>
      <c r="I1719">
        <v>4</v>
      </c>
      <c r="J1719" t="s">
        <v>30</v>
      </c>
      <c r="K1719">
        <v>254</v>
      </c>
      <c r="L1719">
        <v>358</v>
      </c>
      <c r="M1719">
        <v>282</v>
      </c>
      <c r="N1719">
        <v>256</v>
      </c>
      <c r="O1719">
        <v>368</v>
      </c>
      <c r="P1719">
        <v>305</v>
      </c>
      <c r="Q1719">
        <v>246</v>
      </c>
      <c r="R1719">
        <v>349</v>
      </c>
      <c r="S1719">
        <v>27</v>
      </c>
      <c r="T1719" t="s">
        <v>31</v>
      </c>
      <c r="U1719" t="s">
        <v>31</v>
      </c>
      <c r="V1719" t="s">
        <v>31</v>
      </c>
      <c r="W1719" t="s">
        <v>31</v>
      </c>
      <c r="X1719" t="s">
        <v>31</v>
      </c>
      <c r="Y1719" t="s">
        <v>31</v>
      </c>
    </row>
    <row r="1720" spans="1:25" hidden="1">
      <c r="A1720" t="s">
        <v>25</v>
      </c>
      <c r="B1720" t="s">
        <v>26</v>
      </c>
      <c r="C1720" t="s">
        <v>57</v>
      </c>
      <c r="D1720" s="1">
        <v>44464</v>
      </c>
      <c r="E1720" s="2">
        <v>0.66666666666666663</v>
      </c>
      <c r="F1720" t="s">
        <v>54</v>
      </c>
      <c r="G1720" t="s">
        <v>38</v>
      </c>
      <c r="H1720">
        <v>4</v>
      </c>
      <c r="I1720">
        <v>2</v>
      </c>
      <c r="J1720" t="s">
        <v>34</v>
      </c>
      <c r="K1720">
        <v>193</v>
      </c>
      <c r="L1720">
        <v>411</v>
      </c>
      <c r="M1720">
        <v>376</v>
      </c>
      <c r="N1720">
        <v>215</v>
      </c>
      <c r="O1720">
        <v>411</v>
      </c>
      <c r="P1720">
        <v>389</v>
      </c>
      <c r="Q1720">
        <v>193</v>
      </c>
      <c r="R1720">
        <v>381</v>
      </c>
      <c r="S1720">
        <v>354</v>
      </c>
      <c r="T1720" t="s">
        <v>31</v>
      </c>
      <c r="U1720" t="s">
        <v>31</v>
      </c>
      <c r="V1720" t="s">
        <v>31</v>
      </c>
      <c r="W1720" t="s">
        <v>31</v>
      </c>
      <c r="X1720" t="s">
        <v>31</v>
      </c>
      <c r="Y1720" t="s">
        <v>31</v>
      </c>
    </row>
    <row r="1721" spans="1:25" hidden="1">
      <c r="A1721" t="s">
        <v>25</v>
      </c>
      <c r="B1721" t="s">
        <v>26</v>
      </c>
      <c r="C1721" t="s">
        <v>57</v>
      </c>
      <c r="D1721" s="1">
        <v>44464</v>
      </c>
      <c r="E1721" s="2">
        <v>0.66666666666666663</v>
      </c>
      <c r="F1721" t="s">
        <v>39</v>
      </c>
      <c r="G1721" t="s">
        <v>29</v>
      </c>
      <c r="H1721">
        <v>0</v>
      </c>
      <c r="I1721">
        <v>2</v>
      </c>
      <c r="J1721" t="s">
        <v>30</v>
      </c>
      <c r="K1721">
        <v>82</v>
      </c>
      <c r="L1721">
        <v>557</v>
      </c>
      <c r="M1721">
        <v>137</v>
      </c>
      <c r="N1721">
        <v>828</v>
      </c>
      <c r="O1721">
        <v>56</v>
      </c>
      <c r="P1721">
        <v>14</v>
      </c>
      <c r="Q1721">
        <v>749</v>
      </c>
      <c r="R1721">
        <v>52</v>
      </c>
      <c r="S1721">
        <v>135</v>
      </c>
      <c r="T1721" t="s">
        <v>31</v>
      </c>
      <c r="U1721" t="s">
        <v>31</v>
      </c>
      <c r="V1721" t="s">
        <v>31</v>
      </c>
      <c r="W1721" t="s">
        <v>31</v>
      </c>
      <c r="X1721" t="s">
        <v>31</v>
      </c>
      <c r="Y1721" t="s">
        <v>31</v>
      </c>
    </row>
    <row r="1722" spans="1:25" hidden="1">
      <c r="A1722" t="s">
        <v>25</v>
      </c>
      <c r="B1722" t="s">
        <v>26</v>
      </c>
      <c r="C1722" t="s">
        <v>57</v>
      </c>
      <c r="D1722" s="1">
        <v>44465</v>
      </c>
      <c r="E1722" s="2">
        <v>0.5625</v>
      </c>
      <c r="F1722" t="s">
        <v>52</v>
      </c>
      <c r="G1722" t="s">
        <v>40</v>
      </c>
      <c r="H1722">
        <v>3</v>
      </c>
      <c r="I1722">
        <v>4</v>
      </c>
      <c r="J1722" t="s">
        <v>30</v>
      </c>
      <c r="K1722">
        <v>286</v>
      </c>
      <c r="L1722">
        <v>353</v>
      </c>
      <c r="M1722">
        <v>253</v>
      </c>
      <c r="N1722">
        <v>29</v>
      </c>
      <c r="O1722">
        <v>362</v>
      </c>
      <c r="P1722">
        <v>254</v>
      </c>
      <c r="Q1722">
        <v>277</v>
      </c>
      <c r="R1722">
        <v>346</v>
      </c>
      <c r="S1722">
        <v>241</v>
      </c>
      <c r="T1722" t="s">
        <v>31</v>
      </c>
      <c r="U1722" t="s">
        <v>31</v>
      </c>
      <c r="V1722" t="s">
        <v>31</v>
      </c>
      <c r="W1722" t="s">
        <v>31</v>
      </c>
      <c r="X1722" t="s">
        <v>31</v>
      </c>
      <c r="Y1722" t="s">
        <v>31</v>
      </c>
    </row>
    <row r="1723" spans="1:25" hidden="1">
      <c r="A1723" t="s">
        <v>25</v>
      </c>
      <c r="B1723" t="s">
        <v>26</v>
      </c>
      <c r="C1723" t="s">
        <v>57</v>
      </c>
      <c r="D1723" s="1">
        <v>44465</v>
      </c>
      <c r="E1723" s="2">
        <v>0.5625</v>
      </c>
      <c r="F1723" t="s">
        <v>50</v>
      </c>
      <c r="G1723" t="s">
        <v>37</v>
      </c>
      <c r="H1723">
        <v>3</v>
      </c>
      <c r="I1723">
        <v>1</v>
      </c>
      <c r="J1723" t="s">
        <v>34</v>
      </c>
      <c r="K1723">
        <v>143</v>
      </c>
      <c r="L1723">
        <v>504</v>
      </c>
      <c r="M1723">
        <v>746</v>
      </c>
      <c r="N1723">
        <v>145</v>
      </c>
      <c r="O1723">
        <v>504</v>
      </c>
      <c r="P1723">
        <v>76</v>
      </c>
      <c r="Q1723">
        <v>142</v>
      </c>
      <c r="R1723">
        <v>467</v>
      </c>
      <c r="S1723">
        <v>694</v>
      </c>
      <c r="T1723" t="s">
        <v>31</v>
      </c>
      <c r="U1723" t="s">
        <v>31</v>
      </c>
      <c r="V1723" t="s">
        <v>31</v>
      </c>
      <c r="W1723" t="s">
        <v>31</v>
      </c>
      <c r="X1723" t="s">
        <v>31</v>
      </c>
      <c r="Y1723" t="s">
        <v>31</v>
      </c>
    </row>
    <row r="1724" spans="1:25" hidden="1">
      <c r="A1724" t="s">
        <v>25</v>
      </c>
      <c r="B1724" t="s">
        <v>26</v>
      </c>
      <c r="C1724" t="s">
        <v>57</v>
      </c>
      <c r="D1724" s="1">
        <v>44465</v>
      </c>
      <c r="E1724" s="2">
        <v>0.66666666666666663</v>
      </c>
      <c r="F1724" t="s">
        <v>35</v>
      </c>
      <c r="G1724" t="s">
        <v>28</v>
      </c>
      <c r="H1724">
        <v>0</v>
      </c>
      <c r="I1724">
        <v>3</v>
      </c>
      <c r="J1724" t="s">
        <v>30</v>
      </c>
      <c r="K1724">
        <v>262</v>
      </c>
      <c r="L1724">
        <v>368</v>
      </c>
      <c r="M1724">
        <v>267</v>
      </c>
      <c r="N1724">
        <v>262</v>
      </c>
      <c r="O1724">
        <v>375</v>
      </c>
      <c r="P1724">
        <v>28</v>
      </c>
      <c r="Q1724">
        <v>247</v>
      </c>
      <c r="R1724">
        <v>354</v>
      </c>
      <c r="S1724">
        <v>265</v>
      </c>
      <c r="T1724" t="s">
        <v>31</v>
      </c>
      <c r="U1724" t="s">
        <v>31</v>
      </c>
      <c r="V1724" t="s">
        <v>31</v>
      </c>
      <c r="W1724" t="s">
        <v>31</v>
      </c>
      <c r="X1724" t="s">
        <v>31</v>
      </c>
      <c r="Y1724" t="s">
        <v>31</v>
      </c>
    </row>
    <row r="1725" spans="1:25" hidden="1">
      <c r="A1725" t="s">
        <v>25</v>
      </c>
      <c r="B1725" t="s">
        <v>26</v>
      </c>
      <c r="C1725" t="s">
        <v>57</v>
      </c>
      <c r="D1725" s="1">
        <v>44471</v>
      </c>
      <c r="E1725" s="2">
        <v>0.66666666666666663</v>
      </c>
      <c r="F1725" t="s">
        <v>37</v>
      </c>
      <c r="G1725" t="s">
        <v>45</v>
      </c>
      <c r="H1725">
        <v>2</v>
      </c>
      <c r="I1725">
        <v>0</v>
      </c>
      <c r="J1725" t="s">
        <v>34</v>
      </c>
      <c r="K1725">
        <v>178</v>
      </c>
      <c r="L1725">
        <v>398</v>
      </c>
      <c r="M1725">
        <v>46</v>
      </c>
      <c r="N1725">
        <v>195</v>
      </c>
      <c r="O1725">
        <v>4</v>
      </c>
      <c r="P1725">
        <v>473</v>
      </c>
      <c r="Q1725">
        <v>18</v>
      </c>
      <c r="R1725">
        <v>368</v>
      </c>
      <c r="S1725">
        <v>426</v>
      </c>
      <c r="T1725" t="s">
        <v>31</v>
      </c>
      <c r="U1725" t="s">
        <v>31</v>
      </c>
      <c r="V1725" t="s">
        <v>31</v>
      </c>
      <c r="W1725" t="s">
        <v>31</v>
      </c>
      <c r="X1725" t="s">
        <v>31</v>
      </c>
      <c r="Y1725" t="s">
        <v>31</v>
      </c>
    </row>
    <row r="1726" spans="1:25" hidden="1">
      <c r="A1726" t="s">
        <v>25</v>
      </c>
      <c r="B1726" t="s">
        <v>26</v>
      </c>
      <c r="C1726" t="s">
        <v>57</v>
      </c>
      <c r="D1726" s="1">
        <v>44471</v>
      </c>
      <c r="E1726" s="2">
        <v>0.66666666666666663</v>
      </c>
      <c r="F1726" t="s">
        <v>38</v>
      </c>
      <c r="G1726" t="s">
        <v>56</v>
      </c>
      <c r="H1726">
        <v>1</v>
      </c>
      <c r="I1726">
        <v>1</v>
      </c>
      <c r="J1726" t="s">
        <v>41</v>
      </c>
      <c r="K1726">
        <v>285</v>
      </c>
      <c r="L1726">
        <v>371</v>
      </c>
      <c r="M1726">
        <v>245</v>
      </c>
      <c r="N1726">
        <v>288</v>
      </c>
      <c r="O1726">
        <v>375</v>
      </c>
      <c r="P1726">
        <v>293</v>
      </c>
      <c r="Q1726">
        <v>27</v>
      </c>
      <c r="R1726">
        <v>352</v>
      </c>
      <c r="S1726">
        <v>247</v>
      </c>
      <c r="T1726" t="s">
        <v>31</v>
      </c>
      <c r="U1726" t="s">
        <v>31</v>
      </c>
      <c r="V1726" t="s">
        <v>31</v>
      </c>
      <c r="W1726" t="s">
        <v>31</v>
      </c>
      <c r="X1726" t="s">
        <v>31</v>
      </c>
      <c r="Y1726" t="s">
        <v>31</v>
      </c>
    </row>
    <row r="1727" spans="1:25" hidden="1">
      <c r="A1727" t="s">
        <v>25</v>
      </c>
      <c r="B1727" t="s">
        <v>26</v>
      </c>
      <c r="C1727" t="s">
        <v>57</v>
      </c>
      <c r="D1727" s="1">
        <v>44471</v>
      </c>
      <c r="E1727" s="2">
        <v>0.66666666666666663</v>
      </c>
      <c r="F1727" t="s">
        <v>39</v>
      </c>
      <c r="G1727" t="s">
        <v>40</v>
      </c>
      <c r="H1727">
        <v>1</v>
      </c>
      <c r="I1727">
        <v>0</v>
      </c>
      <c r="J1727" t="s">
        <v>34</v>
      </c>
      <c r="K1727">
        <v>223</v>
      </c>
      <c r="L1727">
        <v>367</v>
      </c>
      <c r="M1727">
        <v>325</v>
      </c>
      <c r="N1727">
        <v>235</v>
      </c>
      <c r="O1727">
        <v>367</v>
      </c>
      <c r="P1727">
        <v>331</v>
      </c>
      <c r="Q1727">
        <v>221</v>
      </c>
      <c r="R1727">
        <v>348</v>
      </c>
      <c r="S1727">
        <v>31</v>
      </c>
      <c r="T1727" t="s">
        <v>31</v>
      </c>
      <c r="U1727" t="s">
        <v>31</v>
      </c>
      <c r="V1727" t="s">
        <v>31</v>
      </c>
      <c r="W1727" t="s">
        <v>31</v>
      </c>
      <c r="X1727" t="s">
        <v>31</v>
      </c>
      <c r="Y1727" t="s">
        <v>31</v>
      </c>
    </row>
    <row r="1728" spans="1:25" hidden="1">
      <c r="A1728" t="s">
        <v>25</v>
      </c>
      <c r="B1728" t="s">
        <v>26</v>
      </c>
      <c r="C1728" t="s">
        <v>57</v>
      </c>
      <c r="D1728" s="1">
        <v>44472</v>
      </c>
      <c r="E1728" s="2">
        <v>0.5625</v>
      </c>
      <c r="F1728" t="s">
        <v>52</v>
      </c>
      <c r="G1728" t="s">
        <v>28</v>
      </c>
      <c r="H1728">
        <v>3</v>
      </c>
      <c r="I1728">
        <v>2</v>
      </c>
      <c r="J1728" t="s">
        <v>34</v>
      </c>
      <c r="K1728">
        <v>446</v>
      </c>
      <c r="L1728">
        <v>424</v>
      </c>
      <c r="M1728">
        <v>175</v>
      </c>
      <c r="N1728">
        <v>47</v>
      </c>
      <c r="O1728">
        <v>424</v>
      </c>
      <c r="P1728">
        <v>182</v>
      </c>
      <c r="Q1728">
        <v>432</v>
      </c>
      <c r="R1728">
        <v>4</v>
      </c>
      <c r="S1728">
        <v>173</v>
      </c>
      <c r="T1728" t="s">
        <v>31</v>
      </c>
      <c r="U1728" t="s">
        <v>31</v>
      </c>
      <c r="V1728" t="s">
        <v>31</v>
      </c>
      <c r="W1728" t="s">
        <v>31</v>
      </c>
      <c r="X1728" t="s">
        <v>31</v>
      </c>
      <c r="Y1728" t="s">
        <v>31</v>
      </c>
    </row>
    <row r="1729" spans="1:25" hidden="1">
      <c r="A1729" t="s">
        <v>25</v>
      </c>
      <c r="B1729" t="s">
        <v>26</v>
      </c>
      <c r="C1729" t="s">
        <v>57</v>
      </c>
      <c r="D1729" s="1">
        <v>44472</v>
      </c>
      <c r="E1729" s="2">
        <v>0.5625</v>
      </c>
      <c r="F1729" t="s">
        <v>35</v>
      </c>
      <c r="G1729" t="s">
        <v>54</v>
      </c>
      <c r="H1729">
        <v>5</v>
      </c>
      <c r="I1729">
        <v>2</v>
      </c>
      <c r="J1729" t="s">
        <v>34</v>
      </c>
      <c r="K1729">
        <v>15</v>
      </c>
      <c r="L1729">
        <v>502</v>
      </c>
      <c r="M1729">
        <v>608</v>
      </c>
      <c r="N1729">
        <v>155</v>
      </c>
      <c r="O1729">
        <v>503</v>
      </c>
      <c r="P1729">
        <v>608</v>
      </c>
      <c r="Q1729">
        <v>149</v>
      </c>
      <c r="R1729">
        <v>469</v>
      </c>
      <c r="S1729">
        <v>552</v>
      </c>
      <c r="T1729" t="s">
        <v>31</v>
      </c>
      <c r="U1729" t="s">
        <v>31</v>
      </c>
      <c r="V1729" t="s">
        <v>31</v>
      </c>
      <c r="W1729" t="s">
        <v>31</v>
      </c>
      <c r="X1729" t="s">
        <v>31</v>
      </c>
      <c r="Y1729" t="s">
        <v>31</v>
      </c>
    </row>
    <row r="1730" spans="1:25" hidden="1">
      <c r="A1730" t="s">
        <v>25</v>
      </c>
      <c r="B1730" t="s">
        <v>26</v>
      </c>
      <c r="C1730" t="s">
        <v>57</v>
      </c>
      <c r="D1730" s="1">
        <v>44472</v>
      </c>
      <c r="E1730" s="2">
        <v>0.66666666666666663</v>
      </c>
      <c r="F1730" t="s">
        <v>29</v>
      </c>
      <c r="G1730" t="s">
        <v>50</v>
      </c>
      <c r="H1730">
        <v>3</v>
      </c>
      <c r="I1730">
        <v>1</v>
      </c>
      <c r="J1730" t="s">
        <v>34</v>
      </c>
      <c r="K1730">
        <v>126</v>
      </c>
      <c r="L1730">
        <v>64</v>
      </c>
      <c r="M1730">
        <v>1116</v>
      </c>
      <c r="N1730">
        <v>13</v>
      </c>
      <c r="O1730">
        <v>65</v>
      </c>
      <c r="P1730">
        <v>1116</v>
      </c>
      <c r="Q1730">
        <v>125</v>
      </c>
      <c r="R1730">
        <v>603</v>
      </c>
      <c r="S1730">
        <v>1015</v>
      </c>
      <c r="T1730" t="s">
        <v>31</v>
      </c>
      <c r="U1730" t="s">
        <v>31</v>
      </c>
      <c r="V1730" t="s">
        <v>31</v>
      </c>
      <c r="W1730" t="s">
        <v>31</v>
      </c>
      <c r="X1730" t="s">
        <v>31</v>
      </c>
      <c r="Y1730" t="s">
        <v>31</v>
      </c>
    </row>
    <row r="1731" spans="1:25" hidden="1">
      <c r="A1731" t="s">
        <v>25</v>
      </c>
      <c r="B1731" t="s">
        <v>26</v>
      </c>
      <c r="C1731" t="s">
        <v>57</v>
      </c>
      <c r="D1731" s="1">
        <v>44485</v>
      </c>
      <c r="E1731" s="2">
        <v>0.66666666666666663</v>
      </c>
      <c r="F1731" t="s">
        <v>56</v>
      </c>
      <c r="G1731" t="s">
        <v>35</v>
      </c>
      <c r="H1731">
        <v>1</v>
      </c>
      <c r="I1731">
        <v>1</v>
      </c>
      <c r="J1731" t="s">
        <v>41</v>
      </c>
      <c r="K1731">
        <v>431</v>
      </c>
      <c r="L1731">
        <v>419</v>
      </c>
      <c r="M1731">
        <v>179</v>
      </c>
      <c r="N1731">
        <v>431</v>
      </c>
      <c r="O1731">
        <v>424</v>
      </c>
      <c r="P1731">
        <v>195</v>
      </c>
      <c r="Q1731">
        <v>399</v>
      </c>
      <c r="R1731">
        <v>393</v>
      </c>
      <c r="S1731">
        <v>178</v>
      </c>
      <c r="T1731" t="s">
        <v>31</v>
      </c>
      <c r="U1731" t="s">
        <v>31</v>
      </c>
      <c r="V1731" t="s">
        <v>31</v>
      </c>
      <c r="W1731" t="s">
        <v>31</v>
      </c>
      <c r="X1731" t="s">
        <v>31</v>
      </c>
      <c r="Y1731" t="s">
        <v>31</v>
      </c>
    </row>
    <row r="1732" spans="1:25" hidden="1">
      <c r="A1732" t="s">
        <v>25</v>
      </c>
      <c r="B1732" t="s">
        <v>26</v>
      </c>
      <c r="C1732" t="s">
        <v>57</v>
      </c>
      <c r="D1732" s="1">
        <v>44485</v>
      </c>
      <c r="E1732" s="2">
        <v>0.66666666666666663</v>
      </c>
      <c r="F1732" t="s">
        <v>45</v>
      </c>
      <c r="G1732" t="s">
        <v>29</v>
      </c>
      <c r="H1732">
        <v>1</v>
      </c>
      <c r="I1732">
        <v>1</v>
      </c>
      <c r="J1732" t="s">
        <v>41</v>
      </c>
      <c r="K1732">
        <v>1434</v>
      </c>
      <c r="L1732">
        <v>814</v>
      </c>
      <c r="M1732">
        <v>119</v>
      </c>
      <c r="N1732">
        <v>165</v>
      </c>
      <c r="O1732">
        <v>814</v>
      </c>
      <c r="P1732">
        <v>121</v>
      </c>
      <c r="Q1732">
        <v>1369</v>
      </c>
      <c r="R1732">
        <v>711</v>
      </c>
      <c r="S1732">
        <v>118</v>
      </c>
      <c r="T1732" t="s">
        <v>31</v>
      </c>
      <c r="U1732" t="s">
        <v>31</v>
      </c>
      <c r="V1732" t="s">
        <v>31</v>
      </c>
      <c r="W1732" t="s">
        <v>31</v>
      </c>
      <c r="X1732" t="s">
        <v>31</v>
      </c>
      <c r="Y1732" t="s">
        <v>31</v>
      </c>
    </row>
    <row r="1733" spans="1:25" hidden="1">
      <c r="A1733" t="s">
        <v>25</v>
      </c>
      <c r="B1733" t="s">
        <v>26</v>
      </c>
      <c r="C1733" t="s">
        <v>57</v>
      </c>
      <c r="D1733" s="1">
        <v>44485</v>
      </c>
      <c r="E1733" s="2">
        <v>0.66666666666666663</v>
      </c>
      <c r="F1733" t="s">
        <v>40</v>
      </c>
      <c r="G1733" t="s">
        <v>37</v>
      </c>
      <c r="H1733">
        <v>2</v>
      </c>
      <c r="I1733">
        <v>2</v>
      </c>
      <c r="J1733" t="s">
        <v>41</v>
      </c>
      <c r="K1733">
        <v>223</v>
      </c>
      <c r="L1733">
        <v>338</v>
      </c>
      <c r="M1733">
        <v>352</v>
      </c>
      <c r="N1733">
        <v>223</v>
      </c>
      <c r="O1733">
        <v>37</v>
      </c>
      <c r="P1733">
        <v>39</v>
      </c>
      <c r="Q1733">
        <v>211</v>
      </c>
      <c r="R1733">
        <v>33</v>
      </c>
      <c r="S1733">
        <v>347</v>
      </c>
      <c r="T1733" t="s">
        <v>31</v>
      </c>
      <c r="U1733" t="s">
        <v>31</v>
      </c>
      <c r="V1733" t="s">
        <v>31</v>
      </c>
      <c r="W1733" t="s">
        <v>31</v>
      </c>
      <c r="X1733" t="s">
        <v>31</v>
      </c>
      <c r="Y1733" t="s">
        <v>31</v>
      </c>
    </row>
    <row r="1734" spans="1:25" hidden="1">
      <c r="A1734" t="s">
        <v>25</v>
      </c>
      <c r="B1734" t="s">
        <v>26</v>
      </c>
      <c r="C1734" t="s">
        <v>57</v>
      </c>
      <c r="D1734" s="1">
        <v>44486</v>
      </c>
      <c r="E1734" s="2">
        <v>0.5625</v>
      </c>
      <c r="F1734" t="s">
        <v>50</v>
      </c>
      <c r="G1734" t="s">
        <v>39</v>
      </c>
      <c r="H1734">
        <v>0</v>
      </c>
      <c r="I1734">
        <v>1</v>
      </c>
      <c r="J1734" t="s">
        <v>30</v>
      </c>
      <c r="K1734">
        <v>189</v>
      </c>
      <c r="L1734">
        <v>397</v>
      </c>
      <c r="M1734">
        <v>401</v>
      </c>
      <c r="N1734">
        <v>193</v>
      </c>
      <c r="O1734">
        <v>397</v>
      </c>
      <c r="P1734">
        <v>41</v>
      </c>
      <c r="Q1734">
        <v>186</v>
      </c>
      <c r="R1734">
        <v>374</v>
      </c>
      <c r="S1734">
        <v>383</v>
      </c>
      <c r="T1734" t="s">
        <v>31</v>
      </c>
      <c r="U1734" t="s">
        <v>31</v>
      </c>
      <c r="V1734" t="s">
        <v>31</v>
      </c>
      <c r="W1734" t="s">
        <v>31</v>
      </c>
      <c r="X1734" t="s">
        <v>31</v>
      </c>
      <c r="Y1734" t="s">
        <v>31</v>
      </c>
    </row>
    <row r="1735" spans="1:25" hidden="1">
      <c r="A1735" t="s">
        <v>25</v>
      </c>
      <c r="B1735" t="s">
        <v>26</v>
      </c>
      <c r="C1735" t="s">
        <v>57</v>
      </c>
      <c r="D1735" s="1">
        <v>44486</v>
      </c>
      <c r="E1735" s="2">
        <v>0.5625</v>
      </c>
      <c r="F1735" t="s">
        <v>54</v>
      </c>
      <c r="G1735" t="s">
        <v>52</v>
      </c>
      <c r="H1735">
        <v>2</v>
      </c>
      <c r="I1735">
        <v>2</v>
      </c>
      <c r="J1735" t="s">
        <v>41</v>
      </c>
      <c r="K1735">
        <v>213</v>
      </c>
      <c r="L1735">
        <v>4</v>
      </c>
      <c r="M1735">
        <v>324</v>
      </c>
      <c r="N1735">
        <v>225</v>
      </c>
      <c r="O1735">
        <v>4</v>
      </c>
      <c r="P1735">
        <v>324</v>
      </c>
      <c r="Q1735">
        <v>21</v>
      </c>
      <c r="R1735">
        <v>372</v>
      </c>
      <c r="S1735">
        <v>31</v>
      </c>
      <c r="T1735" t="s">
        <v>31</v>
      </c>
      <c r="U1735" t="s">
        <v>31</v>
      </c>
      <c r="V1735" t="s">
        <v>31</v>
      </c>
      <c r="W1735" t="s">
        <v>31</v>
      </c>
      <c r="X1735" t="s">
        <v>31</v>
      </c>
      <c r="Y1735" t="s">
        <v>31</v>
      </c>
    </row>
    <row r="1736" spans="1:25" hidden="1">
      <c r="A1736" t="s">
        <v>25</v>
      </c>
      <c r="B1736" t="s">
        <v>26</v>
      </c>
      <c r="C1736" t="s">
        <v>57</v>
      </c>
      <c r="D1736" s="1">
        <v>44486</v>
      </c>
      <c r="E1736" s="2">
        <v>0.66666666666666663</v>
      </c>
      <c r="F1736" t="s">
        <v>28</v>
      </c>
      <c r="G1736" t="s">
        <v>38</v>
      </c>
      <c r="H1736">
        <v>1</v>
      </c>
      <c r="I1736">
        <v>0</v>
      </c>
      <c r="J1736" t="s">
        <v>34</v>
      </c>
      <c r="K1736">
        <v>131</v>
      </c>
      <c r="L1736">
        <v>578</v>
      </c>
      <c r="M1736">
        <v>1042</v>
      </c>
      <c r="N1736">
        <v>135</v>
      </c>
      <c r="O1736">
        <v>6</v>
      </c>
      <c r="P1736">
        <v>1042</v>
      </c>
      <c r="Q1736">
        <v>131</v>
      </c>
      <c r="R1736">
        <v>55</v>
      </c>
      <c r="S1736">
        <v>868</v>
      </c>
      <c r="T1736" t="s">
        <v>31</v>
      </c>
      <c r="U1736" t="s">
        <v>31</v>
      </c>
      <c r="V1736" t="s">
        <v>31</v>
      </c>
      <c r="W1736" t="s">
        <v>31</v>
      </c>
      <c r="X1736" t="s">
        <v>31</v>
      </c>
      <c r="Y1736" t="s">
        <v>31</v>
      </c>
    </row>
    <row r="1737" spans="1:25" hidden="1">
      <c r="A1737" t="s">
        <v>25</v>
      </c>
      <c r="B1737" t="s">
        <v>26</v>
      </c>
      <c r="C1737" t="s">
        <v>57</v>
      </c>
      <c r="D1737" s="1">
        <v>44492</v>
      </c>
      <c r="E1737" s="2">
        <v>0.66666666666666663</v>
      </c>
      <c r="F1737" t="s">
        <v>37</v>
      </c>
      <c r="G1737" t="s">
        <v>54</v>
      </c>
      <c r="H1737">
        <v>0</v>
      </c>
      <c r="I1737">
        <v>1</v>
      </c>
      <c r="J1737" t="s">
        <v>30</v>
      </c>
      <c r="K1737">
        <v>237</v>
      </c>
      <c r="L1737">
        <v>345</v>
      </c>
      <c r="M1737">
        <v>316</v>
      </c>
      <c r="N1737">
        <v>237</v>
      </c>
      <c r="O1737">
        <v>362</v>
      </c>
      <c r="P1737">
        <v>34</v>
      </c>
      <c r="Q1737">
        <v>227</v>
      </c>
      <c r="R1737">
        <v>336</v>
      </c>
      <c r="S1737">
        <v>305</v>
      </c>
      <c r="T1737" t="s">
        <v>31</v>
      </c>
      <c r="U1737" t="s">
        <v>31</v>
      </c>
      <c r="V1737" t="s">
        <v>31</v>
      </c>
      <c r="W1737" t="s">
        <v>31</v>
      </c>
      <c r="X1737" t="s">
        <v>31</v>
      </c>
      <c r="Y1737" t="s">
        <v>31</v>
      </c>
    </row>
    <row r="1738" spans="1:25" hidden="1">
      <c r="A1738" t="s">
        <v>25</v>
      </c>
      <c r="B1738" t="s">
        <v>26</v>
      </c>
      <c r="C1738" t="s">
        <v>57</v>
      </c>
      <c r="D1738" s="1">
        <v>44492</v>
      </c>
      <c r="E1738" s="2">
        <v>0.66666666666666663</v>
      </c>
      <c r="F1738" t="s">
        <v>40</v>
      </c>
      <c r="G1738" t="s">
        <v>38</v>
      </c>
      <c r="H1738">
        <v>4</v>
      </c>
      <c r="I1738">
        <v>1</v>
      </c>
      <c r="J1738" t="s">
        <v>34</v>
      </c>
      <c r="K1738">
        <v>158</v>
      </c>
      <c r="L1738">
        <v>446</v>
      </c>
      <c r="M1738">
        <v>576</v>
      </c>
      <c r="N1738">
        <v>165</v>
      </c>
      <c r="O1738">
        <v>448</v>
      </c>
      <c r="P1738">
        <v>6</v>
      </c>
      <c r="Q1738">
        <v>156</v>
      </c>
      <c r="R1738">
        <v>414</v>
      </c>
      <c r="S1738">
        <v>549</v>
      </c>
      <c r="T1738" t="s">
        <v>31</v>
      </c>
      <c r="U1738" t="s">
        <v>31</v>
      </c>
      <c r="V1738" t="s">
        <v>31</v>
      </c>
      <c r="W1738" t="s">
        <v>31</v>
      </c>
      <c r="X1738" t="s">
        <v>31</v>
      </c>
      <c r="Y1738" t="s">
        <v>31</v>
      </c>
    </row>
    <row r="1739" spans="1:25" hidden="1">
      <c r="A1739" t="s">
        <v>25</v>
      </c>
      <c r="B1739" t="s">
        <v>26</v>
      </c>
      <c r="C1739" t="s">
        <v>57</v>
      </c>
      <c r="D1739" s="1">
        <v>44492</v>
      </c>
      <c r="E1739" s="2">
        <v>0.66666666666666663</v>
      </c>
      <c r="F1739" t="s">
        <v>39</v>
      </c>
      <c r="G1739" t="s">
        <v>56</v>
      </c>
      <c r="H1739">
        <v>2</v>
      </c>
      <c r="I1739">
        <v>1</v>
      </c>
      <c r="J1739" t="s">
        <v>34</v>
      </c>
      <c r="K1739">
        <v>163</v>
      </c>
      <c r="L1739">
        <v>446</v>
      </c>
      <c r="M1739">
        <v>518</v>
      </c>
      <c r="N1739">
        <v>165</v>
      </c>
      <c r="O1739">
        <v>446</v>
      </c>
      <c r="P1739">
        <v>531</v>
      </c>
      <c r="Q1739">
        <v>161</v>
      </c>
      <c r="R1739">
        <v>412</v>
      </c>
      <c r="S1739">
        <v>493</v>
      </c>
      <c r="T1739" t="s">
        <v>31</v>
      </c>
      <c r="U1739" t="s">
        <v>31</v>
      </c>
      <c r="V1739" t="s">
        <v>31</v>
      </c>
      <c r="W1739" t="s">
        <v>31</v>
      </c>
      <c r="X1739" t="s">
        <v>31</v>
      </c>
      <c r="Y1739" t="s">
        <v>31</v>
      </c>
    </row>
    <row r="1740" spans="1:25" hidden="1">
      <c r="A1740" t="s">
        <v>25</v>
      </c>
      <c r="B1740" t="s">
        <v>26</v>
      </c>
      <c r="C1740" t="s">
        <v>57</v>
      </c>
      <c r="D1740" s="1">
        <v>44493</v>
      </c>
      <c r="E1740" s="2">
        <v>0.5625</v>
      </c>
      <c r="F1740" t="s">
        <v>52</v>
      </c>
      <c r="G1740" t="s">
        <v>35</v>
      </c>
      <c r="H1740">
        <v>1</v>
      </c>
      <c r="I1740">
        <v>1</v>
      </c>
      <c r="J1740" t="s">
        <v>41</v>
      </c>
      <c r="K1740">
        <v>446</v>
      </c>
      <c r="L1740">
        <v>422</v>
      </c>
      <c r="M1740">
        <v>176</v>
      </c>
      <c r="N1740">
        <v>45</v>
      </c>
      <c r="O1740">
        <v>424</v>
      </c>
      <c r="P1740">
        <v>185</v>
      </c>
      <c r="Q1740">
        <v>408</v>
      </c>
      <c r="R1740">
        <v>393</v>
      </c>
      <c r="S1740">
        <v>177</v>
      </c>
      <c r="T1740" t="s">
        <v>31</v>
      </c>
      <c r="U1740" t="s">
        <v>31</v>
      </c>
      <c r="V1740" t="s">
        <v>31</v>
      </c>
      <c r="W1740" t="s">
        <v>31</v>
      </c>
      <c r="X1740" t="s">
        <v>31</v>
      </c>
      <c r="Y1740" t="s">
        <v>31</v>
      </c>
    </row>
    <row r="1741" spans="1:25" hidden="1">
      <c r="A1741" t="s">
        <v>25</v>
      </c>
      <c r="B1741" t="s">
        <v>26</v>
      </c>
      <c r="C1741" t="s">
        <v>57</v>
      </c>
      <c r="D1741" s="1">
        <v>44493</v>
      </c>
      <c r="E1741" s="2">
        <v>0.5625</v>
      </c>
      <c r="F1741" t="s">
        <v>50</v>
      </c>
      <c r="G1741" t="s">
        <v>45</v>
      </c>
      <c r="H1741">
        <v>0</v>
      </c>
      <c r="I1741">
        <v>1</v>
      </c>
      <c r="J1741" t="s">
        <v>30</v>
      </c>
      <c r="K1741">
        <v>145</v>
      </c>
      <c r="L1741">
        <v>476</v>
      </c>
      <c r="M1741">
        <v>75</v>
      </c>
      <c r="N1741">
        <v>147</v>
      </c>
      <c r="O1741">
        <v>5</v>
      </c>
      <c r="P1741">
        <v>85</v>
      </c>
      <c r="Q1741">
        <v>141</v>
      </c>
      <c r="R1741">
        <v>471</v>
      </c>
      <c r="S1741">
        <v>704</v>
      </c>
      <c r="T1741" t="s">
        <v>31</v>
      </c>
      <c r="U1741" t="s">
        <v>31</v>
      </c>
      <c r="V1741" t="s">
        <v>31</v>
      </c>
      <c r="W1741" t="s">
        <v>31</v>
      </c>
      <c r="X1741" t="s">
        <v>31</v>
      </c>
      <c r="Y1741" t="s">
        <v>31</v>
      </c>
    </row>
    <row r="1742" spans="1:25" hidden="1">
      <c r="A1742" t="s">
        <v>25</v>
      </c>
      <c r="B1742" t="s">
        <v>26</v>
      </c>
      <c r="C1742" t="s">
        <v>57</v>
      </c>
      <c r="D1742" s="1">
        <v>44493</v>
      </c>
      <c r="E1742" s="2">
        <v>0.66666666666666663</v>
      </c>
      <c r="F1742" t="s">
        <v>29</v>
      </c>
      <c r="G1742" t="s">
        <v>28</v>
      </c>
      <c r="H1742">
        <v>4</v>
      </c>
      <c r="I1742">
        <v>1</v>
      </c>
      <c r="J1742" t="s">
        <v>34</v>
      </c>
      <c r="K1742">
        <v>127</v>
      </c>
      <c r="L1742">
        <v>638</v>
      </c>
      <c r="M1742">
        <v>1064</v>
      </c>
      <c r="N1742">
        <v>13</v>
      </c>
      <c r="O1742">
        <v>65</v>
      </c>
      <c r="P1742">
        <v>115</v>
      </c>
      <c r="Q1742">
        <v>125</v>
      </c>
      <c r="R1742">
        <v>593</v>
      </c>
      <c r="S1742">
        <v>1002</v>
      </c>
      <c r="T1742" t="s">
        <v>31</v>
      </c>
      <c r="U1742" t="s">
        <v>31</v>
      </c>
      <c r="V1742" t="s">
        <v>31</v>
      </c>
      <c r="W1742" t="s">
        <v>31</v>
      </c>
      <c r="X1742" t="s">
        <v>31</v>
      </c>
      <c r="Y1742" t="s">
        <v>31</v>
      </c>
    </row>
    <row r="1743" spans="1:25" hidden="1">
      <c r="A1743" t="s">
        <v>25</v>
      </c>
      <c r="B1743" t="s">
        <v>26</v>
      </c>
      <c r="C1743" t="s">
        <v>57</v>
      </c>
      <c r="D1743" s="1">
        <v>44499</v>
      </c>
      <c r="E1743" s="2">
        <v>0.66666666666666663</v>
      </c>
      <c r="F1743" t="s">
        <v>56</v>
      </c>
      <c r="G1743" t="s">
        <v>37</v>
      </c>
      <c r="H1743">
        <v>3</v>
      </c>
      <c r="I1743">
        <v>3</v>
      </c>
      <c r="J1743" t="s">
        <v>41</v>
      </c>
      <c r="K1743">
        <v>228</v>
      </c>
      <c r="L1743">
        <v>358</v>
      </c>
      <c r="M1743">
        <v>324</v>
      </c>
      <c r="N1743">
        <v>251</v>
      </c>
      <c r="O1743">
        <v>358</v>
      </c>
      <c r="P1743">
        <v>333</v>
      </c>
      <c r="Q1743">
        <v>229</v>
      </c>
      <c r="R1743">
        <v>336</v>
      </c>
      <c r="S1743">
        <v>304</v>
      </c>
      <c r="T1743" t="s">
        <v>31</v>
      </c>
      <c r="U1743" t="s">
        <v>31</v>
      </c>
      <c r="V1743" t="s">
        <v>31</v>
      </c>
      <c r="W1743" t="s">
        <v>31</v>
      </c>
      <c r="X1743" t="s">
        <v>31</v>
      </c>
      <c r="Y1743" t="s">
        <v>31</v>
      </c>
    </row>
    <row r="1744" spans="1:25" hidden="1">
      <c r="A1744" t="s">
        <v>25</v>
      </c>
      <c r="B1744" t="s">
        <v>26</v>
      </c>
      <c r="C1744" t="s">
        <v>57</v>
      </c>
      <c r="D1744" s="1">
        <v>44499</v>
      </c>
      <c r="E1744" s="2">
        <v>0.66666666666666663</v>
      </c>
      <c r="F1744" t="s">
        <v>45</v>
      </c>
      <c r="G1744" t="s">
        <v>52</v>
      </c>
      <c r="H1744">
        <v>0</v>
      </c>
      <c r="I1744">
        <v>2</v>
      </c>
      <c r="J1744" t="s">
        <v>30</v>
      </c>
      <c r="K1744">
        <v>279</v>
      </c>
      <c r="L1744">
        <v>354</v>
      </c>
      <c r="M1744">
        <v>259</v>
      </c>
      <c r="N1744">
        <v>3</v>
      </c>
      <c r="O1744">
        <v>365</v>
      </c>
      <c r="P1744">
        <v>263</v>
      </c>
      <c r="Q1744">
        <v>275</v>
      </c>
      <c r="R1744">
        <v>341</v>
      </c>
      <c r="S1744">
        <v>246</v>
      </c>
      <c r="T1744" t="s">
        <v>31</v>
      </c>
      <c r="U1744" t="s">
        <v>31</v>
      </c>
      <c r="V1744" t="s">
        <v>31</v>
      </c>
      <c r="W1744" t="s">
        <v>31</v>
      </c>
      <c r="X1744" t="s">
        <v>31</v>
      </c>
      <c r="Y1744" t="s">
        <v>31</v>
      </c>
    </row>
    <row r="1745" spans="1:25" hidden="1">
      <c r="A1745" t="s">
        <v>25</v>
      </c>
      <c r="B1745" t="s">
        <v>26</v>
      </c>
      <c r="C1745" t="s">
        <v>57</v>
      </c>
      <c r="D1745" s="1">
        <v>44499</v>
      </c>
      <c r="E1745" s="2">
        <v>0.66666666666666663</v>
      </c>
      <c r="F1745" t="s">
        <v>38</v>
      </c>
      <c r="G1745" t="s">
        <v>29</v>
      </c>
      <c r="H1745">
        <v>2</v>
      </c>
      <c r="I1745">
        <v>2</v>
      </c>
      <c r="J1745" t="s">
        <v>41</v>
      </c>
      <c r="K1745">
        <v>1661</v>
      </c>
      <c r="L1745">
        <v>824</v>
      </c>
      <c r="M1745">
        <v>117</v>
      </c>
      <c r="N1745">
        <v>22</v>
      </c>
      <c r="O1745">
        <v>864</v>
      </c>
      <c r="P1745">
        <v>12</v>
      </c>
      <c r="Q1745">
        <v>164</v>
      </c>
      <c r="R1745">
        <v>78</v>
      </c>
      <c r="S1745">
        <v>115</v>
      </c>
      <c r="T1745" t="s">
        <v>31</v>
      </c>
      <c r="U1745" t="s">
        <v>31</v>
      </c>
      <c r="V1745" t="s">
        <v>31</v>
      </c>
      <c r="W1745" t="s">
        <v>31</v>
      </c>
      <c r="X1745" t="s">
        <v>31</v>
      </c>
      <c r="Y1745" t="s">
        <v>31</v>
      </c>
    </row>
    <row r="1746" spans="1:25" hidden="1">
      <c r="A1746" t="s">
        <v>25</v>
      </c>
      <c r="B1746" t="s">
        <v>26</v>
      </c>
      <c r="C1746" t="s">
        <v>57</v>
      </c>
      <c r="D1746" s="1">
        <v>44500</v>
      </c>
      <c r="E1746" s="2">
        <v>0.5625</v>
      </c>
      <c r="F1746" t="s">
        <v>28</v>
      </c>
      <c r="G1746" t="s">
        <v>39</v>
      </c>
      <c r="H1746">
        <v>0</v>
      </c>
      <c r="I1746">
        <v>3</v>
      </c>
      <c r="J1746" t="s">
        <v>30</v>
      </c>
      <c r="K1746">
        <v>197</v>
      </c>
      <c r="L1746">
        <v>379</v>
      </c>
      <c r="M1746">
        <v>389</v>
      </c>
      <c r="N1746">
        <v>205</v>
      </c>
      <c r="O1746">
        <v>393</v>
      </c>
      <c r="P1746">
        <v>39</v>
      </c>
      <c r="Q1746">
        <v>193</v>
      </c>
      <c r="R1746">
        <v>369</v>
      </c>
      <c r="S1746">
        <v>365</v>
      </c>
      <c r="T1746" t="s">
        <v>31</v>
      </c>
      <c r="U1746" t="s">
        <v>31</v>
      </c>
      <c r="V1746" t="s">
        <v>31</v>
      </c>
      <c r="W1746" t="s">
        <v>31</v>
      </c>
      <c r="X1746" t="s">
        <v>31</v>
      </c>
      <c r="Y1746" t="s">
        <v>31</v>
      </c>
    </row>
    <row r="1747" spans="1:25" hidden="1">
      <c r="A1747" t="s">
        <v>25</v>
      </c>
      <c r="B1747" t="s">
        <v>26</v>
      </c>
      <c r="C1747" t="s">
        <v>57</v>
      </c>
      <c r="D1747" s="1">
        <v>44500</v>
      </c>
      <c r="E1747" s="2">
        <v>0.5625</v>
      </c>
      <c r="F1747" t="s">
        <v>54</v>
      </c>
      <c r="G1747" t="s">
        <v>40</v>
      </c>
      <c r="H1747">
        <v>1</v>
      </c>
      <c r="I1747">
        <v>1</v>
      </c>
      <c r="J1747" t="s">
        <v>41</v>
      </c>
      <c r="K1747">
        <v>317</v>
      </c>
      <c r="L1747">
        <v>398</v>
      </c>
      <c r="M1747">
        <v>217</v>
      </c>
      <c r="N1747">
        <v>323</v>
      </c>
      <c r="O1747">
        <v>399</v>
      </c>
      <c r="P1747">
        <v>235</v>
      </c>
      <c r="Q1747">
        <v>303</v>
      </c>
      <c r="R1747">
        <v>369</v>
      </c>
      <c r="S1747">
        <v>217</v>
      </c>
      <c r="T1747" t="s">
        <v>31</v>
      </c>
      <c r="U1747" t="s">
        <v>31</v>
      </c>
      <c r="V1747" t="s">
        <v>31</v>
      </c>
      <c r="W1747" t="s">
        <v>31</v>
      </c>
      <c r="X1747" t="s">
        <v>31</v>
      </c>
      <c r="Y1747" t="s">
        <v>31</v>
      </c>
    </row>
    <row r="1748" spans="1:25" hidden="1">
      <c r="A1748" t="s">
        <v>25</v>
      </c>
      <c r="B1748" t="s">
        <v>26</v>
      </c>
      <c r="C1748" t="s">
        <v>57</v>
      </c>
      <c r="D1748" s="1">
        <v>44500</v>
      </c>
      <c r="E1748" s="2">
        <v>0.66666666666666663</v>
      </c>
      <c r="F1748" t="s">
        <v>35</v>
      </c>
      <c r="G1748" t="s">
        <v>50</v>
      </c>
      <c r="H1748">
        <v>3</v>
      </c>
      <c r="I1748">
        <v>2</v>
      </c>
      <c r="J1748" t="s">
        <v>34</v>
      </c>
      <c r="K1748">
        <v>229</v>
      </c>
      <c r="L1748">
        <v>366</v>
      </c>
      <c r="M1748">
        <v>316</v>
      </c>
      <c r="N1748">
        <v>233</v>
      </c>
      <c r="O1748">
        <v>375</v>
      </c>
      <c r="P1748">
        <v>36</v>
      </c>
      <c r="Q1748">
        <v>22</v>
      </c>
      <c r="R1748">
        <v>355</v>
      </c>
      <c r="S1748">
        <v>305</v>
      </c>
      <c r="T1748" t="s">
        <v>31</v>
      </c>
      <c r="U1748" t="s">
        <v>31</v>
      </c>
      <c r="V1748" t="s">
        <v>31</v>
      </c>
      <c r="W1748" t="s">
        <v>31</v>
      </c>
      <c r="X1748" t="s">
        <v>31</v>
      </c>
      <c r="Y1748" t="s">
        <v>31</v>
      </c>
    </row>
    <row r="1749" spans="1:25" hidden="1">
      <c r="A1749" t="s">
        <v>25</v>
      </c>
      <c r="B1749" t="s">
        <v>26</v>
      </c>
      <c r="C1749" t="s">
        <v>57</v>
      </c>
      <c r="D1749" s="1">
        <v>44506</v>
      </c>
      <c r="E1749" s="2">
        <v>0.66666666666666663</v>
      </c>
      <c r="F1749" t="s">
        <v>37</v>
      </c>
      <c r="G1749" t="s">
        <v>38</v>
      </c>
      <c r="H1749">
        <v>1</v>
      </c>
      <c r="I1749">
        <v>2</v>
      </c>
      <c r="J1749" t="s">
        <v>30</v>
      </c>
      <c r="K1749">
        <v>212</v>
      </c>
      <c r="L1749">
        <v>34</v>
      </c>
      <c r="M1749">
        <v>382</v>
      </c>
      <c r="N1749">
        <v>217</v>
      </c>
      <c r="O1749">
        <v>349</v>
      </c>
      <c r="P1749">
        <v>39</v>
      </c>
      <c r="Q1749">
        <v>207</v>
      </c>
      <c r="R1749">
        <v>327</v>
      </c>
      <c r="S1749">
        <v>365</v>
      </c>
      <c r="T1749" t="s">
        <v>31</v>
      </c>
      <c r="U1749" t="s">
        <v>31</v>
      </c>
      <c r="V1749" t="s">
        <v>31</v>
      </c>
      <c r="W1749" t="s">
        <v>31</v>
      </c>
      <c r="X1749" t="s">
        <v>31</v>
      </c>
      <c r="Y1749" t="s">
        <v>31</v>
      </c>
    </row>
    <row r="1750" spans="1:25" hidden="1">
      <c r="A1750" t="s">
        <v>25</v>
      </c>
      <c r="B1750" t="s">
        <v>26</v>
      </c>
      <c r="C1750" t="s">
        <v>57</v>
      </c>
      <c r="D1750" s="1">
        <v>44506</v>
      </c>
      <c r="E1750" s="2">
        <v>0.66666666666666663</v>
      </c>
      <c r="F1750" t="s">
        <v>40</v>
      </c>
      <c r="G1750" t="s">
        <v>29</v>
      </c>
      <c r="H1750">
        <v>0</v>
      </c>
      <c r="I1750">
        <v>1</v>
      </c>
      <c r="J1750" t="s">
        <v>30</v>
      </c>
      <c r="K1750">
        <v>802</v>
      </c>
      <c r="L1750">
        <v>535</v>
      </c>
      <c r="M1750">
        <v>139</v>
      </c>
      <c r="N1750">
        <v>9</v>
      </c>
      <c r="O1750">
        <v>537</v>
      </c>
      <c r="P1750">
        <v>143</v>
      </c>
      <c r="Q1750">
        <v>755</v>
      </c>
      <c r="R1750">
        <v>502</v>
      </c>
      <c r="S1750">
        <v>137</v>
      </c>
      <c r="T1750" t="s">
        <v>31</v>
      </c>
      <c r="U1750" t="s">
        <v>31</v>
      </c>
      <c r="V1750" t="s">
        <v>31</v>
      </c>
      <c r="W1750" t="s">
        <v>31</v>
      </c>
      <c r="X1750" t="s">
        <v>31</v>
      </c>
      <c r="Y1750" t="s">
        <v>31</v>
      </c>
    </row>
    <row r="1751" spans="1:25" hidden="1">
      <c r="A1751" t="s">
        <v>25</v>
      </c>
      <c r="B1751" t="s">
        <v>26</v>
      </c>
      <c r="C1751" t="s">
        <v>57</v>
      </c>
      <c r="D1751" s="1">
        <v>44506</v>
      </c>
      <c r="E1751" s="2">
        <v>0.66666666666666663</v>
      </c>
      <c r="F1751" t="s">
        <v>52</v>
      </c>
      <c r="G1751" t="s">
        <v>56</v>
      </c>
      <c r="H1751">
        <v>0</v>
      </c>
      <c r="I1751">
        <v>2</v>
      </c>
      <c r="J1751" t="s">
        <v>30</v>
      </c>
      <c r="K1751">
        <v>226</v>
      </c>
      <c r="L1751">
        <v>376</v>
      </c>
      <c r="M1751">
        <v>312</v>
      </c>
      <c r="N1751">
        <v>229</v>
      </c>
      <c r="O1751">
        <v>38</v>
      </c>
      <c r="P1751">
        <v>312</v>
      </c>
      <c r="Q1751">
        <v>22</v>
      </c>
      <c r="R1751">
        <v>365</v>
      </c>
      <c r="S1751">
        <v>299</v>
      </c>
      <c r="T1751" t="s">
        <v>31</v>
      </c>
      <c r="U1751" t="s">
        <v>31</v>
      </c>
      <c r="V1751" t="s">
        <v>31</v>
      </c>
      <c r="W1751" t="s">
        <v>31</v>
      </c>
      <c r="X1751" t="s">
        <v>31</v>
      </c>
      <c r="Y1751" t="s">
        <v>31</v>
      </c>
    </row>
    <row r="1752" spans="1:25" hidden="1">
      <c r="A1752" t="s">
        <v>25</v>
      </c>
      <c r="B1752" t="s">
        <v>26</v>
      </c>
      <c r="C1752" t="s">
        <v>57</v>
      </c>
      <c r="D1752" s="1">
        <v>44507</v>
      </c>
      <c r="E1752" s="2">
        <v>0.5625</v>
      </c>
      <c r="F1752" t="s">
        <v>50</v>
      </c>
      <c r="G1752" t="s">
        <v>54</v>
      </c>
      <c r="H1752">
        <v>3</v>
      </c>
      <c r="I1752">
        <v>0</v>
      </c>
      <c r="J1752" t="s">
        <v>34</v>
      </c>
      <c r="K1752">
        <v>167</v>
      </c>
      <c r="L1752">
        <v>443</v>
      </c>
      <c r="M1752">
        <v>489</v>
      </c>
      <c r="N1752">
        <v>168</v>
      </c>
      <c r="O1752">
        <v>448</v>
      </c>
      <c r="P1752">
        <v>5</v>
      </c>
      <c r="Q1752">
        <v>163</v>
      </c>
      <c r="R1752">
        <v>419</v>
      </c>
      <c r="S1752">
        <v>47</v>
      </c>
      <c r="T1752" t="s">
        <v>31</v>
      </c>
      <c r="U1752" t="s">
        <v>31</v>
      </c>
      <c r="V1752" t="s">
        <v>31</v>
      </c>
      <c r="W1752" t="s">
        <v>31</v>
      </c>
      <c r="X1752" t="s">
        <v>31</v>
      </c>
      <c r="Y1752" t="s">
        <v>31</v>
      </c>
    </row>
    <row r="1753" spans="1:25" hidden="1">
      <c r="A1753" t="s">
        <v>25</v>
      </c>
      <c r="B1753" t="s">
        <v>26</v>
      </c>
      <c r="C1753" t="s">
        <v>57</v>
      </c>
      <c r="D1753" s="1">
        <v>44507</v>
      </c>
      <c r="E1753" s="2">
        <v>0.66666666666666663</v>
      </c>
      <c r="F1753" t="s">
        <v>39</v>
      </c>
      <c r="G1753" t="s">
        <v>35</v>
      </c>
      <c r="H1753">
        <v>4</v>
      </c>
      <c r="I1753">
        <v>1</v>
      </c>
      <c r="J1753" t="s">
        <v>34</v>
      </c>
      <c r="K1753">
        <v>267</v>
      </c>
      <c r="L1753">
        <v>374</v>
      </c>
      <c r="M1753">
        <v>259</v>
      </c>
      <c r="N1753">
        <v>272</v>
      </c>
      <c r="O1753">
        <v>378</v>
      </c>
      <c r="P1753">
        <v>265</v>
      </c>
      <c r="Q1753">
        <v>256</v>
      </c>
      <c r="R1753">
        <v>355</v>
      </c>
      <c r="S1753">
        <v>256</v>
      </c>
      <c r="T1753" t="s">
        <v>31</v>
      </c>
      <c r="U1753" t="s">
        <v>31</v>
      </c>
      <c r="V1753" t="s">
        <v>31</v>
      </c>
      <c r="W1753" t="s">
        <v>31</v>
      </c>
      <c r="X1753" t="s">
        <v>31</v>
      </c>
      <c r="Y1753" t="s">
        <v>31</v>
      </c>
    </row>
    <row r="1754" spans="1:25" hidden="1">
      <c r="A1754" t="s">
        <v>25</v>
      </c>
      <c r="B1754" t="s">
        <v>26</v>
      </c>
      <c r="C1754" t="s">
        <v>57</v>
      </c>
      <c r="D1754" s="1">
        <v>44520</v>
      </c>
      <c r="E1754" s="2">
        <v>0.66666666666666663</v>
      </c>
      <c r="F1754" t="s">
        <v>35</v>
      </c>
      <c r="G1754" t="s">
        <v>45</v>
      </c>
      <c r="H1754">
        <v>1</v>
      </c>
      <c r="I1754">
        <v>0</v>
      </c>
      <c r="J1754" t="s">
        <v>34</v>
      </c>
      <c r="K1754">
        <v>137</v>
      </c>
      <c r="L1754">
        <v>548</v>
      </c>
      <c r="M1754">
        <v>839</v>
      </c>
      <c r="N1754">
        <v>141</v>
      </c>
      <c r="O1754">
        <v>551</v>
      </c>
      <c r="P1754">
        <v>9</v>
      </c>
      <c r="Q1754">
        <v>136</v>
      </c>
      <c r="R1754">
        <v>497</v>
      </c>
      <c r="S1754">
        <v>792</v>
      </c>
      <c r="T1754" t="s">
        <v>31</v>
      </c>
      <c r="U1754" t="s">
        <v>31</v>
      </c>
      <c r="V1754" t="s">
        <v>31</v>
      </c>
      <c r="W1754" t="s">
        <v>31</v>
      </c>
      <c r="X1754" t="s">
        <v>31</v>
      </c>
      <c r="Y1754" t="s">
        <v>31</v>
      </c>
    </row>
    <row r="1755" spans="1:25" hidden="1">
      <c r="A1755" t="s">
        <v>25</v>
      </c>
      <c r="B1755" t="s">
        <v>26</v>
      </c>
      <c r="C1755" t="s">
        <v>57</v>
      </c>
      <c r="D1755" s="1">
        <v>44520</v>
      </c>
      <c r="E1755" s="2">
        <v>0.66666666666666663</v>
      </c>
      <c r="F1755" t="s">
        <v>38</v>
      </c>
      <c r="G1755" t="s">
        <v>52</v>
      </c>
      <c r="H1755">
        <v>1</v>
      </c>
      <c r="I1755">
        <v>0</v>
      </c>
      <c r="J1755" t="s">
        <v>34</v>
      </c>
      <c r="K1755">
        <v>273</v>
      </c>
      <c r="L1755">
        <v>343</v>
      </c>
      <c r="M1755">
        <v>27</v>
      </c>
      <c r="N1755">
        <v>279</v>
      </c>
      <c r="O1755">
        <v>355</v>
      </c>
      <c r="P1755">
        <v>27</v>
      </c>
      <c r="Q1755">
        <v>265</v>
      </c>
      <c r="R1755">
        <v>334</v>
      </c>
      <c r="S1755">
        <v>259</v>
      </c>
      <c r="T1755" t="s">
        <v>31</v>
      </c>
      <c r="U1755" t="s">
        <v>31</v>
      </c>
      <c r="V1755" t="s">
        <v>31</v>
      </c>
      <c r="W1755" t="s">
        <v>31</v>
      </c>
      <c r="X1755" t="s">
        <v>31</v>
      </c>
      <c r="Y1755" t="s">
        <v>31</v>
      </c>
    </row>
    <row r="1756" spans="1:25" hidden="1">
      <c r="A1756" t="s">
        <v>25</v>
      </c>
      <c r="B1756" t="s">
        <v>26</v>
      </c>
      <c r="C1756" t="s">
        <v>57</v>
      </c>
      <c r="D1756" s="1">
        <v>44520</v>
      </c>
      <c r="E1756" s="2">
        <v>0.66666666666666663</v>
      </c>
      <c r="F1756" t="s">
        <v>29</v>
      </c>
      <c r="G1756" t="s">
        <v>37</v>
      </c>
      <c r="H1756">
        <v>0</v>
      </c>
      <c r="I1756">
        <v>0</v>
      </c>
      <c r="J1756" t="s">
        <v>41</v>
      </c>
      <c r="K1756">
        <v>113</v>
      </c>
      <c r="L1756">
        <v>953</v>
      </c>
      <c r="M1756">
        <v>2295</v>
      </c>
      <c r="N1756">
        <v>115</v>
      </c>
      <c r="O1756">
        <v>10</v>
      </c>
      <c r="P1756">
        <v>23</v>
      </c>
      <c r="Q1756">
        <v>112</v>
      </c>
      <c r="R1756">
        <v>852</v>
      </c>
      <c r="S1756">
        <v>2012</v>
      </c>
      <c r="T1756" t="s">
        <v>31</v>
      </c>
      <c r="U1756" t="s">
        <v>31</v>
      </c>
      <c r="V1756" t="s">
        <v>31</v>
      </c>
      <c r="W1756" t="s">
        <v>31</v>
      </c>
      <c r="X1756" t="s">
        <v>31</v>
      </c>
      <c r="Y1756" t="s">
        <v>31</v>
      </c>
    </row>
    <row r="1757" spans="1:25" hidden="1">
      <c r="A1757" t="s">
        <v>25</v>
      </c>
      <c r="B1757" t="s">
        <v>26</v>
      </c>
      <c r="C1757" t="s">
        <v>57</v>
      </c>
      <c r="D1757" s="1">
        <v>44521</v>
      </c>
      <c r="E1757" s="2">
        <v>0.5625</v>
      </c>
      <c r="F1757" t="s">
        <v>56</v>
      </c>
      <c r="G1757" t="s">
        <v>40</v>
      </c>
      <c r="H1757">
        <v>0</v>
      </c>
      <c r="I1757">
        <v>0</v>
      </c>
      <c r="J1757" t="s">
        <v>41</v>
      </c>
      <c r="K1757">
        <v>316</v>
      </c>
      <c r="L1757">
        <v>356</v>
      </c>
      <c r="M1757">
        <v>232</v>
      </c>
      <c r="N1757">
        <v>318</v>
      </c>
      <c r="O1757">
        <v>36</v>
      </c>
      <c r="P1757">
        <v>24</v>
      </c>
      <c r="Q1757">
        <v>301</v>
      </c>
      <c r="R1757">
        <v>342</v>
      </c>
      <c r="S1757">
        <v>228</v>
      </c>
      <c r="T1757" t="s">
        <v>31</v>
      </c>
      <c r="U1757" t="s">
        <v>31</v>
      </c>
      <c r="V1757" t="s">
        <v>31</v>
      </c>
      <c r="W1757" t="s">
        <v>31</v>
      </c>
      <c r="X1757" t="s">
        <v>31</v>
      </c>
      <c r="Y1757" t="s">
        <v>31</v>
      </c>
    </row>
    <row r="1758" spans="1:25" hidden="1">
      <c r="A1758" t="s">
        <v>25</v>
      </c>
      <c r="B1758" t="s">
        <v>26</v>
      </c>
      <c r="C1758" t="s">
        <v>57</v>
      </c>
      <c r="D1758" s="1">
        <v>44521</v>
      </c>
      <c r="E1758" s="2">
        <v>0.5625</v>
      </c>
      <c r="F1758" t="s">
        <v>54</v>
      </c>
      <c r="G1758" t="s">
        <v>39</v>
      </c>
      <c r="H1758">
        <v>5</v>
      </c>
      <c r="I1758">
        <v>1</v>
      </c>
      <c r="J1758" t="s">
        <v>34</v>
      </c>
      <c r="K1758">
        <v>316</v>
      </c>
      <c r="L1758">
        <v>396</v>
      </c>
      <c r="M1758">
        <v>218</v>
      </c>
      <c r="N1758">
        <v>325</v>
      </c>
      <c r="O1758">
        <v>396</v>
      </c>
      <c r="P1758">
        <v>222</v>
      </c>
      <c r="Q1758">
        <v>308</v>
      </c>
      <c r="R1758">
        <v>368</v>
      </c>
      <c r="S1758">
        <v>214</v>
      </c>
      <c r="T1758" t="s">
        <v>31</v>
      </c>
      <c r="U1758" t="s">
        <v>31</v>
      </c>
      <c r="V1758" t="s">
        <v>31</v>
      </c>
      <c r="W1758" t="s">
        <v>31</v>
      </c>
      <c r="X1758" t="s">
        <v>31</v>
      </c>
      <c r="Y1758" t="s">
        <v>31</v>
      </c>
    </row>
    <row r="1759" spans="1:25" hidden="1">
      <c r="A1759" t="s">
        <v>25</v>
      </c>
      <c r="B1759" t="s">
        <v>26</v>
      </c>
      <c r="C1759" t="s">
        <v>57</v>
      </c>
      <c r="D1759" s="1">
        <v>44521</v>
      </c>
      <c r="E1759" s="2">
        <v>0.66666666666666663</v>
      </c>
      <c r="F1759" t="s">
        <v>28</v>
      </c>
      <c r="G1759" t="s">
        <v>50</v>
      </c>
      <c r="H1759">
        <v>3</v>
      </c>
      <c r="I1759">
        <v>3</v>
      </c>
      <c r="J1759" t="s">
        <v>41</v>
      </c>
      <c r="K1759">
        <v>227</v>
      </c>
      <c r="L1759">
        <v>373</v>
      </c>
      <c r="M1759">
        <v>313</v>
      </c>
      <c r="N1759">
        <v>229</v>
      </c>
      <c r="O1759">
        <v>373</v>
      </c>
      <c r="P1759">
        <v>347</v>
      </c>
      <c r="Q1759">
        <v>218</v>
      </c>
      <c r="R1759">
        <v>354</v>
      </c>
      <c r="S1759">
        <v>309</v>
      </c>
      <c r="T1759" t="s">
        <v>31</v>
      </c>
      <c r="U1759" t="s">
        <v>31</v>
      </c>
      <c r="V1759" t="s">
        <v>31</v>
      </c>
      <c r="W1759" t="s">
        <v>31</v>
      </c>
      <c r="X1759" t="s">
        <v>31</v>
      </c>
      <c r="Y1759" t="s">
        <v>31</v>
      </c>
    </row>
    <row r="1760" spans="1:25" hidden="1">
      <c r="A1760" t="s">
        <v>25</v>
      </c>
      <c r="B1760" t="s">
        <v>26</v>
      </c>
      <c r="C1760" t="s">
        <v>57</v>
      </c>
      <c r="D1760" s="1">
        <v>44527</v>
      </c>
      <c r="E1760" s="2">
        <v>0.66666666666666663</v>
      </c>
      <c r="F1760" t="s">
        <v>56</v>
      </c>
      <c r="G1760" t="s">
        <v>29</v>
      </c>
      <c r="H1760">
        <v>2</v>
      </c>
      <c r="I1760">
        <v>1</v>
      </c>
      <c r="J1760" t="s">
        <v>34</v>
      </c>
      <c r="K1760">
        <v>1196</v>
      </c>
      <c r="L1760">
        <v>686</v>
      </c>
      <c r="M1760">
        <v>124</v>
      </c>
      <c r="N1760">
        <v>13</v>
      </c>
      <c r="O1760">
        <v>725</v>
      </c>
      <c r="P1760">
        <v>124</v>
      </c>
      <c r="Q1760">
        <v>1123</v>
      </c>
      <c r="R1760">
        <v>655</v>
      </c>
      <c r="S1760">
        <v>122</v>
      </c>
      <c r="T1760" t="s">
        <v>31</v>
      </c>
      <c r="U1760" t="s">
        <v>31</v>
      </c>
      <c r="V1760" t="s">
        <v>31</v>
      </c>
      <c r="W1760" t="s">
        <v>31</v>
      </c>
      <c r="X1760" t="s">
        <v>31</v>
      </c>
      <c r="Y1760" t="s">
        <v>31</v>
      </c>
    </row>
    <row r="1761" spans="1:25" hidden="1">
      <c r="A1761" t="s">
        <v>25</v>
      </c>
      <c r="B1761" t="s">
        <v>26</v>
      </c>
      <c r="C1761" t="s">
        <v>57</v>
      </c>
      <c r="D1761" s="1">
        <v>44527</v>
      </c>
      <c r="E1761" s="2">
        <v>0.66666666666666663</v>
      </c>
      <c r="F1761" t="s">
        <v>37</v>
      </c>
      <c r="G1761" t="s">
        <v>39</v>
      </c>
      <c r="H1761">
        <v>0</v>
      </c>
      <c r="I1761">
        <v>1</v>
      </c>
      <c r="J1761" t="s">
        <v>30</v>
      </c>
      <c r="K1761">
        <v>32</v>
      </c>
      <c r="L1761">
        <v>321</v>
      </c>
      <c r="M1761">
        <v>248</v>
      </c>
      <c r="N1761">
        <v>34</v>
      </c>
      <c r="O1761">
        <v>36</v>
      </c>
      <c r="P1761">
        <v>249</v>
      </c>
      <c r="Q1761">
        <v>307</v>
      </c>
      <c r="R1761">
        <v>317</v>
      </c>
      <c r="S1761">
        <v>238</v>
      </c>
      <c r="T1761" t="s">
        <v>31</v>
      </c>
      <c r="U1761" t="s">
        <v>31</v>
      </c>
      <c r="V1761" t="s">
        <v>31</v>
      </c>
      <c r="W1761" t="s">
        <v>31</v>
      </c>
      <c r="X1761" t="s">
        <v>31</v>
      </c>
      <c r="Y1761" t="s">
        <v>31</v>
      </c>
    </row>
    <row r="1762" spans="1:25" hidden="1">
      <c r="A1762" t="s">
        <v>25</v>
      </c>
      <c r="B1762" t="s">
        <v>26</v>
      </c>
      <c r="C1762" t="s">
        <v>57</v>
      </c>
      <c r="D1762" s="1">
        <v>44527</v>
      </c>
      <c r="E1762" s="2">
        <v>0.66666666666666663</v>
      </c>
      <c r="F1762" t="s">
        <v>45</v>
      </c>
      <c r="G1762" t="s">
        <v>54</v>
      </c>
      <c r="H1762">
        <v>0</v>
      </c>
      <c r="I1762">
        <v>3</v>
      </c>
      <c r="J1762" t="s">
        <v>30</v>
      </c>
      <c r="K1762">
        <v>323</v>
      </c>
      <c r="L1762">
        <v>371</v>
      </c>
      <c r="M1762">
        <v>223</v>
      </c>
      <c r="N1762">
        <v>331</v>
      </c>
      <c r="O1762">
        <v>372</v>
      </c>
      <c r="P1762">
        <v>24</v>
      </c>
      <c r="Q1762">
        <v>31</v>
      </c>
      <c r="R1762">
        <v>354</v>
      </c>
      <c r="S1762">
        <v>219</v>
      </c>
      <c r="T1762" t="s">
        <v>31</v>
      </c>
      <c r="U1762" t="s">
        <v>31</v>
      </c>
      <c r="V1762" t="s">
        <v>31</v>
      </c>
      <c r="W1762" t="s">
        <v>31</v>
      </c>
      <c r="X1762" t="s">
        <v>31</v>
      </c>
      <c r="Y1762" t="s">
        <v>31</v>
      </c>
    </row>
    <row r="1763" spans="1:25" hidden="1">
      <c r="A1763" t="s">
        <v>25</v>
      </c>
      <c r="B1763" t="s">
        <v>26</v>
      </c>
      <c r="C1763" t="s">
        <v>57</v>
      </c>
      <c r="D1763" s="1">
        <v>44528</v>
      </c>
      <c r="E1763" s="2">
        <v>0.5625</v>
      </c>
      <c r="F1763" t="s">
        <v>40</v>
      </c>
      <c r="G1763" t="s">
        <v>28</v>
      </c>
      <c r="H1763">
        <v>2</v>
      </c>
      <c r="I1763">
        <v>1</v>
      </c>
      <c r="J1763" t="s">
        <v>34</v>
      </c>
      <c r="K1763">
        <v>296</v>
      </c>
      <c r="L1763">
        <v>381</v>
      </c>
      <c r="M1763">
        <v>234</v>
      </c>
      <c r="N1763">
        <v>301</v>
      </c>
      <c r="O1763">
        <v>381</v>
      </c>
      <c r="P1763">
        <v>238</v>
      </c>
      <c r="Q1763">
        <v>287</v>
      </c>
      <c r="R1763">
        <v>355</v>
      </c>
      <c r="S1763">
        <v>231</v>
      </c>
      <c r="T1763" t="s">
        <v>31</v>
      </c>
      <c r="U1763" t="s">
        <v>31</v>
      </c>
      <c r="V1763" t="s">
        <v>31</v>
      </c>
      <c r="W1763" t="s">
        <v>31</v>
      </c>
      <c r="X1763" t="s">
        <v>31</v>
      </c>
      <c r="Y1763" t="s">
        <v>31</v>
      </c>
    </row>
    <row r="1764" spans="1:25" hidden="1">
      <c r="A1764" t="s">
        <v>25</v>
      </c>
      <c r="B1764" t="s">
        <v>26</v>
      </c>
      <c r="C1764" t="s">
        <v>57</v>
      </c>
      <c r="D1764" s="1">
        <v>44528</v>
      </c>
      <c r="E1764" s="2">
        <v>0.5625</v>
      </c>
      <c r="F1764" t="s">
        <v>52</v>
      </c>
      <c r="G1764" t="s">
        <v>50</v>
      </c>
      <c r="H1764">
        <v>2</v>
      </c>
      <c r="I1764">
        <v>1</v>
      </c>
      <c r="J1764" t="s">
        <v>34</v>
      </c>
      <c r="K1764">
        <v>543</v>
      </c>
      <c r="L1764">
        <v>434</v>
      </c>
      <c r="M1764">
        <v>162</v>
      </c>
      <c r="N1764">
        <v>545</v>
      </c>
      <c r="O1764">
        <v>435</v>
      </c>
      <c r="P1764">
        <v>182</v>
      </c>
      <c r="Q1764">
        <v>497</v>
      </c>
      <c r="R1764">
        <v>412</v>
      </c>
      <c r="S1764">
        <v>161</v>
      </c>
      <c r="T1764" t="s">
        <v>31</v>
      </c>
      <c r="U1764" t="s">
        <v>31</v>
      </c>
      <c r="V1764" t="s">
        <v>31</v>
      </c>
      <c r="W1764" t="s">
        <v>31</v>
      </c>
      <c r="X1764" t="s">
        <v>31</v>
      </c>
      <c r="Y1764" t="s">
        <v>31</v>
      </c>
    </row>
    <row r="1765" spans="1:25" hidden="1">
      <c r="A1765" t="s">
        <v>25</v>
      </c>
      <c r="B1765" t="s">
        <v>26</v>
      </c>
      <c r="C1765" t="s">
        <v>57</v>
      </c>
      <c r="D1765" s="1">
        <v>44528</v>
      </c>
      <c r="E1765" s="2">
        <v>0.66666666666666663</v>
      </c>
      <c r="F1765" t="s">
        <v>38</v>
      </c>
      <c r="G1765" t="s">
        <v>35</v>
      </c>
      <c r="H1765">
        <v>2</v>
      </c>
      <c r="I1765">
        <v>2</v>
      </c>
      <c r="J1765" t="s">
        <v>41</v>
      </c>
      <c r="K1765">
        <v>407</v>
      </c>
      <c r="L1765">
        <v>373</v>
      </c>
      <c r="M1765">
        <v>194</v>
      </c>
      <c r="N1765">
        <v>408</v>
      </c>
      <c r="O1765">
        <v>377</v>
      </c>
      <c r="P1765">
        <v>209</v>
      </c>
      <c r="Q1765">
        <v>369</v>
      </c>
      <c r="R1765">
        <v>35</v>
      </c>
      <c r="S1765">
        <v>198</v>
      </c>
      <c r="T1765" t="s">
        <v>31</v>
      </c>
      <c r="U1765" t="s">
        <v>31</v>
      </c>
      <c r="V1765" t="s">
        <v>31</v>
      </c>
      <c r="W1765" t="s">
        <v>31</v>
      </c>
      <c r="X1765" t="s">
        <v>31</v>
      </c>
      <c r="Y1765" t="s">
        <v>31</v>
      </c>
    </row>
    <row r="1766" spans="1:25" hidden="1">
      <c r="A1766" t="s">
        <v>25</v>
      </c>
      <c r="B1766" t="s">
        <v>26</v>
      </c>
      <c r="C1766" t="s">
        <v>57</v>
      </c>
      <c r="D1766" s="1">
        <v>44531</v>
      </c>
      <c r="E1766" s="2">
        <v>0.75</v>
      </c>
      <c r="F1766" t="s">
        <v>45</v>
      </c>
      <c r="G1766" t="s">
        <v>28</v>
      </c>
      <c r="H1766">
        <v>0</v>
      </c>
      <c r="I1766">
        <v>1</v>
      </c>
      <c r="J1766" t="s">
        <v>30</v>
      </c>
      <c r="K1766">
        <v>599</v>
      </c>
      <c r="L1766">
        <v>426</v>
      </c>
      <c r="M1766">
        <v>161</v>
      </c>
      <c r="N1766">
        <v>65</v>
      </c>
      <c r="O1766">
        <v>445</v>
      </c>
      <c r="P1766">
        <v>161</v>
      </c>
      <c r="Q1766">
        <v>567</v>
      </c>
      <c r="R1766">
        <v>416</v>
      </c>
      <c r="S1766">
        <v>155</v>
      </c>
      <c r="T1766" t="s">
        <v>31</v>
      </c>
      <c r="U1766" t="s">
        <v>31</v>
      </c>
      <c r="V1766" t="s">
        <v>31</v>
      </c>
      <c r="W1766" t="s">
        <v>31</v>
      </c>
      <c r="X1766" t="s">
        <v>31</v>
      </c>
      <c r="Y1766" t="s">
        <v>31</v>
      </c>
    </row>
    <row r="1767" spans="1:25" hidden="1">
      <c r="A1767" t="s">
        <v>25</v>
      </c>
      <c r="B1767" t="s">
        <v>26</v>
      </c>
      <c r="C1767" t="s">
        <v>57</v>
      </c>
      <c r="D1767" s="1">
        <v>44534</v>
      </c>
      <c r="E1767" s="2">
        <v>0.66666666666666663</v>
      </c>
      <c r="F1767" t="s">
        <v>29</v>
      </c>
      <c r="G1767" t="s">
        <v>52</v>
      </c>
      <c r="H1767">
        <v>2</v>
      </c>
      <c r="I1767">
        <v>1</v>
      </c>
      <c r="J1767" t="s">
        <v>34</v>
      </c>
      <c r="K1767">
        <v>119</v>
      </c>
      <c r="L1767">
        <v>759</v>
      </c>
      <c r="M1767">
        <v>1522</v>
      </c>
      <c r="N1767">
        <v>12</v>
      </c>
      <c r="O1767">
        <v>787</v>
      </c>
      <c r="P1767">
        <v>1522</v>
      </c>
      <c r="Q1767">
        <v>118</v>
      </c>
      <c r="R1767">
        <v>711</v>
      </c>
      <c r="S1767">
        <v>1327</v>
      </c>
      <c r="T1767" t="s">
        <v>31</v>
      </c>
      <c r="U1767" t="s">
        <v>31</v>
      </c>
      <c r="V1767" t="s">
        <v>31</v>
      </c>
      <c r="W1767" t="s">
        <v>31</v>
      </c>
      <c r="X1767" t="s">
        <v>31</v>
      </c>
      <c r="Y1767" t="s">
        <v>31</v>
      </c>
    </row>
    <row r="1768" spans="1:25" hidden="1">
      <c r="A1768" t="s">
        <v>25</v>
      </c>
      <c r="B1768" t="s">
        <v>26</v>
      </c>
      <c r="C1768" t="s">
        <v>57</v>
      </c>
      <c r="D1768" s="1">
        <v>44534</v>
      </c>
      <c r="E1768" s="2">
        <v>0.66666666666666663</v>
      </c>
      <c r="F1768" t="s">
        <v>28</v>
      </c>
      <c r="G1768" t="s">
        <v>37</v>
      </c>
      <c r="H1768">
        <v>1</v>
      </c>
      <c r="I1768">
        <v>1</v>
      </c>
      <c r="J1768" t="s">
        <v>41</v>
      </c>
      <c r="K1768">
        <v>183</v>
      </c>
      <c r="L1768">
        <v>365</v>
      </c>
      <c r="M1768">
        <v>477</v>
      </c>
      <c r="N1768">
        <v>183</v>
      </c>
      <c r="O1768">
        <v>38</v>
      </c>
      <c r="P1768">
        <v>477</v>
      </c>
      <c r="Q1768">
        <v>179</v>
      </c>
      <c r="R1768">
        <v>363</v>
      </c>
      <c r="S1768">
        <v>434</v>
      </c>
      <c r="T1768" t="s">
        <v>31</v>
      </c>
      <c r="U1768" t="s">
        <v>31</v>
      </c>
      <c r="V1768" t="s">
        <v>31</v>
      </c>
      <c r="W1768" t="s">
        <v>31</v>
      </c>
      <c r="X1768" t="s">
        <v>31</v>
      </c>
      <c r="Y1768" t="s">
        <v>31</v>
      </c>
    </row>
    <row r="1769" spans="1:25" hidden="1">
      <c r="A1769" t="s">
        <v>25</v>
      </c>
      <c r="B1769" t="s">
        <v>26</v>
      </c>
      <c r="C1769" t="s">
        <v>57</v>
      </c>
      <c r="D1769" s="1">
        <v>44534</v>
      </c>
      <c r="E1769" s="2">
        <v>0.66666666666666663</v>
      </c>
      <c r="F1769" t="s">
        <v>54</v>
      </c>
      <c r="G1769" t="s">
        <v>56</v>
      </c>
      <c r="H1769">
        <v>0</v>
      </c>
      <c r="I1769">
        <v>1</v>
      </c>
      <c r="J1769" t="s">
        <v>30</v>
      </c>
      <c r="K1769">
        <v>21</v>
      </c>
      <c r="L1769">
        <v>385</v>
      </c>
      <c r="M1769">
        <v>342</v>
      </c>
      <c r="N1769">
        <v>213</v>
      </c>
      <c r="O1769">
        <v>391</v>
      </c>
      <c r="P1769">
        <v>359</v>
      </c>
      <c r="Q1769">
        <v>203</v>
      </c>
      <c r="R1769">
        <v>367</v>
      </c>
      <c r="S1769">
        <v>335</v>
      </c>
      <c r="T1769" t="s">
        <v>31</v>
      </c>
      <c r="U1769" t="s">
        <v>31</v>
      </c>
      <c r="V1769" t="s">
        <v>31</v>
      </c>
      <c r="W1769" t="s">
        <v>31</v>
      </c>
      <c r="X1769" t="s">
        <v>31</v>
      </c>
      <c r="Y1769" t="s">
        <v>31</v>
      </c>
    </row>
    <row r="1770" spans="1:25" hidden="1">
      <c r="A1770" t="s">
        <v>25</v>
      </c>
      <c r="B1770" t="s">
        <v>26</v>
      </c>
      <c r="C1770" t="s">
        <v>57</v>
      </c>
      <c r="D1770" s="1">
        <v>44535</v>
      </c>
      <c r="E1770" s="2">
        <v>0.5625</v>
      </c>
      <c r="F1770" t="s">
        <v>50</v>
      </c>
      <c r="G1770" t="s">
        <v>38</v>
      </c>
      <c r="H1770">
        <v>1</v>
      </c>
      <c r="I1770">
        <v>0</v>
      </c>
      <c r="J1770" t="s">
        <v>34</v>
      </c>
      <c r="K1770">
        <v>138</v>
      </c>
      <c r="L1770">
        <v>543</v>
      </c>
      <c r="M1770">
        <v>817</v>
      </c>
      <c r="N1770">
        <v>145</v>
      </c>
      <c r="O1770">
        <v>543</v>
      </c>
      <c r="P1770">
        <v>88</v>
      </c>
      <c r="Q1770">
        <v>138</v>
      </c>
      <c r="R1770">
        <v>491</v>
      </c>
      <c r="S1770">
        <v>763</v>
      </c>
      <c r="T1770" t="s">
        <v>31</v>
      </c>
      <c r="U1770" t="s">
        <v>31</v>
      </c>
      <c r="V1770" t="s">
        <v>31</v>
      </c>
      <c r="W1770" t="s">
        <v>31</v>
      </c>
      <c r="X1770" t="s">
        <v>31</v>
      </c>
      <c r="Y1770" t="s">
        <v>31</v>
      </c>
    </row>
    <row r="1771" spans="1:25" hidden="1">
      <c r="A1771" t="s">
        <v>25</v>
      </c>
      <c r="B1771" t="s">
        <v>26</v>
      </c>
      <c r="C1771" t="s">
        <v>57</v>
      </c>
      <c r="D1771" s="1">
        <v>44535</v>
      </c>
      <c r="E1771" s="2">
        <v>0.66666666666666663</v>
      </c>
      <c r="F1771" t="s">
        <v>35</v>
      </c>
      <c r="G1771" t="s">
        <v>40</v>
      </c>
      <c r="H1771">
        <v>1</v>
      </c>
      <c r="I1771">
        <v>1</v>
      </c>
      <c r="J1771" t="s">
        <v>41</v>
      </c>
      <c r="K1771">
        <v>227</v>
      </c>
      <c r="L1771">
        <v>348</v>
      </c>
      <c r="M1771">
        <v>333</v>
      </c>
      <c r="N1771">
        <v>24</v>
      </c>
      <c r="O1771">
        <v>362</v>
      </c>
      <c r="P1771">
        <v>335</v>
      </c>
      <c r="Q1771">
        <v>222</v>
      </c>
      <c r="R1771">
        <v>336</v>
      </c>
      <c r="S1771">
        <v>318</v>
      </c>
      <c r="T1771" t="s">
        <v>31</v>
      </c>
      <c r="U1771" t="s">
        <v>31</v>
      </c>
      <c r="V1771" t="s">
        <v>31</v>
      </c>
      <c r="W1771" t="s">
        <v>31</v>
      </c>
      <c r="X1771" t="s">
        <v>31</v>
      </c>
      <c r="Y1771" t="s">
        <v>31</v>
      </c>
    </row>
    <row r="1772" spans="1:25" hidden="1">
      <c r="A1772" t="s">
        <v>25</v>
      </c>
      <c r="B1772" t="s">
        <v>26</v>
      </c>
      <c r="C1772" t="s">
        <v>57</v>
      </c>
      <c r="D1772" s="1">
        <v>44535</v>
      </c>
      <c r="E1772" s="2">
        <v>0.66666666666666663</v>
      </c>
      <c r="F1772" t="s">
        <v>39</v>
      </c>
      <c r="G1772" t="s">
        <v>45</v>
      </c>
      <c r="H1772">
        <v>3</v>
      </c>
      <c r="I1772">
        <v>0</v>
      </c>
      <c r="J1772" t="s">
        <v>34</v>
      </c>
      <c r="K1772">
        <v>156</v>
      </c>
      <c r="L1772">
        <v>425</v>
      </c>
      <c r="M1772">
        <v>652</v>
      </c>
      <c r="N1772">
        <v>16</v>
      </c>
      <c r="O1772">
        <v>433</v>
      </c>
      <c r="P1772">
        <v>667</v>
      </c>
      <c r="Q1772">
        <v>152</v>
      </c>
      <c r="R1772">
        <v>414</v>
      </c>
      <c r="S1772">
        <v>61</v>
      </c>
      <c r="T1772" t="s">
        <v>31</v>
      </c>
      <c r="U1772" t="s">
        <v>31</v>
      </c>
      <c r="V1772" t="s">
        <v>31</v>
      </c>
      <c r="W1772" t="s">
        <v>31</v>
      </c>
      <c r="X1772" t="s">
        <v>31</v>
      </c>
      <c r="Y1772" t="s">
        <v>31</v>
      </c>
    </row>
    <row r="1773" spans="1:25" hidden="1">
      <c r="A1773" t="s">
        <v>25</v>
      </c>
      <c r="B1773" t="s">
        <v>26</v>
      </c>
      <c r="C1773" t="s">
        <v>57</v>
      </c>
      <c r="D1773" s="1">
        <v>44541</v>
      </c>
      <c r="E1773" s="2">
        <v>0.66666666666666663</v>
      </c>
      <c r="F1773" t="s">
        <v>52</v>
      </c>
      <c r="G1773" t="s">
        <v>39</v>
      </c>
      <c r="H1773">
        <v>2</v>
      </c>
      <c r="I1773">
        <v>2</v>
      </c>
      <c r="J1773" t="s">
        <v>41</v>
      </c>
      <c r="K1773">
        <v>368</v>
      </c>
      <c r="L1773">
        <v>383</v>
      </c>
      <c r="M1773">
        <v>202</v>
      </c>
      <c r="N1773">
        <v>374</v>
      </c>
      <c r="O1773">
        <v>386</v>
      </c>
      <c r="P1773">
        <v>206</v>
      </c>
      <c r="Q1773">
        <v>349</v>
      </c>
      <c r="R1773">
        <v>36</v>
      </c>
      <c r="S1773">
        <v>199</v>
      </c>
      <c r="T1773" t="s">
        <v>31</v>
      </c>
      <c r="U1773" t="s">
        <v>31</v>
      </c>
      <c r="V1773" t="s">
        <v>31</v>
      </c>
      <c r="W1773" t="s">
        <v>31</v>
      </c>
      <c r="X1773" t="s">
        <v>31</v>
      </c>
      <c r="Y1773" t="s">
        <v>31</v>
      </c>
    </row>
    <row r="1774" spans="1:25" hidden="1">
      <c r="A1774" t="s">
        <v>25</v>
      </c>
      <c r="B1774" t="s">
        <v>26</v>
      </c>
      <c r="C1774" t="s">
        <v>57</v>
      </c>
      <c r="D1774" s="1">
        <v>44541</v>
      </c>
      <c r="E1774" s="2">
        <v>0.66666666666666663</v>
      </c>
      <c r="F1774" t="s">
        <v>38</v>
      </c>
      <c r="G1774" t="s">
        <v>45</v>
      </c>
      <c r="H1774">
        <v>2</v>
      </c>
      <c r="I1774">
        <v>1</v>
      </c>
      <c r="J1774" t="s">
        <v>34</v>
      </c>
      <c r="K1774">
        <v>201</v>
      </c>
      <c r="L1774">
        <v>349</v>
      </c>
      <c r="M1774">
        <v>41</v>
      </c>
      <c r="N1774">
        <v>206</v>
      </c>
      <c r="O1774">
        <v>349</v>
      </c>
      <c r="P1774">
        <v>413</v>
      </c>
      <c r="Q1774">
        <v>201</v>
      </c>
      <c r="R1774">
        <v>326</v>
      </c>
      <c r="S1774">
        <v>384</v>
      </c>
      <c r="T1774" t="s">
        <v>31</v>
      </c>
      <c r="U1774" t="s">
        <v>31</v>
      </c>
      <c r="V1774" t="s">
        <v>31</v>
      </c>
      <c r="W1774" t="s">
        <v>31</v>
      </c>
      <c r="X1774" t="s">
        <v>31</v>
      </c>
      <c r="Y1774" t="s">
        <v>31</v>
      </c>
    </row>
    <row r="1775" spans="1:25" hidden="1">
      <c r="A1775" t="s">
        <v>25</v>
      </c>
      <c r="B1775" t="s">
        <v>26</v>
      </c>
      <c r="C1775" t="s">
        <v>57</v>
      </c>
      <c r="D1775" s="1">
        <v>44541</v>
      </c>
      <c r="E1775" s="2">
        <v>0.66666666666666663</v>
      </c>
      <c r="F1775" t="s">
        <v>29</v>
      </c>
      <c r="G1775" t="s">
        <v>54</v>
      </c>
      <c r="H1775">
        <v>5</v>
      </c>
      <c r="I1775">
        <v>0</v>
      </c>
      <c r="J1775" t="s">
        <v>34</v>
      </c>
      <c r="K1775">
        <v>124</v>
      </c>
      <c r="L1775">
        <v>697</v>
      </c>
      <c r="M1775">
        <v>1123</v>
      </c>
      <c r="N1775">
        <v>124</v>
      </c>
      <c r="O1775">
        <v>75</v>
      </c>
      <c r="P1775">
        <v>15</v>
      </c>
      <c r="Q1775">
        <v>12</v>
      </c>
      <c r="R1775">
        <v>663</v>
      </c>
      <c r="S1775">
        <v>1196</v>
      </c>
      <c r="T1775" t="s">
        <v>31</v>
      </c>
      <c r="U1775" t="s">
        <v>31</v>
      </c>
      <c r="V1775" t="s">
        <v>31</v>
      </c>
      <c r="W1775" t="s">
        <v>31</v>
      </c>
      <c r="X1775" t="s">
        <v>31</v>
      </c>
      <c r="Y1775" t="s">
        <v>31</v>
      </c>
    </row>
    <row r="1776" spans="1:25" hidden="1">
      <c r="A1776" t="s">
        <v>25</v>
      </c>
      <c r="B1776" t="s">
        <v>26</v>
      </c>
      <c r="C1776" t="s">
        <v>57</v>
      </c>
      <c r="D1776" s="1">
        <v>44542</v>
      </c>
      <c r="E1776" s="2">
        <v>0.5625</v>
      </c>
      <c r="F1776" t="s">
        <v>56</v>
      </c>
      <c r="G1776" t="s">
        <v>28</v>
      </c>
      <c r="H1776">
        <v>0</v>
      </c>
      <c r="I1776">
        <v>3</v>
      </c>
      <c r="J1776" t="s">
        <v>30</v>
      </c>
      <c r="K1776">
        <v>428</v>
      </c>
      <c r="L1776">
        <v>412</v>
      </c>
      <c r="M1776">
        <v>181</v>
      </c>
      <c r="N1776">
        <v>434</v>
      </c>
      <c r="O1776">
        <v>413</v>
      </c>
      <c r="P1776">
        <v>185</v>
      </c>
      <c r="Q1776">
        <v>4</v>
      </c>
      <c r="R1776">
        <v>385</v>
      </c>
      <c r="S1776">
        <v>18</v>
      </c>
      <c r="T1776" t="s">
        <v>31</v>
      </c>
      <c r="U1776" t="s">
        <v>31</v>
      </c>
      <c r="V1776" t="s">
        <v>31</v>
      </c>
      <c r="W1776" t="s">
        <v>31</v>
      </c>
      <c r="X1776" t="s">
        <v>31</v>
      </c>
      <c r="Y1776" t="s">
        <v>31</v>
      </c>
    </row>
    <row r="1777" spans="1:25" hidden="1">
      <c r="A1777" t="s">
        <v>25</v>
      </c>
      <c r="B1777" t="s">
        <v>26</v>
      </c>
      <c r="C1777" t="s">
        <v>57</v>
      </c>
      <c r="D1777" s="1">
        <v>44542</v>
      </c>
      <c r="E1777" s="2">
        <v>0.5625</v>
      </c>
      <c r="F1777" t="s">
        <v>37</v>
      </c>
      <c r="G1777" t="s">
        <v>35</v>
      </c>
      <c r="H1777">
        <v>1</v>
      </c>
      <c r="I1777">
        <v>2</v>
      </c>
      <c r="J1777" t="s">
        <v>30</v>
      </c>
      <c r="K1777">
        <v>48</v>
      </c>
      <c r="L1777">
        <v>359</v>
      </c>
      <c r="M1777">
        <v>184</v>
      </c>
      <c r="N1777">
        <v>48</v>
      </c>
      <c r="O1777">
        <v>365</v>
      </c>
      <c r="P1777">
        <v>19</v>
      </c>
      <c r="Q1777">
        <v>441</v>
      </c>
      <c r="R1777">
        <v>346</v>
      </c>
      <c r="S1777">
        <v>182</v>
      </c>
      <c r="T1777" t="s">
        <v>31</v>
      </c>
      <c r="U1777" t="s">
        <v>31</v>
      </c>
      <c r="V1777" t="s">
        <v>31</v>
      </c>
      <c r="W1777" t="s">
        <v>31</v>
      </c>
      <c r="X1777" t="s">
        <v>31</v>
      </c>
      <c r="Y1777" t="s">
        <v>31</v>
      </c>
    </row>
    <row r="1778" spans="1:25" hidden="1">
      <c r="A1778" t="s">
        <v>25</v>
      </c>
      <c r="B1778" t="s">
        <v>26</v>
      </c>
      <c r="C1778" t="s">
        <v>57</v>
      </c>
      <c r="D1778" s="1">
        <v>44542</v>
      </c>
      <c r="E1778" s="2">
        <v>0.66666666666666663</v>
      </c>
      <c r="F1778" t="s">
        <v>40</v>
      </c>
      <c r="G1778" t="s">
        <v>50</v>
      </c>
      <c r="H1778">
        <v>2</v>
      </c>
      <c r="I1778">
        <v>3</v>
      </c>
      <c r="J1778" t="s">
        <v>30</v>
      </c>
      <c r="K1778">
        <v>322</v>
      </c>
      <c r="L1778">
        <v>361</v>
      </c>
      <c r="M1778">
        <v>227</v>
      </c>
      <c r="N1778">
        <v>34</v>
      </c>
      <c r="O1778">
        <v>362</v>
      </c>
      <c r="P1778">
        <v>228</v>
      </c>
      <c r="Q1778">
        <v>317</v>
      </c>
      <c r="R1778">
        <v>339</v>
      </c>
      <c r="S1778">
        <v>219</v>
      </c>
      <c r="T1778" t="s">
        <v>31</v>
      </c>
      <c r="U1778" t="s">
        <v>31</v>
      </c>
      <c r="V1778" t="s">
        <v>31</v>
      </c>
      <c r="W1778" t="s">
        <v>31</v>
      </c>
      <c r="X1778" t="s">
        <v>31</v>
      </c>
      <c r="Y1778" t="s">
        <v>31</v>
      </c>
    </row>
    <row r="1779" spans="1:25" hidden="1">
      <c r="A1779" t="s">
        <v>25</v>
      </c>
      <c r="B1779" t="s">
        <v>26</v>
      </c>
      <c r="C1779" t="s">
        <v>57</v>
      </c>
      <c r="D1779" s="1">
        <v>44603</v>
      </c>
      <c r="E1779" s="2">
        <v>0.77083333333333337</v>
      </c>
      <c r="F1779" t="s">
        <v>35</v>
      </c>
      <c r="G1779" t="s">
        <v>29</v>
      </c>
      <c r="H1779">
        <v>1</v>
      </c>
      <c r="I1779">
        <v>2</v>
      </c>
      <c r="J1779" t="s">
        <v>30</v>
      </c>
      <c r="K1779">
        <v>761</v>
      </c>
      <c r="L1779">
        <v>454</v>
      </c>
      <c r="M1779">
        <v>147</v>
      </c>
      <c r="N1779">
        <v>78</v>
      </c>
      <c r="O1779">
        <v>476</v>
      </c>
      <c r="P1779">
        <v>15</v>
      </c>
      <c r="Q1779">
        <v>692</v>
      </c>
      <c r="R1779">
        <v>44</v>
      </c>
      <c r="S1779">
        <v>145</v>
      </c>
      <c r="T1779" t="s">
        <v>31</v>
      </c>
      <c r="U1779" t="s">
        <v>31</v>
      </c>
      <c r="V1779" t="s">
        <v>31</v>
      </c>
      <c r="W1779" t="s">
        <v>31</v>
      </c>
      <c r="X1779" t="s">
        <v>31</v>
      </c>
      <c r="Y1779" t="s">
        <v>31</v>
      </c>
    </row>
    <row r="1780" spans="1:25" hidden="1">
      <c r="A1780" t="s">
        <v>25</v>
      </c>
      <c r="B1780" t="s">
        <v>26</v>
      </c>
      <c r="C1780" t="s">
        <v>57</v>
      </c>
      <c r="D1780" s="1">
        <v>44604</v>
      </c>
      <c r="E1780" s="2">
        <v>0.66666666666666663</v>
      </c>
      <c r="F1780" t="s">
        <v>45</v>
      </c>
      <c r="G1780" t="s">
        <v>40</v>
      </c>
      <c r="H1780">
        <v>0</v>
      </c>
      <c r="I1780">
        <v>2</v>
      </c>
      <c r="J1780" t="s">
        <v>30</v>
      </c>
      <c r="K1780">
        <v>446</v>
      </c>
      <c r="L1780">
        <v>342</v>
      </c>
      <c r="M1780">
        <v>195</v>
      </c>
      <c r="N1780">
        <v>5</v>
      </c>
      <c r="O1780">
        <v>38</v>
      </c>
      <c r="P1780">
        <v>196</v>
      </c>
      <c r="Q1780">
        <v>428</v>
      </c>
      <c r="R1780">
        <v>329</v>
      </c>
      <c r="S1780">
        <v>19</v>
      </c>
      <c r="T1780" t="s">
        <v>31</v>
      </c>
      <c r="U1780" t="s">
        <v>31</v>
      </c>
      <c r="V1780" t="s">
        <v>31</v>
      </c>
      <c r="W1780" t="s">
        <v>31</v>
      </c>
      <c r="X1780" t="s">
        <v>31</v>
      </c>
      <c r="Y1780" t="s">
        <v>31</v>
      </c>
    </row>
    <row r="1781" spans="1:25" hidden="1">
      <c r="A1781" t="s">
        <v>25</v>
      </c>
      <c r="B1781" t="s">
        <v>26</v>
      </c>
      <c r="C1781" t="s">
        <v>57</v>
      </c>
      <c r="D1781" s="1">
        <v>44604</v>
      </c>
      <c r="E1781" s="2">
        <v>0.66666666666666663</v>
      </c>
      <c r="F1781" t="s">
        <v>54</v>
      </c>
      <c r="G1781" t="s">
        <v>28</v>
      </c>
      <c r="H1781">
        <v>2</v>
      </c>
      <c r="I1781">
        <v>2</v>
      </c>
      <c r="J1781" t="s">
        <v>41</v>
      </c>
      <c r="K1781">
        <v>39</v>
      </c>
      <c r="L1781">
        <v>382</v>
      </c>
      <c r="M1781">
        <v>195</v>
      </c>
      <c r="N1781">
        <v>395</v>
      </c>
      <c r="O1781">
        <v>397</v>
      </c>
      <c r="P1781">
        <v>2</v>
      </c>
      <c r="Q1781">
        <v>364</v>
      </c>
      <c r="R1781">
        <v>365</v>
      </c>
      <c r="S1781">
        <v>194</v>
      </c>
      <c r="T1781" t="s">
        <v>31</v>
      </c>
      <c r="U1781" t="s">
        <v>31</v>
      </c>
      <c r="V1781" t="s">
        <v>31</v>
      </c>
      <c r="W1781" t="s">
        <v>31</v>
      </c>
      <c r="X1781" t="s">
        <v>31</v>
      </c>
      <c r="Y1781" t="s">
        <v>31</v>
      </c>
    </row>
    <row r="1782" spans="1:25" hidden="1">
      <c r="A1782" t="s">
        <v>25</v>
      </c>
      <c r="B1782" t="s">
        <v>26</v>
      </c>
      <c r="C1782" t="s">
        <v>57</v>
      </c>
      <c r="D1782" s="1">
        <v>44604</v>
      </c>
      <c r="E1782" s="2">
        <v>0.66666666666666663</v>
      </c>
      <c r="F1782" t="s">
        <v>39</v>
      </c>
      <c r="G1782" t="s">
        <v>38</v>
      </c>
      <c r="H1782">
        <v>2</v>
      </c>
      <c r="I1782">
        <v>1</v>
      </c>
      <c r="J1782" t="s">
        <v>34</v>
      </c>
      <c r="K1782">
        <v>168</v>
      </c>
      <c r="L1782">
        <v>399</v>
      </c>
      <c r="M1782">
        <v>546</v>
      </c>
      <c r="N1782">
        <v>17</v>
      </c>
      <c r="O1782">
        <v>423</v>
      </c>
      <c r="P1782">
        <v>546</v>
      </c>
      <c r="Q1782">
        <v>164</v>
      </c>
      <c r="R1782">
        <v>392</v>
      </c>
      <c r="S1782">
        <v>495</v>
      </c>
      <c r="T1782" t="s">
        <v>31</v>
      </c>
      <c r="U1782" t="s">
        <v>31</v>
      </c>
      <c r="V1782" t="s">
        <v>31</v>
      </c>
      <c r="W1782" t="s">
        <v>31</v>
      </c>
      <c r="X1782" t="s">
        <v>31</v>
      </c>
      <c r="Y1782" t="s">
        <v>31</v>
      </c>
    </row>
    <row r="1783" spans="1:25" hidden="1">
      <c r="A1783" t="s">
        <v>25</v>
      </c>
      <c r="B1783" t="s">
        <v>26</v>
      </c>
      <c r="C1783" t="s">
        <v>57</v>
      </c>
      <c r="D1783" s="1">
        <v>44605</v>
      </c>
      <c r="E1783" s="2">
        <v>0.5625</v>
      </c>
      <c r="F1783" t="s">
        <v>52</v>
      </c>
      <c r="G1783" t="s">
        <v>37</v>
      </c>
      <c r="H1783">
        <v>1</v>
      </c>
      <c r="I1783">
        <v>1</v>
      </c>
      <c r="J1783" t="s">
        <v>41</v>
      </c>
      <c r="K1783">
        <v>282</v>
      </c>
      <c r="L1783">
        <v>318</v>
      </c>
      <c r="M1783">
        <v>279</v>
      </c>
      <c r="N1783">
        <v>283</v>
      </c>
      <c r="O1783">
        <v>337</v>
      </c>
      <c r="P1783">
        <v>296</v>
      </c>
      <c r="Q1783">
        <v>264</v>
      </c>
      <c r="R1783">
        <v>314</v>
      </c>
      <c r="S1783">
        <v>273</v>
      </c>
      <c r="T1783" t="s">
        <v>31</v>
      </c>
      <c r="U1783" t="s">
        <v>31</v>
      </c>
      <c r="V1783" t="s">
        <v>31</v>
      </c>
      <c r="W1783" t="s">
        <v>31</v>
      </c>
      <c r="X1783" t="s">
        <v>31</v>
      </c>
      <c r="Y1783" t="s">
        <v>31</v>
      </c>
    </row>
    <row r="1784" spans="1:25" hidden="1">
      <c r="A1784" t="s">
        <v>25</v>
      </c>
      <c r="B1784" t="s">
        <v>26</v>
      </c>
      <c r="C1784" t="s">
        <v>57</v>
      </c>
      <c r="D1784" s="1">
        <v>44605</v>
      </c>
      <c r="E1784" s="2">
        <v>0.66666666666666663</v>
      </c>
      <c r="F1784" t="s">
        <v>50</v>
      </c>
      <c r="G1784" t="s">
        <v>56</v>
      </c>
      <c r="H1784">
        <v>2</v>
      </c>
      <c r="I1784">
        <v>2</v>
      </c>
      <c r="J1784" t="s">
        <v>41</v>
      </c>
      <c r="K1784">
        <v>146</v>
      </c>
      <c r="L1784">
        <v>501</v>
      </c>
      <c r="M1784">
        <v>68</v>
      </c>
      <c r="N1784">
        <v>15</v>
      </c>
      <c r="O1784">
        <v>505</v>
      </c>
      <c r="P1784">
        <v>75</v>
      </c>
      <c r="Q1784">
        <v>141</v>
      </c>
      <c r="R1784">
        <v>484</v>
      </c>
      <c r="S1784">
        <v>668</v>
      </c>
      <c r="T1784" t="s">
        <v>31</v>
      </c>
      <c r="U1784" t="s">
        <v>31</v>
      </c>
      <c r="V1784" t="s">
        <v>31</v>
      </c>
      <c r="W1784" t="s">
        <v>31</v>
      </c>
      <c r="X1784" t="s">
        <v>31</v>
      </c>
      <c r="Y1784" t="s">
        <v>31</v>
      </c>
    </row>
    <row r="1785" spans="1:25" hidden="1">
      <c r="A1785" t="s">
        <v>25</v>
      </c>
      <c r="B1785" t="s">
        <v>26</v>
      </c>
      <c r="C1785" t="s">
        <v>57</v>
      </c>
      <c r="D1785" s="1">
        <v>44611</v>
      </c>
      <c r="E1785" s="2">
        <v>0.66666666666666663</v>
      </c>
      <c r="F1785" t="s">
        <v>37</v>
      </c>
      <c r="G1785" t="s">
        <v>50</v>
      </c>
      <c r="H1785">
        <v>0</v>
      </c>
      <c r="I1785">
        <v>3</v>
      </c>
      <c r="J1785" t="s">
        <v>30</v>
      </c>
      <c r="K1785">
        <v>433</v>
      </c>
      <c r="L1785">
        <v>366</v>
      </c>
      <c r="M1785">
        <v>19</v>
      </c>
      <c r="N1785">
        <v>433</v>
      </c>
      <c r="O1785">
        <v>38</v>
      </c>
      <c r="P1785">
        <v>202</v>
      </c>
      <c r="Q1785">
        <v>39</v>
      </c>
      <c r="R1785">
        <v>355</v>
      </c>
      <c r="S1785">
        <v>191</v>
      </c>
      <c r="T1785" t="s">
        <v>31</v>
      </c>
      <c r="U1785" t="s">
        <v>31</v>
      </c>
      <c r="V1785" t="s">
        <v>31</v>
      </c>
      <c r="W1785" t="s">
        <v>31</v>
      </c>
      <c r="X1785" t="s">
        <v>31</v>
      </c>
      <c r="Y1785" t="s">
        <v>31</v>
      </c>
    </row>
    <row r="1786" spans="1:25" hidden="1">
      <c r="A1786" t="s">
        <v>25</v>
      </c>
      <c r="B1786" t="s">
        <v>26</v>
      </c>
      <c r="C1786" t="s">
        <v>57</v>
      </c>
      <c r="D1786" s="1">
        <v>44611</v>
      </c>
      <c r="E1786" s="2">
        <v>0.66666666666666663</v>
      </c>
      <c r="F1786" t="s">
        <v>40</v>
      </c>
      <c r="G1786" t="s">
        <v>52</v>
      </c>
      <c r="H1786">
        <v>2</v>
      </c>
      <c r="I1786">
        <v>0</v>
      </c>
      <c r="J1786" t="s">
        <v>34</v>
      </c>
      <c r="K1786">
        <v>178</v>
      </c>
      <c r="L1786">
        <v>382</v>
      </c>
      <c r="M1786">
        <v>486</v>
      </c>
      <c r="N1786">
        <v>179</v>
      </c>
      <c r="O1786">
        <v>404</v>
      </c>
      <c r="P1786">
        <v>528</v>
      </c>
      <c r="Q1786">
        <v>17</v>
      </c>
      <c r="R1786">
        <v>379</v>
      </c>
      <c r="S1786">
        <v>48</v>
      </c>
      <c r="T1786" t="s">
        <v>31</v>
      </c>
      <c r="U1786" t="s">
        <v>31</v>
      </c>
      <c r="V1786" t="s">
        <v>31</v>
      </c>
      <c r="W1786" t="s">
        <v>31</v>
      </c>
      <c r="X1786" t="s">
        <v>31</v>
      </c>
      <c r="Y1786" t="s">
        <v>31</v>
      </c>
    </row>
    <row r="1787" spans="1:25" hidden="1">
      <c r="A1787" t="s">
        <v>25</v>
      </c>
      <c r="B1787" t="s">
        <v>26</v>
      </c>
      <c r="C1787" t="s">
        <v>57</v>
      </c>
      <c r="D1787" s="1">
        <v>44611</v>
      </c>
      <c r="E1787" s="2">
        <v>0.66666666666666663</v>
      </c>
      <c r="F1787" t="s">
        <v>38</v>
      </c>
      <c r="G1787" t="s">
        <v>54</v>
      </c>
      <c r="H1787">
        <v>3</v>
      </c>
      <c r="I1787">
        <v>2</v>
      </c>
      <c r="J1787" t="s">
        <v>34</v>
      </c>
      <c r="K1787">
        <v>213</v>
      </c>
      <c r="L1787">
        <v>387</v>
      </c>
      <c r="M1787">
        <v>333</v>
      </c>
      <c r="N1787">
        <v>232</v>
      </c>
      <c r="O1787">
        <v>391</v>
      </c>
      <c r="P1787">
        <v>34</v>
      </c>
      <c r="Q1787">
        <v>215</v>
      </c>
      <c r="R1787">
        <v>361</v>
      </c>
      <c r="S1787">
        <v>313</v>
      </c>
      <c r="T1787" t="s">
        <v>31</v>
      </c>
      <c r="U1787" t="s">
        <v>31</v>
      </c>
      <c r="V1787" t="s">
        <v>31</v>
      </c>
      <c r="W1787" t="s">
        <v>31</v>
      </c>
      <c r="X1787" t="s">
        <v>31</v>
      </c>
      <c r="Y1787" t="s">
        <v>31</v>
      </c>
    </row>
    <row r="1788" spans="1:25" hidden="1">
      <c r="A1788" t="s">
        <v>25</v>
      </c>
      <c r="B1788" t="s">
        <v>26</v>
      </c>
      <c r="C1788" t="s">
        <v>57</v>
      </c>
      <c r="D1788" s="1">
        <v>44612</v>
      </c>
      <c r="E1788" s="2">
        <v>0.5625</v>
      </c>
      <c r="F1788" t="s">
        <v>56</v>
      </c>
      <c r="G1788" t="s">
        <v>45</v>
      </c>
      <c r="H1788">
        <v>2</v>
      </c>
      <c r="I1788">
        <v>0</v>
      </c>
      <c r="J1788" t="s">
        <v>34</v>
      </c>
      <c r="K1788">
        <v>218</v>
      </c>
      <c r="L1788">
        <v>341</v>
      </c>
      <c r="M1788">
        <v>362</v>
      </c>
      <c r="N1788">
        <v>22</v>
      </c>
      <c r="O1788">
        <v>386</v>
      </c>
      <c r="P1788">
        <v>377</v>
      </c>
      <c r="Q1788">
        <v>209</v>
      </c>
      <c r="R1788">
        <v>339</v>
      </c>
      <c r="S1788">
        <v>346</v>
      </c>
      <c r="T1788" t="s">
        <v>31</v>
      </c>
      <c r="U1788" t="s">
        <v>31</v>
      </c>
      <c r="V1788" t="s">
        <v>31</v>
      </c>
      <c r="W1788" t="s">
        <v>31</v>
      </c>
      <c r="X1788" t="s">
        <v>31</v>
      </c>
      <c r="Y1788" t="s">
        <v>31</v>
      </c>
    </row>
    <row r="1789" spans="1:25" hidden="1">
      <c r="A1789" t="s">
        <v>25</v>
      </c>
      <c r="B1789" t="s">
        <v>26</v>
      </c>
      <c r="C1789" t="s">
        <v>57</v>
      </c>
      <c r="D1789" s="1">
        <v>44612</v>
      </c>
      <c r="E1789" s="2">
        <v>0.5625</v>
      </c>
      <c r="F1789" t="s">
        <v>29</v>
      </c>
      <c r="G1789" t="s">
        <v>39</v>
      </c>
      <c r="H1789">
        <v>2</v>
      </c>
      <c r="I1789">
        <v>0</v>
      </c>
      <c r="J1789" t="s">
        <v>34</v>
      </c>
      <c r="K1789">
        <v>131</v>
      </c>
      <c r="L1789">
        <v>602</v>
      </c>
      <c r="M1789">
        <v>96</v>
      </c>
      <c r="N1789">
        <v>135</v>
      </c>
      <c r="O1789">
        <v>64</v>
      </c>
      <c r="P1789">
        <v>12</v>
      </c>
      <c r="Q1789">
        <v>127</v>
      </c>
      <c r="R1789">
        <v>58</v>
      </c>
      <c r="S1789">
        <v>965</v>
      </c>
      <c r="T1789" t="s">
        <v>31</v>
      </c>
      <c r="U1789" t="s">
        <v>31</v>
      </c>
      <c r="V1789" t="s">
        <v>31</v>
      </c>
      <c r="W1789" t="s">
        <v>31</v>
      </c>
      <c r="X1789" t="s">
        <v>31</v>
      </c>
      <c r="Y1789" t="s">
        <v>31</v>
      </c>
    </row>
    <row r="1790" spans="1:25" hidden="1">
      <c r="A1790" t="s">
        <v>25</v>
      </c>
      <c r="B1790" t="s">
        <v>26</v>
      </c>
      <c r="C1790" t="s">
        <v>57</v>
      </c>
      <c r="D1790" s="1">
        <v>44612</v>
      </c>
      <c r="E1790" s="2">
        <v>0.66666666666666663</v>
      </c>
      <c r="F1790" t="s">
        <v>28</v>
      </c>
      <c r="G1790" t="s">
        <v>35</v>
      </c>
      <c r="H1790">
        <v>2</v>
      </c>
      <c r="I1790">
        <v>2</v>
      </c>
      <c r="J1790" t="s">
        <v>41</v>
      </c>
      <c r="K1790">
        <v>185</v>
      </c>
      <c r="L1790">
        <v>388</v>
      </c>
      <c r="M1790">
        <v>431</v>
      </c>
      <c r="N1790">
        <v>206</v>
      </c>
      <c r="O1790">
        <v>4</v>
      </c>
      <c r="P1790">
        <v>431</v>
      </c>
      <c r="Q1790">
        <v>186</v>
      </c>
      <c r="R1790">
        <v>372</v>
      </c>
      <c r="S1790">
        <v>392</v>
      </c>
      <c r="T1790" t="s">
        <v>31</v>
      </c>
      <c r="U1790" t="s">
        <v>31</v>
      </c>
      <c r="V1790" t="s">
        <v>31</v>
      </c>
      <c r="W1790" t="s">
        <v>31</v>
      </c>
      <c r="X1790" t="s">
        <v>31</v>
      </c>
      <c r="Y1790" t="s">
        <v>31</v>
      </c>
    </row>
    <row r="1791" spans="1:25" hidden="1">
      <c r="A1791" t="s">
        <v>25</v>
      </c>
      <c r="B1791" t="s">
        <v>26</v>
      </c>
      <c r="C1791" t="s">
        <v>57</v>
      </c>
      <c r="D1791" s="1">
        <v>44618</v>
      </c>
      <c r="E1791" s="2">
        <v>0.66666666666666663</v>
      </c>
      <c r="F1791" t="s">
        <v>45</v>
      </c>
      <c r="G1791" t="s">
        <v>37</v>
      </c>
      <c r="H1791">
        <v>0</v>
      </c>
      <c r="I1791">
        <v>2</v>
      </c>
      <c r="J1791" t="s">
        <v>30</v>
      </c>
      <c r="K1791">
        <v>357</v>
      </c>
      <c r="L1791">
        <v>319</v>
      </c>
      <c r="M1791">
        <v>23</v>
      </c>
      <c r="N1791">
        <v>357</v>
      </c>
      <c r="O1791">
        <v>327</v>
      </c>
      <c r="P1791">
        <v>237</v>
      </c>
      <c r="Q1791">
        <v>332</v>
      </c>
      <c r="R1791">
        <v>31</v>
      </c>
      <c r="S1791">
        <v>227</v>
      </c>
      <c r="T1791" t="s">
        <v>31</v>
      </c>
      <c r="U1791" t="s">
        <v>31</v>
      </c>
      <c r="V1791" t="s">
        <v>31</v>
      </c>
      <c r="W1791" t="s">
        <v>31</v>
      </c>
      <c r="X1791" t="s">
        <v>31</v>
      </c>
      <c r="Y1791" t="s">
        <v>31</v>
      </c>
    </row>
    <row r="1792" spans="1:25" hidden="1">
      <c r="A1792" t="s">
        <v>25</v>
      </c>
      <c r="B1792" t="s">
        <v>26</v>
      </c>
      <c r="C1792" t="s">
        <v>57</v>
      </c>
      <c r="D1792" s="1">
        <v>44619</v>
      </c>
      <c r="E1792" s="2">
        <v>0.66666666666666663</v>
      </c>
      <c r="F1792" t="s">
        <v>56</v>
      </c>
      <c r="G1792" t="s">
        <v>38</v>
      </c>
      <c r="H1792">
        <v>1</v>
      </c>
      <c r="I1792">
        <v>1</v>
      </c>
      <c r="J1792" t="s">
        <v>41</v>
      </c>
      <c r="K1792">
        <v>296</v>
      </c>
      <c r="L1792">
        <v>338</v>
      </c>
      <c r="M1792">
        <v>254</v>
      </c>
      <c r="N1792">
        <v>296</v>
      </c>
      <c r="O1792">
        <v>347</v>
      </c>
      <c r="P1792">
        <v>278</v>
      </c>
      <c r="Q1792">
        <v>28</v>
      </c>
      <c r="R1792">
        <v>33</v>
      </c>
      <c r="S1792">
        <v>249</v>
      </c>
      <c r="T1792" t="s">
        <v>31</v>
      </c>
      <c r="U1792" t="s">
        <v>31</v>
      </c>
      <c r="V1792" t="s">
        <v>31</v>
      </c>
      <c r="W1792" t="s">
        <v>31</v>
      </c>
      <c r="X1792" t="s">
        <v>31</v>
      </c>
      <c r="Y1792" t="s">
        <v>31</v>
      </c>
    </row>
    <row r="1793" spans="1:25" hidden="1">
      <c r="A1793" t="s">
        <v>25</v>
      </c>
      <c r="B1793" t="s">
        <v>26</v>
      </c>
      <c r="C1793" t="s">
        <v>57</v>
      </c>
      <c r="D1793" s="1">
        <v>44619</v>
      </c>
      <c r="E1793" s="2">
        <v>0.66666666666666663</v>
      </c>
      <c r="F1793" t="s">
        <v>40</v>
      </c>
      <c r="G1793" t="s">
        <v>39</v>
      </c>
      <c r="H1793">
        <v>1</v>
      </c>
      <c r="I1793">
        <v>0</v>
      </c>
      <c r="J1793" t="s">
        <v>34</v>
      </c>
      <c r="K1793">
        <v>224</v>
      </c>
      <c r="L1793">
        <v>356</v>
      </c>
      <c r="M1793">
        <v>333</v>
      </c>
      <c r="N1793">
        <v>225</v>
      </c>
      <c r="O1793">
        <v>358</v>
      </c>
      <c r="P1793">
        <v>34</v>
      </c>
      <c r="Q1793">
        <v>219</v>
      </c>
      <c r="R1793">
        <v>341</v>
      </c>
      <c r="S1793">
        <v>319</v>
      </c>
      <c r="T1793" t="s">
        <v>31</v>
      </c>
      <c r="U1793" t="s">
        <v>31</v>
      </c>
      <c r="V1793" t="s">
        <v>31</v>
      </c>
      <c r="W1793" t="s">
        <v>31</v>
      </c>
      <c r="X1793" t="s">
        <v>31</v>
      </c>
      <c r="Y1793" t="s">
        <v>31</v>
      </c>
    </row>
    <row r="1794" spans="1:25" hidden="1">
      <c r="A1794" t="s">
        <v>25</v>
      </c>
      <c r="B1794" t="s">
        <v>26</v>
      </c>
      <c r="C1794" t="s">
        <v>57</v>
      </c>
      <c r="D1794" s="1">
        <v>44619</v>
      </c>
      <c r="E1794" s="2">
        <v>0.66666666666666663</v>
      </c>
      <c r="F1794" t="s">
        <v>28</v>
      </c>
      <c r="G1794" t="s">
        <v>52</v>
      </c>
      <c r="H1794">
        <v>3</v>
      </c>
      <c r="I1794">
        <v>0</v>
      </c>
      <c r="J1794" t="s">
        <v>34</v>
      </c>
      <c r="K1794">
        <v>16</v>
      </c>
      <c r="L1794">
        <v>431</v>
      </c>
      <c r="M1794">
        <v>576</v>
      </c>
      <c r="N1794">
        <v>16</v>
      </c>
      <c r="O1794">
        <v>443</v>
      </c>
      <c r="P1794">
        <v>6</v>
      </c>
      <c r="Q1794">
        <v>156</v>
      </c>
      <c r="R1794">
        <v>423</v>
      </c>
      <c r="S1794">
        <v>541</v>
      </c>
      <c r="T1794" t="s">
        <v>31</v>
      </c>
      <c r="U1794" t="s">
        <v>31</v>
      </c>
      <c r="V1794" t="s">
        <v>31</v>
      </c>
      <c r="W1794" t="s">
        <v>31</v>
      </c>
      <c r="X1794" t="s">
        <v>31</v>
      </c>
      <c r="Y1794" t="s">
        <v>31</v>
      </c>
    </row>
    <row r="1795" spans="1:25" hidden="1">
      <c r="A1795" t="s">
        <v>25</v>
      </c>
      <c r="B1795" t="s">
        <v>26</v>
      </c>
      <c r="C1795" t="s">
        <v>57</v>
      </c>
      <c r="D1795" s="1">
        <v>44619</v>
      </c>
      <c r="E1795" s="2">
        <v>0.66666666666666663</v>
      </c>
      <c r="F1795" t="s">
        <v>54</v>
      </c>
      <c r="G1795" t="s">
        <v>35</v>
      </c>
      <c r="H1795">
        <v>0</v>
      </c>
      <c r="I1795">
        <v>2</v>
      </c>
      <c r="J1795" t="s">
        <v>30</v>
      </c>
      <c r="K1795">
        <v>343</v>
      </c>
      <c r="L1795">
        <v>387</v>
      </c>
      <c r="M1795">
        <v>209</v>
      </c>
      <c r="N1795">
        <v>36</v>
      </c>
      <c r="O1795">
        <v>4</v>
      </c>
      <c r="P1795">
        <v>211</v>
      </c>
      <c r="Q1795">
        <v>331</v>
      </c>
      <c r="R1795">
        <v>376</v>
      </c>
      <c r="S1795">
        <v>202</v>
      </c>
      <c r="T1795" t="s">
        <v>31</v>
      </c>
      <c r="U1795" t="s">
        <v>31</v>
      </c>
      <c r="V1795" t="s">
        <v>31</v>
      </c>
      <c r="W1795" t="s">
        <v>31</v>
      </c>
      <c r="X1795" t="s">
        <v>31</v>
      </c>
      <c r="Y1795" t="s">
        <v>31</v>
      </c>
    </row>
    <row r="1796" spans="1:25" hidden="1">
      <c r="A1796" t="s">
        <v>25</v>
      </c>
      <c r="B1796" t="s">
        <v>26</v>
      </c>
      <c r="C1796" t="s">
        <v>57</v>
      </c>
      <c r="D1796" s="1">
        <v>44622</v>
      </c>
      <c r="E1796" s="2">
        <v>0.8125</v>
      </c>
      <c r="F1796" t="s">
        <v>50</v>
      </c>
      <c r="G1796" t="s">
        <v>29</v>
      </c>
      <c r="H1796">
        <v>0</v>
      </c>
      <c r="I1796">
        <v>0</v>
      </c>
      <c r="J1796" t="s">
        <v>41</v>
      </c>
      <c r="K1796">
        <v>4</v>
      </c>
      <c r="L1796">
        <v>394</v>
      </c>
      <c r="M1796">
        <v>19</v>
      </c>
      <c r="N1796">
        <v>42</v>
      </c>
      <c r="O1796">
        <v>4</v>
      </c>
      <c r="P1796">
        <v>2</v>
      </c>
      <c r="Q1796">
        <v>381</v>
      </c>
      <c r="R1796">
        <v>378</v>
      </c>
      <c r="S1796">
        <v>186</v>
      </c>
      <c r="T1796" t="s">
        <v>31</v>
      </c>
      <c r="U1796" t="s">
        <v>31</v>
      </c>
      <c r="V1796" t="s">
        <v>31</v>
      </c>
      <c r="W1796" t="s">
        <v>31</v>
      </c>
      <c r="X1796" t="s">
        <v>31</v>
      </c>
      <c r="Y1796" t="s">
        <v>31</v>
      </c>
    </row>
    <row r="1797" spans="1:25" hidden="1">
      <c r="A1797" t="s">
        <v>25</v>
      </c>
      <c r="B1797" t="s">
        <v>26</v>
      </c>
      <c r="C1797" t="s">
        <v>57</v>
      </c>
      <c r="D1797" s="1">
        <v>44625</v>
      </c>
      <c r="E1797" s="2">
        <v>0.66666666666666663</v>
      </c>
      <c r="F1797" t="s">
        <v>29</v>
      </c>
      <c r="G1797" t="s">
        <v>45</v>
      </c>
      <c r="H1797">
        <v>4</v>
      </c>
      <c r="I1797">
        <v>0</v>
      </c>
      <c r="J1797" t="s">
        <v>34</v>
      </c>
      <c r="K1797">
        <v>116</v>
      </c>
      <c r="L1797">
        <v>829</v>
      </c>
      <c r="M1797">
        <v>2021</v>
      </c>
      <c r="N1797">
        <v>12</v>
      </c>
      <c r="O1797">
        <v>859</v>
      </c>
      <c r="P1797">
        <v>21</v>
      </c>
      <c r="Q1797">
        <v>116</v>
      </c>
      <c r="R1797">
        <v>772</v>
      </c>
      <c r="S1797">
        <v>153</v>
      </c>
      <c r="T1797" t="s">
        <v>31</v>
      </c>
      <c r="U1797" t="s">
        <v>31</v>
      </c>
      <c r="V1797" t="s">
        <v>31</v>
      </c>
      <c r="W1797" t="s">
        <v>31</v>
      </c>
      <c r="X1797" t="s">
        <v>31</v>
      </c>
      <c r="Y1797" t="s">
        <v>31</v>
      </c>
    </row>
    <row r="1798" spans="1:25" hidden="1">
      <c r="A1798" t="s">
        <v>25</v>
      </c>
      <c r="B1798" t="s">
        <v>26</v>
      </c>
      <c r="C1798" t="s">
        <v>57</v>
      </c>
      <c r="D1798" s="1">
        <v>44626</v>
      </c>
      <c r="E1798" s="2">
        <v>0.66666666666666663</v>
      </c>
      <c r="F1798" t="s">
        <v>37</v>
      </c>
      <c r="G1798" t="s">
        <v>40</v>
      </c>
      <c r="H1798">
        <v>1</v>
      </c>
      <c r="I1798">
        <v>2</v>
      </c>
      <c r="J1798" t="s">
        <v>30</v>
      </c>
      <c r="K1798">
        <v>311</v>
      </c>
      <c r="L1798">
        <v>316</v>
      </c>
      <c r="M1798">
        <v>257</v>
      </c>
      <c r="N1798">
        <v>33</v>
      </c>
      <c r="O1798">
        <v>339</v>
      </c>
      <c r="P1798">
        <v>257</v>
      </c>
      <c r="Q1798">
        <v>299</v>
      </c>
      <c r="R1798">
        <v>313</v>
      </c>
      <c r="S1798">
        <v>244</v>
      </c>
      <c r="T1798" t="s">
        <v>31</v>
      </c>
      <c r="U1798" t="s">
        <v>31</v>
      </c>
      <c r="V1798" t="s">
        <v>31</v>
      </c>
      <c r="W1798" t="s">
        <v>31</v>
      </c>
      <c r="X1798" t="s">
        <v>31</v>
      </c>
      <c r="Y1798" t="s">
        <v>31</v>
      </c>
    </row>
    <row r="1799" spans="1:25" hidden="1">
      <c r="A1799" t="s">
        <v>25</v>
      </c>
      <c r="B1799" t="s">
        <v>26</v>
      </c>
      <c r="C1799" t="s">
        <v>57</v>
      </c>
      <c r="D1799" s="1">
        <v>44626</v>
      </c>
      <c r="E1799" s="2">
        <v>0.66666666666666663</v>
      </c>
      <c r="F1799" t="s">
        <v>52</v>
      </c>
      <c r="G1799" t="s">
        <v>54</v>
      </c>
      <c r="H1799">
        <v>0</v>
      </c>
      <c r="I1799">
        <v>1</v>
      </c>
      <c r="J1799" t="s">
        <v>30</v>
      </c>
      <c r="K1799">
        <v>236</v>
      </c>
      <c r="L1799">
        <v>377</v>
      </c>
      <c r="M1799">
        <v>296</v>
      </c>
      <c r="N1799">
        <v>255</v>
      </c>
      <c r="O1799">
        <v>377</v>
      </c>
      <c r="P1799">
        <v>3</v>
      </c>
      <c r="Q1799">
        <v>234</v>
      </c>
      <c r="R1799">
        <v>359</v>
      </c>
      <c r="S1799">
        <v>282</v>
      </c>
      <c r="T1799" t="s">
        <v>31</v>
      </c>
      <c r="U1799" t="s">
        <v>31</v>
      </c>
      <c r="V1799" t="s">
        <v>31</v>
      </c>
      <c r="W1799" t="s">
        <v>31</v>
      </c>
      <c r="X1799" t="s">
        <v>31</v>
      </c>
      <c r="Y1799" t="s">
        <v>31</v>
      </c>
    </row>
    <row r="1800" spans="1:25" hidden="1">
      <c r="A1800" t="s">
        <v>25</v>
      </c>
      <c r="B1800" t="s">
        <v>26</v>
      </c>
      <c r="C1800" t="s">
        <v>57</v>
      </c>
      <c r="D1800" s="1">
        <v>44626</v>
      </c>
      <c r="E1800" s="2">
        <v>0.66666666666666663</v>
      </c>
      <c r="F1800" t="s">
        <v>35</v>
      </c>
      <c r="G1800" t="s">
        <v>56</v>
      </c>
      <c r="H1800">
        <v>3</v>
      </c>
      <c r="I1800">
        <v>0</v>
      </c>
      <c r="J1800" t="s">
        <v>34</v>
      </c>
      <c r="K1800">
        <v>168</v>
      </c>
      <c r="L1800">
        <v>421</v>
      </c>
      <c r="M1800">
        <v>509</v>
      </c>
      <c r="N1800">
        <v>168</v>
      </c>
      <c r="O1800">
        <v>433</v>
      </c>
      <c r="P1800">
        <v>54</v>
      </c>
      <c r="Q1800">
        <v>164</v>
      </c>
      <c r="R1800">
        <v>406</v>
      </c>
      <c r="S1800">
        <v>483</v>
      </c>
      <c r="T1800" t="s">
        <v>31</v>
      </c>
      <c r="U1800" t="s">
        <v>31</v>
      </c>
      <c r="V1800" t="s">
        <v>31</v>
      </c>
      <c r="W1800" t="s">
        <v>31</v>
      </c>
      <c r="X1800" t="s">
        <v>31</v>
      </c>
      <c r="Y1800" t="s">
        <v>31</v>
      </c>
    </row>
    <row r="1801" spans="1:25" hidden="1">
      <c r="A1801" t="s">
        <v>25</v>
      </c>
      <c r="B1801" t="s">
        <v>26</v>
      </c>
      <c r="C1801" t="s">
        <v>57</v>
      </c>
      <c r="D1801" s="1">
        <v>44626</v>
      </c>
      <c r="E1801" s="2">
        <v>0.66666666666666663</v>
      </c>
      <c r="F1801" t="s">
        <v>38</v>
      </c>
      <c r="G1801" t="s">
        <v>28</v>
      </c>
      <c r="H1801">
        <v>2</v>
      </c>
      <c r="I1801">
        <v>2</v>
      </c>
      <c r="J1801" t="s">
        <v>41</v>
      </c>
      <c r="K1801">
        <v>322</v>
      </c>
      <c r="L1801">
        <v>341</v>
      </c>
      <c r="M1801">
        <v>236</v>
      </c>
      <c r="N1801">
        <v>33</v>
      </c>
      <c r="O1801">
        <v>361</v>
      </c>
      <c r="P1801">
        <v>245</v>
      </c>
      <c r="Q1801">
        <v>306</v>
      </c>
      <c r="R1801">
        <v>337</v>
      </c>
      <c r="S1801">
        <v>228</v>
      </c>
      <c r="T1801" t="s">
        <v>31</v>
      </c>
      <c r="U1801" t="s">
        <v>31</v>
      </c>
      <c r="V1801" t="s">
        <v>31</v>
      </c>
      <c r="W1801" t="s">
        <v>31</v>
      </c>
      <c r="X1801" t="s">
        <v>31</v>
      </c>
      <c r="Y1801" t="s">
        <v>31</v>
      </c>
    </row>
    <row r="1802" spans="1:25" hidden="1">
      <c r="A1802" t="s">
        <v>25</v>
      </c>
      <c r="B1802" t="s">
        <v>26</v>
      </c>
      <c r="C1802" t="s">
        <v>57</v>
      </c>
      <c r="D1802" s="1">
        <v>44626</v>
      </c>
      <c r="E1802" s="2">
        <v>0.66666666666666663</v>
      </c>
      <c r="F1802" t="s">
        <v>39</v>
      </c>
      <c r="G1802" t="s">
        <v>50</v>
      </c>
      <c r="H1802">
        <v>1</v>
      </c>
      <c r="I1802">
        <v>0</v>
      </c>
      <c r="J1802" t="s">
        <v>34</v>
      </c>
      <c r="K1802">
        <v>324</v>
      </c>
      <c r="L1802">
        <v>398</v>
      </c>
      <c r="M1802">
        <v>213</v>
      </c>
      <c r="N1802">
        <v>325</v>
      </c>
      <c r="O1802">
        <v>398</v>
      </c>
      <c r="P1802">
        <v>24</v>
      </c>
      <c r="Q1802">
        <v>305</v>
      </c>
      <c r="R1802">
        <v>368</v>
      </c>
      <c r="S1802">
        <v>216</v>
      </c>
      <c r="T1802" t="s">
        <v>31</v>
      </c>
      <c r="U1802" t="s">
        <v>31</v>
      </c>
      <c r="V1802" t="s">
        <v>31</v>
      </c>
      <c r="W1802" t="s">
        <v>31</v>
      </c>
      <c r="X1802" t="s">
        <v>31</v>
      </c>
      <c r="Y1802" t="s">
        <v>31</v>
      </c>
    </row>
    <row r="1803" spans="1:25" hidden="1">
      <c r="A1803" t="s">
        <v>25</v>
      </c>
      <c r="B1803" t="s">
        <v>26</v>
      </c>
      <c r="C1803" t="s">
        <v>57</v>
      </c>
      <c r="D1803" s="1">
        <v>44632</v>
      </c>
      <c r="E1803" s="2">
        <v>0.66666666666666663</v>
      </c>
      <c r="F1803" t="s">
        <v>37</v>
      </c>
      <c r="G1803" t="s">
        <v>38</v>
      </c>
      <c r="H1803">
        <v>2</v>
      </c>
      <c r="I1803">
        <v>0</v>
      </c>
      <c r="J1803" t="s">
        <v>34</v>
      </c>
      <c r="K1803">
        <v>226</v>
      </c>
      <c r="L1803">
        <v>334</v>
      </c>
      <c r="M1803">
        <v>35</v>
      </c>
      <c r="N1803">
        <v>238</v>
      </c>
      <c r="O1803">
        <v>339</v>
      </c>
      <c r="P1803">
        <v>35</v>
      </c>
      <c r="Q1803">
        <v>229</v>
      </c>
      <c r="R1803">
        <v>322</v>
      </c>
      <c r="S1803">
        <v>316</v>
      </c>
      <c r="T1803" t="s">
        <v>31</v>
      </c>
      <c r="U1803" t="s">
        <v>31</v>
      </c>
      <c r="V1803" t="s">
        <v>31</v>
      </c>
      <c r="W1803" t="s">
        <v>31</v>
      </c>
      <c r="X1803" t="s">
        <v>31</v>
      </c>
      <c r="Y1803" t="s">
        <v>31</v>
      </c>
    </row>
    <row r="1804" spans="1:25" hidden="1">
      <c r="A1804" t="s">
        <v>25</v>
      </c>
      <c r="B1804" t="s">
        <v>26</v>
      </c>
      <c r="C1804" t="s">
        <v>57</v>
      </c>
      <c r="D1804" s="1">
        <v>44632</v>
      </c>
      <c r="E1804" s="2">
        <v>0.66666666666666663</v>
      </c>
      <c r="F1804" t="s">
        <v>45</v>
      </c>
      <c r="G1804" t="s">
        <v>52</v>
      </c>
      <c r="H1804">
        <v>0</v>
      </c>
      <c r="I1804">
        <v>0</v>
      </c>
      <c r="J1804" t="s">
        <v>41</v>
      </c>
      <c r="K1804">
        <v>342</v>
      </c>
      <c r="L1804">
        <v>337</v>
      </c>
      <c r="M1804">
        <v>228</v>
      </c>
      <c r="N1804">
        <v>358</v>
      </c>
      <c r="O1804">
        <v>342</v>
      </c>
      <c r="P1804">
        <v>235</v>
      </c>
      <c r="Q1804">
        <v>322</v>
      </c>
      <c r="R1804">
        <v>326</v>
      </c>
      <c r="S1804">
        <v>225</v>
      </c>
      <c r="T1804" t="s">
        <v>31</v>
      </c>
      <c r="U1804" t="s">
        <v>31</v>
      </c>
      <c r="V1804" t="s">
        <v>31</v>
      </c>
      <c r="W1804" t="s">
        <v>31</v>
      </c>
      <c r="X1804" t="s">
        <v>31</v>
      </c>
      <c r="Y1804" t="s">
        <v>31</v>
      </c>
    </row>
    <row r="1805" spans="1:25" hidden="1">
      <c r="A1805" t="s">
        <v>25</v>
      </c>
      <c r="B1805" t="s">
        <v>26</v>
      </c>
      <c r="C1805" t="s">
        <v>57</v>
      </c>
      <c r="D1805" s="1">
        <v>44633</v>
      </c>
      <c r="E1805" s="2">
        <v>0.5625</v>
      </c>
      <c r="F1805" t="s">
        <v>56</v>
      </c>
      <c r="G1805" t="s">
        <v>35</v>
      </c>
      <c r="H1805">
        <v>1</v>
      </c>
      <c r="I1805">
        <v>3</v>
      </c>
      <c r="J1805" t="s">
        <v>30</v>
      </c>
      <c r="K1805">
        <v>421</v>
      </c>
      <c r="L1805">
        <v>4</v>
      </c>
      <c r="M1805">
        <v>185</v>
      </c>
      <c r="N1805">
        <v>422</v>
      </c>
      <c r="O1805">
        <v>4</v>
      </c>
      <c r="P1805">
        <v>188</v>
      </c>
      <c r="Q1805">
        <v>4</v>
      </c>
      <c r="R1805">
        <v>379</v>
      </c>
      <c r="S1805">
        <v>183</v>
      </c>
      <c r="T1805" t="s">
        <v>31</v>
      </c>
      <c r="U1805" t="s">
        <v>31</v>
      </c>
      <c r="V1805" t="s">
        <v>31</v>
      </c>
      <c r="W1805" t="s">
        <v>31</v>
      </c>
      <c r="X1805" t="s">
        <v>31</v>
      </c>
      <c r="Y1805" t="s">
        <v>31</v>
      </c>
    </row>
    <row r="1806" spans="1:25" hidden="1">
      <c r="A1806" t="s">
        <v>25</v>
      </c>
      <c r="B1806" t="s">
        <v>26</v>
      </c>
      <c r="C1806" t="s">
        <v>57</v>
      </c>
      <c r="D1806" s="1">
        <v>44633</v>
      </c>
      <c r="E1806" s="2">
        <v>0.5625</v>
      </c>
      <c r="F1806" t="s">
        <v>40</v>
      </c>
      <c r="G1806" t="s">
        <v>39</v>
      </c>
      <c r="H1806">
        <v>2</v>
      </c>
      <c r="I1806">
        <v>1</v>
      </c>
      <c r="J1806" t="s">
        <v>34</v>
      </c>
      <c r="K1806">
        <v>239</v>
      </c>
      <c r="L1806">
        <v>339</v>
      </c>
      <c r="M1806">
        <v>317</v>
      </c>
      <c r="N1806">
        <v>245</v>
      </c>
      <c r="O1806">
        <v>355</v>
      </c>
      <c r="P1806">
        <v>317</v>
      </c>
      <c r="Q1806">
        <v>232</v>
      </c>
      <c r="R1806">
        <v>336</v>
      </c>
      <c r="S1806">
        <v>3</v>
      </c>
      <c r="T1806" t="s">
        <v>31</v>
      </c>
      <c r="U1806" t="s">
        <v>31</v>
      </c>
      <c r="V1806" t="s">
        <v>31</v>
      </c>
      <c r="W1806" t="s">
        <v>31</v>
      </c>
      <c r="X1806" t="s">
        <v>31</v>
      </c>
      <c r="Y1806" t="s">
        <v>31</v>
      </c>
    </row>
    <row r="1807" spans="1:25" hidden="1">
      <c r="A1807" t="s">
        <v>25</v>
      </c>
      <c r="B1807" t="s">
        <v>26</v>
      </c>
      <c r="C1807" t="s">
        <v>57</v>
      </c>
      <c r="D1807" s="1">
        <v>44633</v>
      </c>
      <c r="E1807" s="2">
        <v>0.5625</v>
      </c>
      <c r="F1807" t="s">
        <v>50</v>
      </c>
      <c r="G1807" t="s">
        <v>54</v>
      </c>
      <c r="H1807">
        <v>6</v>
      </c>
      <c r="I1807">
        <v>0</v>
      </c>
      <c r="J1807" t="s">
        <v>34</v>
      </c>
      <c r="K1807">
        <v>152</v>
      </c>
      <c r="L1807">
        <v>484</v>
      </c>
      <c r="M1807">
        <v>593</v>
      </c>
      <c r="N1807">
        <v>154</v>
      </c>
      <c r="O1807">
        <v>49</v>
      </c>
      <c r="P1807">
        <v>65</v>
      </c>
      <c r="Q1807">
        <v>149</v>
      </c>
      <c r="R1807">
        <v>461</v>
      </c>
      <c r="S1807">
        <v>576</v>
      </c>
      <c r="T1807" t="s">
        <v>31</v>
      </c>
      <c r="U1807" t="s">
        <v>31</v>
      </c>
      <c r="V1807" t="s">
        <v>31</v>
      </c>
      <c r="W1807" t="s">
        <v>31</v>
      </c>
      <c r="X1807" t="s">
        <v>31</v>
      </c>
      <c r="Y1807" t="s">
        <v>31</v>
      </c>
    </row>
    <row r="1808" spans="1:25" hidden="1">
      <c r="A1808" t="s">
        <v>25</v>
      </c>
      <c r="B1808" t="s">
        <v>26</v>
      </c>
      <c r="C1808" t="s">
        <v>57</v>
      </c>
      <c r="D1808" s="1">
        <v>44633</v>
      </c>
      <c r="E1808" s="2">
        <v>0.66666666666666663</v>
      </c>
      <c r="F1808" t="s">
        <v>29</v>
      </c>
      <c r="G1808" t="s">
        <v>28</v>
      </c>
      <c r="H1808">
        <v>1</v>
      </c>
      <c r="I1808">
        <v>0</v>
      </c>
      <c r="J1808" t="s">
        <v>34</v>
      </c>
      <c r="K1808">
        <v>147</v>
      </c>
      <c r="L1808">
        <v>475</v>
      </c>
      <c r="M1808">
        <v>707</v>
      </c>
      <c r="N1808">
        <v>148</v>
      </c>
      <c r="O1808">
        <v>5</v>
      </c>
      <c r="P1808">
        <v>75</v>
      </c>
      <c r="Q1808">
        <v>145</v>
      </c>
      <c r="R1808">
        <v>455</v>
      </c>
      <c r="S1808">
        <v>652</v>
      </c>
      <c r="T1808" t="s">
        <v>31</v>
      </c>
      <c r="U1808" t="s">
        <v>31</v>
      </c>
      <c r="V1808" t="s">
        <v>31</v>
      </c>
      <c r="W1808" t="s">
        <v>31</v>
      </c>
      <c r="X1808" t="s">
        <v>31</v>
      </c>
      <c r="Y1808" t="s">
        <v>31</v>
      </c>
    </row>
    <row r="1809" spans="1:25" hidden="1">
      <c r="A1809" t="s">
        <v>25</v>
      </c>
      <c r="B1809" t="s">
        <v>26</v>
      </c>
      <c r="C1809" t="s">
        <v>57</v>
      </c>
      <c r="D1809" s="1">
        <v>44639</v>
      </c>
      <c r="E1809" s="2">
        <v>0.66666666666666663</v>
      </c>
      <c r="F1809" t="s">
        <v>38</v>
      </c>
      <c r="G1809" t="s">
        <v>45</v>
      </c>
      <c r="H1809">
        <v>1</v>
      </c>
      <c r="I1809">
        <v>2</v>
      </c>
      <c r="J1809" t="s">
        <v>30</v>
      </c>
      <c r="K1809">
        <v>173</v>
      </c>
      <c r="L1809">
        <v>392</v>
      </c>
      <c r="M1809">
        <v>508</v>
      </c>
      <c r="N1809">
        <v>174</v>
      </c>
      <c r="O1809">
        <v>4</v>
      </c>
      <c r="P1809">
        <v>525</v>
      </c>
      <c r="Q1809">
        <v>169</v>
      </c>
      <c r="R1809">
        <v>372</v>
      </c>
      <c r="S1809">
        <v>494</v>
      </c>
      <c r="T1809" t="s">
        <v>31</v>
      </c>
      <c r="U1809" t="s">
        <v>31</v>
      </c>
      <c r="V1809" t="s">
        <v>31</v>
      </c>
      <c r="W1809" t="s">
        <v>31</v>
      </c>
      <c r="X1809" t="s">
        <v>31</v>
      </c>
      <c r="Y1809" t="s">
        <v>31</v>
      </c>
    </row>
    <row r="1810" spans="1:25" hidden="1">
      <c r="A1810" t="s">
        <v>25</v>
      </c>
      <c r="B1810" t="s">
        <v>26</v>
      </c>
      <c r="C1810" t="s">
        <v>57</v>
      </c>
      <c r="D1810" s="1">
        <v>44639</v>
      </c>
      <c r="E1810" s="2">
        <v>0.66666666666666663</v>
      </c>
      <c r="F1810" t="s">
        <v>54</v>
      </c>
      <c r="G1810" t="s">
        <v>37</v>
      </c>
      <c r="H1810">
        <v>0</v>
      </c>
      <c r="I1810">
        <v>0</v>
      </c>
      <c r="J1810" t="s">
        <v>41</v>
      </c>
      <c r="K1810">
        <v>288</v>
      </c>
      <c r="L1810">
        <v>343</v>
      </c>
      <c r="M1810">
        <v>257</v>
      </c>
      <c r="N1810">
        <v>29</v>
      </c>
      <c r="O1810">
        <v>351</v>
      </c>
      <c r="P1810">
        <v>26</v>
      </c>
      <c r="Q1810">
        <v>275</v>
      </c>
      <c r="R1810">
        <v>33</v>
      </c>
      <c r="S1810">
        <v>251</v>
      </c>
      <c r="T1810" t="s">
        <v>31</v>
      </c>
      <c r="U1810" t="s">
        <v>31</v>
      </c>
      <c r="V1810" t="s">
        <v>31</v>
      </c>
      <c r="W1810" t="s">
        <v>31</v>
      </c>
      <c r="X1810" t="s">
        <v>31</v>
      </c>
      <c r="Y1810" t="s">
        <v>31</v>
      </c>
    </row>
    <row r="1811" spans="1:25" hidden="1">
      <c r="A1811" t="s">
        <v>25</v>
      </c>
      <c r="B1811" t="s">
        <v>26</v>
      </c>
      <c r="C1811" t="s">
        <v>57</v>
      </c>
      <c r="D1811" s="1">
        <v>44640</v>
      </c>
      <c r="E1811" s="2">
        <v>0.5625</v>
      </c>
      <c r="F1811" t="s">
        <v>52</v>
      </c>
      <c r="G1811" t="s">
        <v>50</v>
      </c>
      <c r="H1811">
        <v>0</v>
      </c>
      <c r="I1811">
        <v>0</v>
      </c>
      <c r="J1811" t="s">
        <v>41</v>
      </c>
      <c r="K1811">
        <v>542</v>
      </c>
      <c r="L1811">
        <v>442</v>
      </c>
      <c r="M1811">
        <v>161</v>
      </c>
      <c r="N1811">
        <v>542</v>
      </c>
      <c r="O1811">
        <v>442</v>
      </c>
      <c r="P1811">
        <v>166</v>
      </c>
      <c r="Q1811">
        <v>505</v>
      </c>
      <c r="R1811">
        <v>414</v>
      </c>
      <c r="S1811">
        <v>16</v>
      </c>
      <c r="T1811" t="s">
        <v>31</v>
      </c>
      <c r="U1811" t="s">
        <v>31</v>
      </c>
      <c r="V1811" t="s">
        <v>31</v>
      </c>
      <c r="W1811" t="s">
        <v>31</v>
      </c>
      <c r="X1811" t="s">
        <v>31</v>
      </c>
      <c r="Y1811" t="s">
        <v>31</v>
      </c>
    </row>
    <row r="1812" spans="1:25" hidden="1">
      <c r="A1812" t="s">
        <v>25</v>
      </c>
      <c r="B1812" t="s">
        <v>26</v>
      </c>
      <c r="C1812" t="s">
        <v>57</v>
      </c>
      <c r="D1812" s="1">
        <v>44640</v>
      </c>
      <c r="E1812" s="2">
        <v>0.5625</v>
      </c>
      <c r="F1812" t="s">
        <v>28</v>
      </c>
      <c r="G1812" t="s">
        <v>56</v>
      </c>
      <c r="H1812">
        <v>3</v>
      </c>
      <c r="I1812">
        <v>1</v>
      </c>
      <c r="J1812" t="s">
        <v>34</v>
      </c>
      <c r="K1812">
        <v>139</v>
      </c>
      <c r="L1812">
        <v>531</v>
      </c>
      <c r="M1812">
        <v>796</v>
      </c>
      <c r="N1812">
        <v>139</v>
      </c>
      <c r="O1812">
        <v>55</v>
      </c>
      <c r="P1812">
        <v>95</v>
      </c>
      <c r="Q1812">
        <v>133</v>
      </c>
      <c r="R1812">
        <v>521</v>
      </c>
      <c r="S1812">
        <v>841</v>
      </c>
      <c r="T1812" t="s">
        <v>31</v>
      </c>
      <c r="U1812" t="s">
        <v>31</v>
      </c>
      <c r="V1812" t="s">
        <v>31</v>
      </c>
      <c r="W1812" t="s">
        <v>31</v>
      </c>
      <c r="X1812" t="s">
        <v>31</v>
      </c>
      <c r="Y1812" t="s">
        <v>31</v>
      </c>
    </row>
    <row r="1813" spans="1:25" hidden="1">
      <c r="A1813" t="s">
        <v>25</v>
      </c>
      <c r="B1813" t="s">
        <v>26</v>
      </c>
      <c r="C1813" t="s">
        <v>57</v>
      </c>
      <c r="D1813" s="1">
        <v>44640</v>
      </c>
      <c r="E1813" s="2">
        <v>0.5625</v>
      </c>
      <c r="F1813" t="s">
        <v>39</v>
      </c>
      <c r="G1813" t="s">
        <v>29</v>
      </c>
      <c r="H1813">
        <v>1</v>
      </c>
      <c r="I1813">
        <v>4</v>
      </c>
      <c r="J1813" t="s">
        <v>30</v>
      </c>
      <c r="K1813">
        <v>546</v>
      </c>
      <c r="L1813">
        <v>415</v>
      </c>
      <c r="M1813">
        <v>163</v>
      </c>
      <c r="N1813">
        <v>575</v>
      </c>
      <c r="O1813">
        <v>444</v>
      </c>
      <c r="P1813">
        <v>165</v>
      </c>
      <c r="Q1813">
        <v>527</v>
      </c>
      <c r="R1813">
        <v>41</v>
      </c>
      <c r="S1813">
        <v>159</v>
      </c>
      <c r="T1813" t="s">
        <v>31</v>
      </c>
      <c r="U1813" t="s">
        <v>31</v>
      </c>
      <c r="V1813" t="s">
        <v>31</v>
      </c>
      <c r="W1813" t="s">
        <v>31</v>
      </c>
      <c r="X1813" t="s">
        <v>31</v>
      </c>
      <c r="Y1813" t="s">
        <v>31</v>
      </c>
    </row>
    <row r="1814" spans="1:25" hidden="1">
      <c r="A1814" t="s">
        <v>25</v>
      </c>
      <c r="B1814" t="s">
        <v>26</v>
      </c>
      <c r="C1814" t="s">
        <v>57</v>
      </c>
      <c r="D1814" s="1">
        <v>44640</v>
      </c>
      <c r="E1814" s="2">
        <v>0.66666666666666663</v>
      </c>
      <c r="F1814" t="s">
        <v>35</v>
      </c>
      <c r="G1814" t="s">
        <v>40</v>
      </c>
      <c r="H1814">
        <v>1</v>
      </c>
      <c r="I1814">
        <v>1</v>
      </c>
      <c r="J1814" t="s">
        <v>41</v>
      </c>
      <c r="K1814">
        <v>236</v>
      </c>
      <c r="L1814">
        <v>335</v>
      </c>
      <c r="M1814">
        <v>328</v>
      </c>
      <c r="N1814">
        <v>24</v>
      </c>
      <c r="O1814">
        <v>34</v>
      </c>
      <c r="P1814">
        <v>329</v>
      </c>
      <c r="Q1814">
        <v>23</v>
      </c>
      <c r="R1814">
        <v>325</v>
      </c>
      <c r="S1814">
        <v>312</v>
      </c>
      <c r="T1814" t="s">
        <v>31</v>
      </c>
      <c r="U1814" t="s">
        <v>31</v>
      </c>
      <c r="V1814" t="s">
        <v>31</v>
      </c>
      <c r="W1814" t="s">
        <v>31</v>
      </c>
      <c r="X1814" t="s">
        <v>31</v>
      </c>
      <c r="Y1814" t="s">
        <v>31</v>
      </c>
    </row>
    <row r="1815" spans="1:25" hidden="1">
      <c r="A1815" t="s">
        <v>25</v>
      </c>
      <c r="B1815" t="s">
        <v>26</v>
      </c>
      <c r="C1815" t="s">
        <v>57</v>
      </c>
      <c r="D1815" s="1">
        <v>44653</v>
      </c>
      <c r="E1815" s="2">
        <v>0.66666666666666663</v>
      </c>
      <c r="F1815" t="s">
        <v>45</v>
      </c>
      <c r="G1815" t="s">
        <v>37</v>
      </c>
      <c r="H1815">
        <v>2</v>
      </c>
      <c r="I1815">
        <v>2</v>
      </c>
      <c r="J1815" t="s">
        <v>41</v>
      </c>
      <c r="K1815">
        <v>354</v>
      </c>
      <c r="L1815">
        <v>319</v>
      </c>
      <c r="M1815">
        <v>231</v>
      </c>
      <c r="N1815">
        <v>358</v>
      </c>
      <c r="O1815">
        <v>324</v>
      </c>
      <c r="P1815">
        <v>231</v>
      </c>
      <c r="Q1815">
        <v>338</v>
      </c>
      <c r="R1815">
        <v>309</v>
      </c>
      <c r="S1815">
        <v>226</v>
      </c>
      <c r="T1815" t="s">
        <v>31</v>
      </c>
      <c r="U1815" t="s">
        <v>31</v>
      </c>
      <c r="V1815" t="s">
        <v>31</v>
      </c>
      <c r="W1815" t="s">
        <v>31</v>
      </c>
      <c r="X1815" t="s">
        <v>31</v>
      </c>
      <c r="Y1815" t="s">
        <v>31</v>
      </c>
    </row>
    <row r="1816" spans="1:25" hidden="1">
      <c r="A1816" t="s">
        <v>25</v>
      </c>
      <c r="B1816" t="s">
        <v>26</v>
      </c>
      <c r="C1816" t="s">
        <v>57</v>
      </c>
      <c r="D1816" s="1">
        <v>44653</v>
      </c>
      <c r="E1816" s="2">
        <v>0.66666666666666663</v>
      </c>
      <c r="F1816" t="s">
        <v>52</v>
      </c>
      <c r="G1816" t="s">
        <v>54</v>
      </c>
      <c r="H1816">
        <v>0</v>
      </c>
      <c r="I1816">
        <v>1</v>
      </c>
      <c r="J1816" t="s">
        <v>30</v>
      </c>
      <c r="K1816">
        <v>243</v>
      </c>
      <c r="L1816">
        <v>351</v>
      </c>
      <c r="M1816">
        <v>302</v>
      </c>
      <c r="N1816">
        <v>246</v>
      </c>
      <c r="O1816">
        <v>355</v>
      </c>
      <c r="P1816">
        <v>302</v>
      </c>
      <c r="Q1816">
        <v>237</v>
      </c>
      <c r="R1816">
        <v>337</v>
      </c>
      <c r="S1816">
        <v>289</v>
      </c>
      <c r="T1816" t="s">
        <v>31</v>
      </c>
      <c r="U1816" t="s">
        <v>31</v>
      </c>
      <c r="V1816" t="s">
        <v>31</v>
      </c>
      <c r="W1816" t="s">
        <v>31</v>
      </c>
      <c r="X1816" t="s">
        <v>31</v>
      </c>
      <c r="Y1816" t="s">
        <v>31</v>
      </c>
    </row>
    <row r="1817" spans="1:25" hidden="1">
      <c r="A1817" t="s">
        <v>25</v>
      </c>
      <c r="B1817" t="s">
        <v>26</v>
      </c>
      <c r="C1817" t="s">
        <v>57</v>
      </c>
      <c r="D1817" s="1">
        <v>44653</v>
      </c>
      <c r="E1817" s="2">
        <v>0.66666666666666663</v>
      </c>
      <c r="F1817" t="s">
        <v>50</v>
      </c>
      <c r="G1817" t="s">
        <v>38</v>
      </c>
      <c r="H1817">
        <v>0</v>
      </c>
      <c r="I1817">
        <v>2</v>
      </c>
      <c r="J1817" t="s">
        <v>30</v>
      </c>
      <c r="K1817">
        <v>157</v>
      </c>
      <c r="L1817">
        <v>47</v>
      </c>
      <c r="M1817">
        <v>551</v>
      </c>
      <c r="N1817">
        <v>157</v>
      </c>
      <c r="O1817">
        <v>484</v>
      </c>
      <c r="P1817">
        <v>626</v>
      </c>
      <c r="Q1817">
        <v>152</v>
      </c>
      <c r="R1817">
        <v>443</v>
      </c>
      <c r="S1817">
        <v>551</v>
      </c>
      <c r="T1817" t="s">
        <v>31</v>
      </c>
      <c r="U1817" t="s">
        <v>31</v>
      </c>
      <c r="V1817" t="s">
        <v>31</v>
      </c>
      <c r="W1817" t="s">
        <v>31</v>
      </c>
      <c r="X1817" t="s">
        <v>31</v>
      </c>
      <c r="Y1817" t="s">
        <v>31</v>
      </c>
    </row>
    <row r="1818" spans="1:25" hidden="1">
      <c r="A1818" t="s">
        <v>25</v>
      </c>
      <c r="B1818" t="s">
        <v>26</v>
      </c>
      <c r="C1818" t="s">
        <v>57</v>
      </c>
      <c r="D1818" s="1">
        <v>44654</v>
      </c>
      <c r="E1818" s="2">
        <v>0.5625</v>
      </c>
      <c r="F1818" t="s">
        <v>40</v>
      </c>
      <c r="G1818" t="s">
        <v>56</v>
      </c>
      <c r="H1818">
        <v>1</v>
      </c>
      <c r="I1818">
        <v>1</v>
      </c>
      <c r="J1818" t="s">
        <v>41</v>
      </c>
      <c r="K1818">
        <v>15</v>
      </c>
      <c r="L1818">
        <v>461</v>
      </c>
      <c r="M1818">
        <v>681</v>
      </c>
      <c r="N1818">
        <v>15</v>
      </c>
      <c r="O1818">
        <v>47</v>
      </c>
      <c r="P1818">
        <v>7</v>
      </c>
      <c r="Q1818">
        <v>147</v>
      </c>
      <c r="R1818">
        <v>445</v>
      </c>
      <c r="S1818">
        <v>642</v>
      </c>
      <c r="T1818" t="s">
        <v>31</v>
      </c>
      <c r="U1818" t="s">
        <v>31</v>
      </c>
      <c r="V1818" t="s">
        <v>31</v>
      </c>
      <c r="W1818" t="s">
        <v>31</v>
      </c>
      <c r="X1818" t="s">
        <v>31</v>
      </c>
      <c r="Y1818" t="s">
        <v>31</v>
      </c>
    </row>
    <row r="1819" spans="1:25" hidden="1">
      <c r="A1819" t="s">
        <v>25</v>
      </c>
      <c r="B1819" t="s">
        <v>26</v>
      </c>
      <c r="C1819" t="s">
        <v>57</v>
      </c>
      <c r="D1819" s="1">
        <v>44654</v>
      </c>
      <c r="E1819" s="2">
        <v>0.5625</v>
      </c>
      <c r="F1819" t="s">
        <v>39</v>
      </c>
      <c r="G1819" t="s">
        <v>28</v>
      </c>
      <c r="H1819">
        <v>0</v>
      </c>
      <c r="I1819">
        <v>2</v>
      </c>
      <c r="J1819" t="s">
        <v>30</v>
      </c>
      <c r="K1819">
        <v>299</v>
      </c>
      <c r="L1819">
        <v>354</v>
      </c>
      <c r="M1819">
        <v>244</v>
      </c>
      <c r="N1819">
        <v>3</v>
      </c>
      <c r="O1819">
        <v>358</v>
      </c>
      <c r="P1819">
        <v>244</v>
      </c>
      <c r="Q1819">
        <v>288</v>
      </c>
      <c r="R1819">
        <v>343</v>
      </c>
      <c r="S1819">
        <v>237</v>
      </c>
      <c r="T1819" t="s">
        <v>31</v>
      </c>
      <c r="U1819" t="s">
        <v>31</v>
      </c>
      <c r="V1819" t="s">
        <v>31</v>
      </c>
      <c r="W1819" t="s">
        <v>31</v>
      </c>
      <c r="X1819" t="s">
        <v>31</v>
      </c>
      <c r="Y1819" t="s">
        <v>31</v>
      </c>
    </row>
    <row r="1820" spans="1:25" hidden="1">
      <c r="A1820" t="s">
        <v>25</v>
      </c>
      <c r="B1820" t="s">
        <v>26</v>
      </c>
      <c r="C1820" t="s">
        <v>57</v>
      </c>
      <c r="D1820" s="1">
        <v>44654</v>
      </c>
      <c r="E1820" s="2">
        <v>0.66666666666666663</v>
      </c>
      <c r="F1820" t="s">
        <v>29</v>
      </c>
      <c r="G1820" t="s">
        <v>35</v>
      </c>
      <c r="H1820">
        <v>2</v>
      </c>
      <c r="I1820">
        <v>1</v>
      </c>
      <c r="J1820" t="s">
        <v>34</v>
      </c>
      <c r="K1820">
        <v>137</v>
      </c>
      <c r="L1820">
        <v>544</v>
      </c>
      <c r="M1820">
        <v>854</v>
      </c>
      <c r="N1820">
        <v>137</v>
      </c>
      <c r="O1820">
        <v>6</v>
      </c>
      <c r="P1820">
        <v>94</v>
      </c>
      <c r="Q1820">
        <v>133</v>
      </c>
      <c r="R1820">
        <v>522</v>
      </c>
      <c r="S1820">
        <v>846</v>
      </c>
      <c r="T1820" t="s">
        <v>31</v>
      </c>
      <c r="U1820" t="s">
        <v>31</v>
      </c>
      <c r="V1820" t="s">
        <v>31</v>
      </c>
      <c r="W1820" t="s">
        <v>31</v>
      </c>
      <c r="X1820" t="s">
        <v>31</v>
      </c>
      <c r="Y1820" t="s">
        <v>31</v>
      </c>
    </row>
    <row r="1821" spans="1:25" hidden="1">
      <c r="A1821" t="s">
        <v>25</v>
      </c>
      <c r="B1821" t="s">
        <v>26</v>
      </c>
      <c r="C1821" t="s">
        <v>57</v>
      </c>
      <c r="D1821" s="1">
        <v>44660</v>
      </c>
      <c r="E1821" s="2">
        <v>0.66666666666666663</v>
      </c>
      <c r="F1821" t="s">
        <v>37</v>
      </c>
      <c r="G1821" t="s">
        <v>50</v>
      </c>
      <c r="H1821">
        <v>1</v>
      </c>
      <c r="I1821">
        <v>1</v>
      </c>
      <c r="J1821" t="s">
        <v>41</v>
      </c>
      <c r="K1821">
        <v>417</v>
      </c>
      <c r="L1821">
        <v>387</v>
      </c>
      <c r="M1821">
        <v>188</v>
      </c>
      <c r="N1821">
        <v>417</v>
      </c>
      <c r="O1821">
        <v>387</v>
      </c>
      <c r="P1821">
        <v>199</v>
      </c>
      <c r="Q1821">
        <v>384</v>
      </c>
      <c r="R1821">
        <v>355</v>
      </c>
      <c r="S1821">
        <v>192</v>
      </c>
      <c r="T1821" t="s">
        <v>31</v>
      </c>
      <c r="U1821" t="s">
        <v>31</v>
      </c>
      <c r="V1821" t="s">
        <v>31</v>
      </c>
      <c r="W1821" t="s">
        <v>31</v>
      </c>
      <c r="X1821" t="s">
        <v>31</v>
      </c>
      <c r="Y1821" t="s">
        <v>31</v>
      </c>
    </row>
    <row r="1822" spans="1:25" hidden="1">
      <c r="A1822" t="s">
        <v>25</v>
      </c>
      <c r="B1822" t="s">
        <v>26</v>
      </c>
      <c r="C1822" t="s">
        <v>57</v>
      </c>
      <c r="D1822" s="1">
        <v>44660</v>
      </c>
      <c r="E1822" s="2">
        <v>0.66666666666666663</v>
      </c>
      <c r="F1822" t="s">
        <v>38</v>
      </c>
      <c r="G1822" t="s">
        <v>52</v>
      </c>
      <c r="H1822">
        <v>0</v>
      </c>
      <c r="I1822">
        <v>0</v>
      </c>
      <c r="J1822" t="s">
        <v>41</v>
      </c>
      <c r="K1822">
        <v>193</v>
      </c>
      <c r="L1822">
        <v>363</v>
      </c>
      <c r="M1822">
        <v>421</v>
      </c>
      <c r="N1822">
        <v>2</v>
      </c>
      <c r="O1822">
        <v>375</v>
      </c>
      <c r="P1822">
        <v>421</v>
      </c>
      <c r="Q1822">
        <v>193</v>
      </c>
      <c r="R1822">
        <v>352</v>
      </c>
      <c r="S1822">
        <v>382</v>
      </c>
      <c r="T1822" t="s">
        <v>31</v>
      </c>
      <c r="U1822" t="s">
        <v>31</v>
      </c>
      <c r="V1822" t="s">
        <v>31</v>
      </c>
      <c r="W1822" t="s">
        <v>31</v>
      </c>
      <c r="X1822" t="s">
        <v>31</v>
      </c>
      <c r="Y1822" t="s">
        <v>31</v>
      </c>
    </row>
    <row r="1823" spans="1:25" hidden="1">
      <c r="A1823" t="s">
        <v>25</v>
      </c>
      <c r="B1823" t="s">
        <v>26</v>
      </c>
      <c r="C1823" t="s">
        <v>57</v>
      </c>
      <c r="D1823" s="1">
        <v>44660</v>
      </c>
      <c r="E1823" s="2">
        <v>0.66666666666666663</v>
      </c>
      <c r="F1823" t="s">
        <v>54</v>
      </c>
      <c r="G1823" t="s">
        <v>45</v>
      </c>
      <c r="H1823">
        <v>0</v>
      </c>
      <c r="I1823">
        <v>3</v>
      </c>
      <c r="J1823" t="s">
        <v>30</v>
      </c>
      <c r="K1823">
        <v>201</v>
      </c>
      <c r="L1823">
        <v>36</v>
      </c>
      <c r="M1823">
        <v>395</v>
      </c>
      <c r="N1823">
        <v>202</v>
      </c>
      <c r="O1823">
        <v>36</v>
      </c>
      <c r="P1823">
        <v>398</v>
      </c>
      <c r="Q1823">
        <v>196</v>
      </c>
      <c r="R1823">
        <v>344</v>
      </c>
      <c r="S1823">
        <v>38</v>
      </c>
      <c r="T1823" t="s">
        <v>31</v>
      </c>
      <c r="U1823" t="s">
        <v>31</v>
      </c>
      <c r="V1823" t="s">
        <v>31</v>
      </c>
      <c r="W1823" t="s">
        <v>31</v>
      </c>
      <c r="X1823" t="s">
        <v>31</v>
      </c>
      <c r="Y1823" t="s">
        <v>31</v>
      </c>
    </row>
    <row r="1824" spans="1:25" hidden="1">
      <c r="A1824" t="s">
        <v>25</v>
      </c>
      <c r="B1824" t="s">
        <v>26</v>
      </c>
      <c r="C1824" t="s">
        <v>57</v>
      </c>
      <c r="D1824" s="1">
        <v>44661</v>
      </c>
      <c r="E1824" s="2">
        <v>0.5625</v>
      </c>
      <c r="F1824" t="s">
        <v>56</v>
      </c>
      <c r="G1824" t="s">
        <v>29</v>
      </c>
      <c r="H1824">
        <v>0</v>
      </c>
      <c r="I1824">
        <v>6</v>
      </c>
      <c r="J1824" t="s">
        <v>30</v>
      </c>
      <c r="K1824">
        <v>1533</v>
      </c>
      <c r="L1824">
        <v>777</v>
      </c>
      <c r="M1824">
        <v>119</v>
      </c>
      <c r="N1824">
        <v>19</v>
      </c>
      <c r="O1824">
        <v>8</v>
      </c>
      <c r="P1824">
        <v>119</v>
      </c>
      <c r="Q1824">
        <v>1478</v>
      </c>
      <c r="R1824">
        <v>744</v>
      </c>
      <c r="S1824">
        <v>116</v>
      </c>
      <c r="T1824" t="s">
        <v>31</v>
      </c>
      <c r="U1824" t="s">
        <v>31</v>
      </c>
      <c r="V1824" t="s">
        <v>31</v>
      </c>
      <c r="W1824" t="s">
        <v>31</v>
      </c>
      <c r="X1824" t="s">
        <v>31</v>
      </c>
      <c r="Y1824" t="s">
        <v>31</v>
      </c>
    </row>
    <row r="1825" spans="1:25" hidden="1">
      <c r="A1825" t="s">
        <v>25</v>
      </c>
      <c r="B1825" t="s">
        <v>26</v>
      </c>
      <c r="C1825" t="s">
        <v>57</v>
      </c>
      <c r="D1825" s="1">
        <v>44661</v>
      </c>
      <c r="E1825" s="2">
        <v>0.5625</v>
      </c>
      <c r="F1825" t="s">
        <v>35</v>
      </c>
      <c r="G1825" t="s">
        <v>39</v>
      </c>
      <c r="H1825">
        <v>2</v>
      </c>
      <c r="I1825">
        <v>1</v>
      </c>
      <c r="J1825" t="s">
        <v>34</v>
      </c>
      <c r="K1825">
        <v>224</v>
      </c>
      <c r="L1825">
        <v>36</v>
      </c>
      <c r="M1825">
        <v>328</v>
      </c>
      <c r="N1825">
        <v>224</v>
      </c>
      <c r="O1825">
        <v>362</v>
      </c>
      <c r="P1825">
        <v>335</v>
      </c>
      <c r="Q1825">
        <v>216</v>
      </c>
      <c r="R1825">
        <v>346</v>
      </c>
      <c r="S1825">
        <v>319</v>
      </c>
      <c r="T1825" t="s">
        <v>31</v>
      </c>
      <c r="U1825" t="s">
        <v>31</v>
      </c>
      <c r="V1825" t="s">
        <v>31</v>
      </c>
      <c r="W1825" t="s">
        <v>31</v>
      </c>
      <c r="X1825" t="s">
        <v>31</v>
      </c>
      <c r="Y1825" t="s">
        <v>31</v>
      </c>
    </row>
    <row r="1826" spans="1:25" hidden="1">
      <c r="A1826" t="s">
        <v>25</v>
      </c>
      <c r="B1826" t="s">
        <v>26</v>
      </c>
      <c r="C1826" t="s">
        <v>57</v>
      </c>
      <c r="D1826" s="1">
        <v>44661</v>
      </c>
      <c r="E1826" s="2">
        <v>0.66666666666666663</v>
      </c>
      <c r="F1826" t="s">
        <v>28</v>
      </c>
      <c r="G1826" t="s">
        <v>40</v>
      </c>
      <c r="H1826">
        <v>1</v>
      </c>
      <c r="I1826">
        <v>0</v>
      </c>
      <c r="J1826" t="s">
        <v>34</v>
      </c>
      <c r="K1826">
        <v>211</v>
      </c>
      <c r="L1826">
        <v>346</v>
      </c>
      <c r="M1826">
        <v>377</v>
      </c>
      <c r="N1826">
        <v>211</v>
      </c>
      <c r="O1826">
        <v>358</v>
      </c>
      <c r="P1826">
        <v>38</v>
      </c>
      <c r="Q1826">
        <v>203</v>
      </c>
      <c r="R1826">
        <v>341</v>
      </c>
      <c r="S1826">
        <v>358</v>
      </c>
      <c r="T1826" t="s">
        <v>31</v>
      </c>
      <c r="U1826" t="s">
        <v>31</v>
      </c>
      <c r="V1826" t="s">
        <v>31</v>
      </c>
      <c r="W1826" t="s">
        <v>31</v>
      </c>
      <c r="X1826" t="s">
        <v>31</v>
      </c>
      <c r="Y1826" t="s">
        <v>31</v>
      </c>
    </row>
    <row r="1827" spans="1:25" hidden="1">
      <c r="A1827" t="s">
        <v>25</v>
      </c>
      <c r="B1827" t="s">
        <v>26</v>
      </c>
      <c r="C1827" t="s">
        <v>57</v>
      </c>
      <c r="D1827" s="1">
        <v>44667</v>
      </c>
      <c r="E1827" s="2">
        <v>0.66666666666666663</v>
      </c>
      <c r="F1827" t="s">
        <v>45</v>
      </c>
      <c r="G1827" t="s">
        <v>50</v>
      </c>
      <c r="H1827">
        <v>0</v>
      </c>
      <c r="I1827">
        <v>0</v>
      </c>
      <c r="J1827" t="s">
        <v>41</v>
      </c>
      <c r="K1827">
        <v>586</v>
      </c>
      <c r="L1827">
        <v>406</v>
      </c>
      <c r="M1827">
        <v>163</v>
      </c>
      <c r="N1827">
        <v>586</v>
      </c>
      <c r="O1827">
        <v>425</v>
      </c>
      <c r="P1827">
        <v>167</v>
      </c>
      <c r="Q1827">
        <v>545</v>
      </c>
      <c r="R1827">
        <v>395</v>
      </c>
      <c r="S1827">
        <v>16</v>
      </c>
      <c r="T1827" t="s">
        <v>31</v>
      </c>
      <c r="U1827" t="s">
        <v>31</v>
      </c>
      <c r="V1827" t="s">
        <v>31</v>
      </c>
      <c r="W1827" t="s">
        <v>31</v>
      </c>
      <c r="X1827" t="s">
        <v>31</v>
      </c>
      <c r="Y1827" t="s">
        <v>31</v>
      </c>
    </row>
    <row r="1828" spans="1:25" hidden="1">
      <c r="A1828" t="s">
        <v>25</v>
      </c>
      <c r="B1828" t="s">
        <v>26</v>
      </c>
      <c r="C1828" t="s">
        <v>57</v>
      </c>
      <c r="D1828" s="1">
        <v>44667</v>
      </c>
      <c r="E1828" s="2">
        <v>0.66666666666666663</v>
      </c>
      <c r="F1828" t="s">
        <v>52</v>
      </c>
      <c r="G1828" t="s">
        <v>37</v>
      </c>
      <c r="H1828">
        <v>1</v>
      </c>
      <c r="I1828">
        <v>2</v>
      </c>
      <c r="J1828" t="s">
        <v>30</v>
      </c>
      <c r="K1828">
        <v>351</v>
      </c>
      <c r="L1828">
        <v>324</v>
      </c>
      <c r="M1828">
        <v>231</v>
      </c>
      <c r="N1828">
        <v>351</v>
      </c>
      <c r="O1828">
        <v>326</v>
      </c>
      <c r="P1828">
        <v>271</v>
      </c>
      <c r="Q1828">
        <v>322</v>
      </c>
      <c r="R1828">
        <v>312</v>
      </c>
      <c r="S1828">
        <v>232</v>
      </c>
      <c r="T1828" t="s">
        <v>31</v>
      </c>
      <c r="U1828" t="s">
        <v>31</v>
      </c>
      <c r="V1828" t="s">
        <v>31</v>
      </c>
      <c r="W1828" t="s">
        <v>31</v>
      </c>
      <c r="X1828" t="s">
        <v>31</v>
      </c>
      <c r="Y1828" t="s">
        <v>31</v>
      </c>
    </row>
    <row r="1829" spans="1:25" hidden="1">
      <c r="A1829" t="s">
        <v>25</v>
      </c>
      <c r="B1829" t="s">
        <v>26</v>
      </c>
      <c r="C1829" t="s">
        <v>57</v>
      </c>
      <c r="D1829" s="1">
        <v>44667</v>
      </c>
      <c r="E1829" s="2">
        <v>0.66666666666666663</v>
      </c>
      <c r="F1829" t="s">
        <v>38</v>
      </c>
      <c r="G1829" t="s">
        <v>54</v>
      </c>
      <c r="H1829">
        <v>2</v>
      </c>
      <c r="I1829">
        <v>3</v>
      </c>
      <c r="J1829" t="s">
        <v>30</v>
      </c>
      <c r="K1829">
        <v>222</v>
      </c>
      <c r="L1829">
        <v>359</v>
      </c>
      <c r="M1829">
        <v>336</v>
      </c>
      <c r="N1829">
        <v>229</v>
      </c>
      <c r="O1829">
        <v>374</v>
      </c>
      <c r="P1829">
        <v>336</v>
      </c>
      <c r="Q1829">
        <v>215</v>
      </c>
      <c r="R1829">
        <v>352</v>
      </c>
      <c r="S1829">
        <v>318</v>
      </c>
      <c r="T1829" t="s">
        <v>31</v>
      </c>
      <c r="U1829" t="s">
        <v>31</v>
      </c>
      <c r="V1829" t="s">
        <v>31</v>
      </c>
      <c r="W1829" t="s">
        <v>31</v>
      </c>
      <c r="X1829" t="s">
        <v>31</v>
      </c>
      <c r="Y1829" t="s">
        <v>31</v>
      </c>
    </row>
    <row r="1830" spans="1:25" hidden="1">
      <c r="A1830" t="s">
        <v>25</v>
      </c>
      <c r="B1830" t="s">
        <v>26</v>
      </c>
      <c r="C1830" t="s">
        <v>57</v>
      </c>
      <c r="D1830" s="1">
        <v>44668</v>
      </c>
      <c r="E1830" s="2">
        <v>0.5625</v>
      </c>
      <c r="F1830" t="s">
        <v>40</v>
      </c>
      <c r="G1830" t="s">
        <v>29</v>
      </c>
      <c r="H1830">
        <v>1</v>
      </c>
      <c r="I1830">
        <v>2</v>
      </c>
      <c r="J1830" t="s">
        <v>30</v>
      </c>
      <c r="K1830">
        <v>659</v>
      </c>
      <c r="L1830">
        <v>433</v>
      </c>
      <c r="M1830">
        <v>154</v>
      </c>
      <c r="N1830">
        <v>659</v>
      </c>
      <c r="O1830">
        <v>451</v>
      </c>
      <c r="P1830">
        <v>16</v>
      </c>
      <c r="Q1830">
        <v>616</v>
      </c>
      <c r="R1830">
        <v>41</v>
      </c>
      <c r="S1830">
        <v>152</v>
      </c>
      <c r="T1830" t="s">
        <v>31</v>
      </c>
      <c r="U1830" t="s">
        <v>31</v>
      </c>
      <c r="V1830" t="s">
        <v>31</v>
      </c>
      <c r="W1830" t="s">
        <v>31</v>
      </c>
      <c r="X1830" t="s">
        <v>31</v>
      </c>
      <c r="Y1830" t="s">
        <v>31</v>
      </c>
    </row>
    <row r="1831" spans="1:25" hidden="1">
      <c r="A1831" t="s">
        <v>25</v>
      </c>
      <c r="B1831" t="s">
        <v>26</v>
      </c>
      <c r="C1831" t="s">
        <v>57</v>
      </c>
      <c r="D1831" s="1">
        <v>44668</v>
      </c>
      <c r="E1831" s="2">
        <v>0.5625</v>
      </c>
      <c r="F1831" t="s">
        <v>28</v>
      </c>
      <c r="G1831" t="s">
        <v>35</v>
      </c>
      <c r="H1831">
        <v>2</v>
      </c>
      <c r="I1831">
        <v>1</v>
      </c>
      <c r="J1831" t="s">
        <v>34</v>
      </c>
      <c r="K1831">
        <v>195</v>
      </c>
      <c r="L1831">
        <v>371</v>
      </c>
      <c r="M1831">
        <v>403</v>
      </c>
      <c r="N1831">
        <v>197</v>
      </c>
      <c r="O1831">
        <v>394</v>
      </c>
      <c r="P1831">
        <v>426</v>
      </c>
      <c r="Q1831">
        <v>192</v>
      </c>
      <c r="R1831">
        <v>361</v>
      </c>
      <c r="S1831">
        <v>38</v>
      </c>
      <c r="T1831" t="s">
        <v>31</v>
      </c>
      <c r="U1831" t="s">
        <v>31</v>
      </c>
      <c r="V1831" t="s">
        <v>31</v>
      </c>
      <c r="W1831" t="s">
        <v>31</v>
      </c>
      <c r="X1831" t="s">
        <v>31</v>
      </c>
      <c r="Y1831" t="s">
        <v>31</v>
      </c>
    </row>
    <row r="1832" spans="1:25" hidden="1">
      <c r="A1832" t="s">
        <v>25</v>
      </c>
      <c r="B1832" t="s">
        <v>26</v>
      </c>
      <c r="C1832" t="s">
        <v>57</v>
      </c>
      <c r="D1832" s="1">
        <v>44668</v>
      </c>
      <c r="E1832" s="2">
        <v>0.66666666666666663</v>
      </c>
      <c r="F1832" t="s">
        <v>39</v>
      </c>
      <c r="G1832" t="s">
        <v>56</v>
      </c>
      <c r="H1832">
        <v>1</v>
      </c>
      <c r="I1832">
        <v>2</v>
      </c>
      <c r="J1832" t="s">
        <v>30</v>
      </c>
      <c r="K1832">
        <v>144</v>
      </c>
      <c r="L1832">
        <v>501</v>
      </c>
      <c r="M1832">
        <v>702</v>
      </c>
      <c r="N1832">
        <v>156</v>
      </c>
      <c r="O1832">
        <v>51</v>
      </c>
      <c r="P1832">
        <v>75</v>
      </c>
      <c r="Q1832">
        <v>142</v>
      </c>
      <c r="R1832">
        <v>476</v>
      </c>
      <c r="S1832">
        <v>67</v>
      </c>
      <c r="T1832" t="s">
        <v>31</v>
      </c>
      <c r="U1832" t="s">
        <v>31</v>
      </c>
      <c r="V1832" t="s">
        <v>31</v>
      </c>
      <c r="W1832" t="s">
        <v>31</v>
      </c>
      <c r="X1832" t="s">
        <v>31</v>
      </c>
      <c r="Y1832" t="s">
        <v>31</v>
      </c>
    </row>
    <row r="1833" spans="1:25" hidden="1">
      <c r="A1833" t="s">
        <v>25</v>
      </c>
      <c r="B1833" t="s">
        <v>26</v>
      </c>
      <c r="C1833" t="s">
        <v>57</v>
      </c>
      <c r="D1833" s="1">
        <v>44674</v>
      </c>
      <c r="E1833" s="2">
        <v>0.66666666666666663</v>
      </c>
      <c r="F1833" t="s">
        <v>37</v>
      </c>
      <c r="G1833" t="s">
        <v>52</v>
      </c>
      <c r="H1833">
        <v>1</v>
      </c>
      <c r="I1833">
        <v>3</v>
      </c>
      <c r="J1833" t="s">
        <v>30</v>
      </c>
      <c r="K1833">
        <v>215</v>
      </c>
      <c r="L1833">
        <v>334</v>
      </c>
      <c r="M1833">
        <v>38</v>
      </c>
      <c r="N1833">
        <v>215</v>
      </c>
      <c r="O1833">
        <v>349</v>
      </c>
      <c r="P1833">
        <v>382</v>
      </c>
      <c r="Q1833">
        <v>207</v>
      </c>
      <c r="R1833">
        <v>329</v>
      </c>
      <c r="S1833">
        <v>366</v>
      </c>
      <c r="T1833" t="s">
        <v>31</v>
      </c>
      <c r="U1833" t="s">
        <v>31</v>
      </c>
      <c r="V1833" t="s">
        <v>31</v>
      </c>
      <c r="W1833" t="s">
        <v>31</v>
      </c>
      <c r="X1833" t="s">
        <v>31</v>
      </c>
      <c r="Y1833" t="s">
        <v>31</v>
      </c>
    </row>
    <row r="1834" spans="1:25" hidden="1">
      <c r="A1834" t="s">
        <v>25</v>
      </c>
      <c r="B1834" t="s">
        <v>26</v>
      </c>
      <c r="C1834" t="s">
        <v>57</v>
      </c>
      <c r="D1834" s="1">
        <v>44674</v>
      </c>
      <c r="E1834" s="2">
        <v>0.66666666666666663</v>
      </c>
      <c r="F1834" t="s">
        <v>50</v>
      </c>
      <c r="G1834" t="s">
        <v>45</v>
      </c>
      <c r="H1834">
        <v>2</v>
      </c>
      <c r="I1834">
        <v>1</v>
      </c>
      <c r="J1834" t="s">
        <v>34</v>
      </c>
      <c r="K1834">
        <v>129</v>
      </c>
      <c r="L1834">
        <v>583</v>
      </c>
      <c r="M1834">
        <v>114</v>
      </c>
      <c r="N1834">
        <v>14</v>
      </c>
      <c r="O1834">
        <v>6</v>
      </c>
      <c r="P1834">
        <v>12</v>
      </c>
      <c r="Q1834">
        <v>13</v>
      </c>
      <c r="R1834">
        <v>532</v>
      </c>
      <c r="S1834">
        <v>966</v>
      </c>
      <c r="T1834" t="s">
        <v>31</v>
      </c>
      <c r="U1834" t="s">
        <v>31</v>
      </c>
      <c r="V1834" t="s">
        <v>31</v>
      </c>
      <c r="W1834" t="s">
        <v>31</v>
      </c>
      <c r="X1834" t="s">
        <v>31</v>
      </c>
      <c r="Y1834" t="s">
        <v>31</v>
      </c>
    </row>
    <row r="1835" spans="1:25" hidden="1">
      <c r="A1835" t="s">
        <v>25</v>
      </c>
      <c r="B1835" t="s">
        <v>26</v>
      </c>
      <c r="C1835" t="s">
        <v>57</v>
      </c>
      <c r="D1835" s="1">
        <v>44674</v>
      </c>
      <c r="E1835" s="2">
        <v>0.66666666666666663</v>
      </c>
      <c r="F1835" t="s">
        <v>54</v>
      </c>
      <c r="G1835" t="s">
        <v>38</v>
      </c>
      <c r="H1835">
        <v>2</v>
      </c>
      <c r="I1835">
        <v>0</v>
      </c>
      <c r="J1835" t="s">
        <v>34</v>
      </c>
      <c r="K1835">
        <v>261</v>
      </c>
      <c r="L1835">
        <v>341</v>
      </c>
      <c r="M1835">
        <v>285</v>
      </c>
      <c r="N1835">
        <v>267</v>
      </c>
      <c r="O1835">
        <v>36</v>
      </c>
      <c r="P1835">
        <v>285</v>
      </c>
      <c r="Q1835">
        <v>255</v>
      </c>
      <c r="R1835">
        <v>333</v>
      </c>
      <c r="S1835">
        <v>271</v>
      </c>
      <c r="T1835" t="s">
        <v>31</v>
      </c>
      <c r="U1835" t="s">
        <v>31</v>
      </c>
      <c r="V1835" t="s">
        <v>31</v>
      </c>
      <c r="W1835" t="s">
        <v>31</v>
      </c>
      <c r="X1835" t="s">
        <v>31</v>
      </c>
      <c r="Y1835" t="s">
        <v>31</v>
      </c>
    </row>
    <row r="1836" spans="1:25" hidden="1">
      <c r="A1836" t="s">
        <v>25</v>
      </c>
      <c r="B1836" t="s">
        <v>26</v>
      </c>
      <c r="C1836" t="s">
        <v>57</v>
      </c>
      <c r="D1836" s="1">
        <v>44675</v>
      </c>
      <c r="E1836" s="2">
        <v>0.5625</v>
      </c>
      <c r="F1836" t="s">
        <v>56</v>
      </c>
      <c r="G1836" t="s">
        <v>39</v>
      </c>
      <c r="H1836">
        <v>2</v>
      </c>
      <c r="I1836">
        <v>3</v>
      </c>
      <c r="J1836" t="s">
        <v>30</v>
      </c>
      <c r="K1836">
        <v>477</v>
      </c>
      <c r="L1836">
        <v>435</v>
      </c>
      <c r="M1836">
        <v>169</v>
      </c>
      <c r="N1836">
        <v>485</v>
      </c>
      <c r="O1836">
        <v>435</v>
      </c>
      <c r="P1836">
        <v>172</v>
      </c>
      <c r="Q1836">
        <v>459</v>
      </c>
      <c r="R1836">
        <v>409</v>
      </c>
      <c r="S1836">
        <v>167</v>
      </c>
      <c r="T1836" t="s">
        <v>31</v>
      </c>
      <c r="U1836" t="s">
        <v>31</v>
      </c>
      <c r="V1836" t="s">
        <v>31</v>
      </c>
      <c r="W1836" t="s">
        <v>31</v>
      </c>
      <c r="X1836" t="s">
        <v>31</v>
      </c>
      <c r="Y1836" t="s">
        <v>31</v>
      </c>
    </row>
    <row r="1837" spans="1:25" hidden="1">
      <c r="A1837" t="s">
        <v>25</v>
      </c>
      <c r="B1837" t="s">
        <v>26</v>
      </c>
      <c r="C1837" t="s">
        <v>57</v>
      </c>
      <c r="D1837" s="1">
        <v>44675</v>
      </c>
      <c r="E1837" s="2">
        <v>0.5625</v>
      </c>
      <c r="F1837" t="s">
        <v>29</v>
      </c>
      <c r="G1837" t="s">
        <v>40</v>
      </c>
      <c r="H1837">
        <v>5</v>
      </c>
      <c r="I1837">
        <v>0</v>
      </c>
      <c r="J1837" t="s">
        <v>34</v>
      </c>
      <c r="K1837">
        <v>128</v>
      </c>
      <c r="L1837">
        <v>61</v>
      </c>
      <c r="M1837">
        <v>1127</v>
      </c>
      <c r="N1837">
        <v>133</v>
      </c>
      <c r="O1837">
        <v>61</v>
      </c>
      <c r="P1837">
        <v>1127</v>
      </c>
      <c r="Q1837">
        <v>13</v>
      </c>
      <c r="R1837">
        <v>545</v>
      </c>
      <c r="S1837">
        <v>928</v>
      </c>
      <c r="T1837" t="s">
        <v>31</v>
      </c>
      <c r="U1837" t="s">
        <v>31</v>
      </c>
      <c r="V1837" t="s">
        <v>31</v>
      </c>
      <c r="W1837" t="s">
        <v>31</v>
      </c>
      <c r="X1837" t="s">
        <v>31</v>
      </c>
      <c r="Y1837" t="s">
        <v>31</v>
      </c>
    </row>
    <row r="1838" spans="1:25" hidden="1">
      <c r="A1838" t="s">
        <v>25</v>
      </c>
      <c r="B1838" t="s">
        <v>26</v>
      </c>
      <c r="C1838" t="s">
        <v>57</v>
      </c>
      <c r="D1838" s="1">
        <v>44675</v>
      </c>
      <c r="E1838" s="2">
        <v>0.66666666666666663</v>
      </c>
      <c r="F1838" t="s">
        <v>35</v>
      </c>
      <c r="G1838" t="s">
        <v>28</v>
      </c>
      <c r="H1838">
        <v>1</v>
      </c>
      <c r="I1838">
        <v>1</v>
      </c>
      <c r="J1838" t="s">
        <v>41</v>
      </c>
      <c r="K1838">
        <v>308</v>
      </c>
      <c r="L1838">
        <v>372</v>
      </c>
      <c r="M1838">
        <v>23</v>
      </c>
      <c r="N1838">
        <v>31</v>
      </c>
      <c r="O1838">
        <v>372</v>
      </c>
      <c r="P1838">
        <v>245</v>
      </c>
      <c r="Q1838">
        <v>291</v>
      </c>
      <c r="R1838">
        <v>35</v>
      </c>
      <c r="S1838">
        <v>229</v>
      </c>
      <c r="T1838" t="s">
        <v>31</v>
      </c>
      <c r="U1838" t="s">
        <v>31</v>
      </c>
      <c r="V1838" t="s">
        <v>31</v>
      </c>
      <c r="W1838" t="s">
        <v>31</v>
      </c>
      <c r="X1838" t="s">
        <v>31</v>
      </c>
      <c r="Y1838" t="s">
        <v>31</v>
      </c>
    </row>
    <row r="1839" spans="1:25" hidden="1">
      <c r="A1839" t="s">
        <v>25</v>
      </c>
      <c r="B1839" t="s">
        <v>26</v>
      </c>
      <c r="C1839" t="s">
        <v>57</v>
      </c>
      <c r="D1839" s="1">
        <v>44677</v>
      </c>
      <c r="E1839" s="2">
        <v>0.72916666666666663</v>
      </c>
      <c r="F1839" t="s">
        <v>52</v>
      </c>
      <c r="G1839" t="s">
        <v>45</v>
      </c>
      <c r="H1839">
        <v>4</v>
      </c>
      <c r="I1839">
        <v>0</v>
      </c>
      <c r="J1839" t="s">
        <v>34</v>
      </c>
      <c r="K1839">
        <v>212</v>
      </c>
      <c r="L1839">
        <v>329</v>
      </c>
      <c r="M1839">
        <v>394</v>
      </c>
      <c r="N1839">
        <v>213</v>
      </c>
      <c r="O1839">
        <v>347</v>
      </c>
      <c r="P1839">
        <v>41</v>
      </c>
      <c r="Q1839">
        <v>204</v>
      </c>
      <c r="R1839">
        <v>33</v>
      </c>
      <c r="S1839">
        <v>373</v>
      </c>
      <c r="T1839" t="s">
        <v>31</v>
      </c>
      <c r="U1839" t="s">
        <v>31</v>
      </c>
      <c r="V1839" t="s">
        <v>31</v>
      </c>
      <c r="W1839" t="s">
        <v>31</v>
      </c>
      <c r="X1839" t="s">
        <v>31</v>
      </c>
      <c r="Y1839" t="s">
        <v>31</v>
      </c>
    </row>
    <row r="1840" spans="1:25" hidden="1">
      <c r="A1840" t="s">
        <v>25</v>
      </c>
      <c r="B1840" t="s">
        <v>26</v>
      </c>
      <c r="C1840" t="s">
        <v>57</v>
      </c>
      <c r="D1840" s="1">
        <v>44677</v>
      </c>
      <c r="E1840" s="2">
        <v>0.72916666666666663</v>
      </c>
      <c r="F1840" t="s">
        <v>38</v>
      </c>
      <c r="G1840" t="s">
        <v>37</v>
      </c>
      <c r="H1840">
        <v>1</v>
      </c>
      <c r="I1840">
        <v>1</v>
      </c>
      <c r="J1840" t="s">
        <v>41</v>
      </c>
      <c r="K1840">
        <v>219</v>
      </c>
      <c r="L1840">
        <v>337</v>
      </c>
      <c r="M1840">
        <v>363</v>
      </c>
      <c r="N1840">
        <v>225</v>
      </c>
      <c r="O1840">
        <v>337</v>
      </c>
      <c r="P1840">
        <v>363</v>
      </c>
      <c r="Q1840">
        <v>217</v>
      </c>
      <c r="R1840">
        <v>324</v>
      </c>
      <c r="S1840">
        <v>339</v>
      </c>
      <c r="T1840" t="s">
        <v>31</v>
      </c>
      <c r="U1840" t="s">
        <v>31</v>
      </c>
      <c r="V1840" t="s">
        <v>31</v>
      </c>
      <c r="W1840" t="s">
        <v>31</v>
      </c>
      <c r="X1840" t="s">
        <v>31</v>
      </c>
      <c r="Y1840" t="s">
        <v>31</v>
      </c>
    </row>
    <row r="1841" spans="1:25" hidden="1">
      <c r="A1841" t="s">
        <v>25</v>
      </c>
      <c r="B1841" t="s">
        <v>26</v>
      </c>
      <c r="C1841" t="s">
        <v>57</v>
      </c>
      <c r="D1841" s="1">
        <v>44677</v>
      </c>
      <c r="E1841" s="2">
        <v>0.72916666666666663</v>
      </c>
      <c r="F1841" t="s">
        <v>54</v>
      </c>
      <c r="G1841" t="s">
        <v>50</v>
      </c>
      <c r="H1841">
        <v>4</v>
      </c>
      <c r="I1841">
        <v>0</v>
      </c>
      <c r="J1841" t="s">
        <v>34</v>
      </c>
      <c r="K1841">
        <v>419</v>
      </c>
      <c r="L1841">
        <v>376</v>
      </c>
      <c r="M1841">
        <v>191</v>
      </c>
      <c r="N1841">
        <v>436</v>
      </c>
      <c r="O1841">
        <v>4</v>
      </c>
      <c r="P1841">
        <v>191</v>
      </c>
      <c r="Q1841">
        <v>393</v>
      </c>
      <c r="R1841">
        <v>379</v>
      </c>
      <c r="S1841">
        <v>184</v>
      </c>
      <c r="T1841" t="s">
        <v>31</v>
      </c>
      <c r="U1841" t="s">
        <v>31</v>
      </c>
      <c r="V1841" t="s">
        <v>31</v>
      </c>
      <c r="W1841" t="s">
        <v>31</v>
      </c>
      <c r="X1841" t="s">
        <v>31</v>
      </c>
      <c r="Y1841" t="s">
        <v>31</v>
      </c>
    </row>
    <row r="1842" spans="1:25" hidden="1">
      <c r="A1842" t="s">
        <v>25</v>
      </c>
      <c r="B1842" t="s">
        <v>26</v>
      </c>
      <c r="C1842" t="s">
        <v>57</v>
      </c>
      <c r="D1842" s="1">
        <v>44678</v>
      </c>
      <c r="E1842" s="2">
        <v>0.72916666666666663</v>
      </c>
      <c r="F1842" t="s">
        <v>35</v>
      </c>
      <c r="G1842" t="s">
        <v>56</v>
      </c>
      <c r="H1842">
        <v>2</v>
      </c>
      <c r="I1842">
        <v>2</v>
      </c>
      <c r="J1842" t="s">
        <v>41</v>
      </c>
      <c r="K1842">
        <v>143</v>
      </c>
      <c r="L1842">
        <v>502</v>
      </c>
      <c r="M1842">
        <v>736</v>
      </c>
      <c r="N1842">
        <v>145</v>
      </c>
      <c r="O1842">
        <v>51</v>
      </c>
      <c r="P1842">
        <v>736</v>
      </c>
      <c r="Q1842">
        <v>142</v>
      </c>
      <c r="R1842">
        <v>482</v>
      </c>
      <c r="S1842">
        <v>654</v>
      </c>
      <c r="T1842" t="s">
        <v>31</v>
      </c>
      <c r="U1842" t="s">
        <v>31</v>
      </c>
      <c r="V1842" t="s">
        <v>31</v>
      </c>
      <c r="W1842" t="s">
        <v>31</v>
      </c>
      <c r="X1842" t="s">
        <v>31</v>
      </c>
      <c r="Y1842" t="s">
        <v>31</v>
      </c>
    </row>
    <row r="1843" spans="1:25" hidden="1">
      <c r="A1843" t="s">
        <v>25</v>
      </c>
      <c r="B1843" t="s">
        <v>26</v>
      </c>
      <c r="C1843" t="s">
        <v>57</v>
      </c>
      <c r="D1843" s="1">
        <v>44678</v>
      </c>
      <c r="E1843" s="2">
        <v>0.72916666666666663</v>
      </c>
      <c r="F1843" t="s">
        <v>28</v>
      </c>
      <c r="G1843" t="s">
        <v>29</v>
      </c>
      <c r="H1843">
        <v>2</v>
      </c>
      <c r="I1843">
        <v>1</v>
      </c>
      <c r="J1843" t="s">
        <v>34</v>
      </c>
      <c r="K1843">
        <v>448</v>
      </c>
      <c r="L1843">
        <v>364</v>
      </c>
      <c r="M1843">
        <v>187</v>
      </c>
      <c r="N1843">
        <v>452</v>
      </c>
      <c r="O1843">
        <v>385</v>
      </c>
      <c r="P1843">
        <v>209</v>
      </c>
      <c r="Q1843">
        <v>412</v>
      </c>
      <c r="R1843">
        <v>356</v>
      </c>
      <c r="S1843">
        <v>186</v>
      </c>
      <c r="T1843" t="s">
        <v>31</v>
      </c>
      <c r="U1843" t="s">
        <v>31</v>
      </c>
      <c r="V1843" t="s">
        <v>31</v>
      </c>
      <c r="W1843" t="s">
        <v>31</v>
      </c>
      <c r="X1843" t="s">
        <v>31</v>
      </c>
      <c r="Y1843" t="s">
        <v>31</v>
      </c>
    </row>
    <row r="1844" spans="1:25" hidden="1">
      <c r="A1844" t="s">
        <v>25</v>
      </c>
      <c r="B1844" t="s">
        <v>26</v>
      </c>
      <c r="C1844" t="s">
        <v>57</v>
      </c>
      <c r="D1844" s="1">
        <v>44678</v>
      </c>
      <c r="E1844" s="2">
        <v>0.72916666666666663</v>
      </c>
      <c r="F1844" t="s">
        <v>39</v>
      </c>
      <c r="G1844" t="s">
        <v>40</v>
      </c>
      <c r="H1844">
        <v>1</v>
      </c>
      <c r="I1844">
        <v>1</v>
      </c>
      <c r="J1844" t="s">
        <v>41</v>
      </c>
      <c r="K1844">
        <v>213</v>
      </c>
      <c r="L1844">
        <v>348</v>
      </c>
      <c r="M1844">
        <v>369</v>
      </c>
      <c r="N1844">
        <v>24</v>
      </c>
      <c r="O1844">
        <v>349</v>
      </c>
      <c r="P1844">
        <v>369</v>
      </c>
      <c r="Q1844">
        <v>214</v>
      </c>
      <c r="R1844">
        <v>335</v>
      </c>
      <c r="S1844">
        <v>34</v>
      </c>
      <c r="T1844" t="s">
        <v>31</v>
      </c>
      <c r="U1844" t="s">
        <v>31</v>
      </c>
      <c r="V1844" t="s">
        <v>31</v>
      </c>
      <c r="W1844" t="s">
        <v>31</v>
      </c>
      <c r="X1844" t="s">
        <v>31</v>
      </c>
      <c r="Y1844" t="s">
        <v>31</v>
      </c>
    </row>
    <row r="1845" spans="1:25" hidden="1">
      <c r="A1845" t="s">
        <v>25</v>
      </c>
      <c r="B1845" t="s">
        <v>26</v>
      </c>
      <c r="C1845" t="s">
        <v>57</v>
      </c>
      <c r="D1845" s="1">
        <v>44688</v>
      </c>
      <c r="E1845" s="2">
        <v>0.66666666666666663</v>
      </c>
      <c r="F1845" t="s">
        <v>37</v>
      </c>
      <c r="G1845" t="s">
        <v>54</v>
      </c>
      <c r="H1845">
        <v>1</v>
      </c>
      <c r="I1845">
        <v>1</v>
      </c>
      <c r="J1845" t="s">
        <v>41</v>
      </c>
      <c r="K1845">
        <v>242</v>
      </c>
      <c r="L1845">
        <v>345</v>
      </c>
      <c r="M1845">
        <v>309</v>
      </c>
      <c r="N1845">
        <v>27</v>
      </c>
      <c r="O1845">
        <v>356</v>
      </c>
      <c r="P1845">
        <v>309</v>
      </c>
      <c r="Q1845">
        <v>244</v>
      </c>
      <c r="R1845">
        <v>333</v>
      </c>
      <c r="S1845">
        <v>284</v>
      </c>
      <c r="T1845" t="s">
        <v>31</v>
      </c>
      <c r="U1845" t="s">
        <v>31</v>
      </c>
      <c r="V1845" t="s">
        <v>31</v>
      </c>
      <c r="W1845" t="s">
        <v>31</v>
      </c>
      <c r="X1845" t="s">
        <v>31</v>
      </c>
      <c r="Y1845" t="s">
        <v>31</v>
      </c>
    </row>
    <row r="1846" spans="1:25" hidden="1">
      <c r="A1846" t="s">
        <v>25</v>
      </c>
      <c r="B1846" t="s">
        <v>26</v>
      </c>
      <c r="C1846" t="s">
        <v>57</v>
      </c>
      <c r="D1846" s="1">
        <v>44688</v>
      </c>
      <c r="E1846" s="2">
        <v>0.66666666666666663</v>
      </c>
      <c r="F1846" t="s">
        <v>45</v>
      </c>
      <c r="G1846" t="s">
        <v>38</v>
      </c>
      <c r="H1846">
        <v>1</v>
      </c>
      <c r="I1846">
        <v>1</v>
      </c>
      <c r="J1846" t="s">
        <v>41</v>
      </c>
      <c r="K1846">
        <v>315</v>
      </c>
      <c r="L1846">
        <v>355</v>
      </c>
      <c r="M1846">
        <v>233</v>
      </c>
      <c r="N1846">
        <v>315</v>
      </c>
      <c r="O1846">
        <v>36</v>
      </c>
      <c r="P1846">
        <v>236</v>
      </c>
      <c r="Q1846">
        <v>301</v>
      </c>
      <c r="R1846">
        <v>339</v>
      </c>
      <c r="S1846">
        <v>229</v>
      </c>
      <c r="T1846" t="s">
        <v>31</v>
      </c>
      <c r="U1846" t="s">
        <v>31</v>
      </c>
      <c r="V1846" t="s">
        <v>31</v>
      </c>
      <c r="W1846" t="s">
        <v>31</v>
      </c>
      <c r="X1846" t="s">
        <v>31</v>
      </c>
      <c r="Y1846" t="s">
        <v>31</v>
      </c>
    </row>
    <row r="1847" spans="1:25" hidden="1">
      <c r="A1847" t="s">
        <v>25</v>
      </c>
      <c r="B1847" t="s">
        <v>26</v>
      </c>
      <c r="C1847" t="s">
        <v>57</v>
      </c>
      <c r="D1847" s="1">
        <v>44688</v>
      </c>
      <c r="E1847" s="2">
        <v>0.66666666666666663</v>
      </c>
      <c r="F1847" t="s">
        <v>50</v>
      </c>
      <c r="G1847" t="s">
        <v>52</v>
      </c>
      <c r="H1847">
        <v>3</v>
      </c>
      <c r="I1847">
        <v>3</v>
      </c>
      <c r="J1847" t="s">
        <v>41</v>
      </c>
      <c r="K1847">
        <v>147</v>
      </c>
      <c r="L1847">
        <v>484</v>
      </c>
      <c r="M1847">
        <v>694</v>
      </c>
      <c r="N1847">
        <v>153</v>
      </c>
      <c r="O1847">
        <v>484</v>
      </c>
      <c r="P1847">
        <v>75</v>
      </c>
      <c r="Q1847">
        <v>147</v>
      </c>
      <c r="R1847">
        <v>445</v>
      </c>
      <c r="S1847">
        <v>633</v>
      </c>
      <c r="T1847" t="s">
        <v>31</v>
      </c>
      <c r="U1847" t="s">
        <v>31</v>
      </c>
      <c r="V1847" t="s">
        <v>31</v>
      </c>
      <c r="W1847" t="s">
        <v>31</v>
      </c>
      <c r="X1847" t="s">
        <v>31</v>
      </c>
      <c r="Y1847" t="s">
        <v>31</v>
      </c>
    </row>
    <row r="1848" spans="1:25" hidden="1">
      <c r="A1848" t="s">
        <v>25</v>
      </c>
      <c r="B1848" t="s">
        <v>26</v>
      </c>
      <c r="C1848" t="s">
        <v>57</v>
      </c>
      <c r="D1848" s="1">
        <v>44689</v>
      </c>
      <c r="E1848" s="2">
        <v>0.5625</v>
      </c>
      <c r="F1848" t="s">
        <v>56</v>
      </c>
      <c r="G1848" t="s">
        <v>28</v>
      </c>
      <c r="H1848">
        <v>1</v>
      </c>
      <c r="I1848">
        <v>2</v>
      </c>
      <c r="J1848" t="s">
        <v>30</v>
      </c>
      <c r="K1848">
        <v>439</v>
      </c>
      <c r="L1848">
        <v>385</v>
      </c>
      <c r="M1848">
        <v>185</v>
      </c>
      <c r="N1848">
        <v>45</v>
      </c>
      <c r="O1848">
        <v>403</v>
      </c>
      <c r="P1848">
        <v>186</v>
      </c>
      <c r="Q1848">
        <v>411</v>
      </c>
      <c r="R1848">
        <v>379</v>
      </c>
      <c r="S1848">
        <v>18</v>
      </c>
      <c r="T1848" t="s">
        <v>31</v>
      </c>
      <c r="U1848" t="s">
        <v>31</v>
      </c>
      <c r="V1848" t="s">
        <v>31</v>
      </c>
      <c r="W1848" t="s">
        <v>31</v>
      </c>
      <c r="X1848" t="s">
        <v>31</v>
      </c>
      <c r="Y1848" t="s">
        <v>31</v>
      </c>
    </row>
    <row r="1849" spans="1:25" hidden="1">
      <c r="A1849" t="s">
        <v>25</v>
      </c>
      <c r="B1849" t="s">
        <v>26</v>
      </c>
      <c r="C1849" t="s">
        <v>57</v>
      </c>
      <c r="D1849" s="1">
        <v>44689</v>
      </c>
      <c r="E1849" s="2">
        <v>0.5625</v>
      </c>
      <c r="F1849" t="s">
        <v>29</v>
      </c>
      <c r="G1849" t="s">
        <v>39</v>
      </c>
      <c r="H1849">
        <v>4</v>
      </c>
      <c r="I1849">
        <v>0</v>
      </c>
      <c r="J1849" t="s">
        <v>34</v>
      </c>
      <c r="K1849">
        <v>132</v>
      </c>
      <c r="L1849">
        <v>601</v>
      </c>
      <c r="M1849">
        <v>867</v>
      </c>
      <c r="N1849">
        <v>136</v>
      </c>
      <c r="O1849">
        <v>601</v>
      </c>
      <c r="P1849">
        <v>10</v>
      </c>
      <c r="Q1849">
        <v>13</v>
      </c>
      <c r="R1849">
        <v>57</v>
      </c>
      <c r="S1849">
        <v>853</v>
      </c>
      <c r="T1849" t="s">
        <v>31</v>
      </c>
      <c r="U1849" t="s">
        <v>31</v>
      </c>
      <c r="V1849" t="s">
        <v>31</v>
      </c>
      <c r="W1849" t="s">
        <v>31</v>
      </c>
      <c r="X1849" t="s">
        <v>31</v>
      </c>
      <c r="Y1849" t="s">
        <v>31</v>
      </c>
    </row>
    <row r="1850" spans="1:25" hidden="1">
      <c r="A1850" t="s">
        <v>25</v>
      </c>
      <c r="B1850" t="s">
        <v>26</v>
      </c>
      <c r="C1850" t="s">
        <v>57</v>
      </c>
      <c r="D1850" s="1">
        <v>44689</v>
      </c>
      <c r="E1850" s="2">
        <v>0.66666666666666663</v>
      </c>
      <c r="F1850" t="s">
        <v>40</v>
      </c>
      <c r="G1850" t="s">
        <v>35</v>
      </c>
      <c r="H1850">
        <v>1</v>
      </c>
      <c r="I1850">
        <v>1</v>
      </c>
      <c r="J1850" t="s">
        <v>41</v>
      </c>
      <c r="K1850">
        <v>246</v>
      </c>
      <c r="L1850">
        <v>34</v>
      </c>
      <c r="M1850">
        <v>306</v>
      </c>
      <c r="N1850">
        <v>27</v>
      </c>
      <c r="O1850">
        <v>346</v>
      </c>
      <c r="P1850">
        <v>306</v>
      </c>
      <c r="Q1850">
        <v>243</v>
      </c>
      <c r="R1850">
        <v>329</v>
      </c>
      <c r="S1850">
        <v>287</v>
      </c>
      <c r="T1850" t="s">
        <v>31</v>
      </c>
      <c r="U1850" t="s">
        <v>31</v>
      </c>
      <c r="V1850" t="s">
        <v>31</v>
      </c>
      <c r="W1850" t="s">
        <v>31</v>
      </c>
      <c r="X1850" t="s">
        <v>31</v>
      </c>
      <c r="Y1850" t="s">
        <v>31</v>
      </c>
    </row>
    <row r="1851" spans="1:25" hidden="1">
      <c r="A1851" t="s">
        <v>25</v>
      </c>
      <c r="B1851" t="s">
        <v>26</v>
      </c>
      <c r="C1851" t="s">
        <v>57</v>
      </c>
      <c r="D1851" s="1">
        <v>44695</v>
      </c>
      <c r="E1851" s="2">
        <v>0.66666666666666663</v>
      </c>
      <c r="F1851" t="s">
        <v>37</v>
      </c>
      <c r="G1851" t="s">
        <v>45</v>
      </c>
      <c r="H1851">
        <v>0</v>
      </c>
      <c r="I1851">
        <v>3</v>
      </c>
      <c r="J1851" t="s">
        <v>30</v>
      </c>
      <c r="K1851">
        <v>21</v>
      </c>
      <c r="L1851">
        <v>337</v>
      </c>
      <c r="M1851">
        <v>393</v>
      </c>
      <c r="N1851">
        <v>22</v>
      </c>
      <c r="O1851">
        <v>344</v>
      </c>
      <c r="P1851">
        <v>393</v>
      </c>
      <c r="Q1851">
        <v>212</v>
      </c>
      <c r="R1851">
        <v>327</v>
      </c>
      <c r="S1851">
        <v>351</v>
      </c>
      <c r="T1851" t="s">
        <v>31</v>
      </c>
      <c r="U1851" t="s">
        <v>31</v>
      </c>
      <c r="V1851" t="s">
        <v>31</v>
      </c>
      <c r="W1851" t="s">
        <v>31</v>
      </c>
      <c r="X1851" t="s">
        <v>31</v>
      </c>
      <c r="Y1851" t="s">
        <v>31</v>
      </c>
    </row>
    <row r="1852" spans="1:25" hidden="1">
      <c r="A1852" t="s">
        <v>25</v>
      </c>
      <c r="B1852" t="s">
        <v>26</v>
      </c>
      <c r="C1852" t="s">
        <v>57</v>
      </c>
      <c r="D1852" s="1">
        <v>44695</v>
      </c>
      <c r="E1852" s="2">
        <v>0.66666666666666663</v>
      </c>
      <c r="F1852" t="s">
        <v>38</v>
      </c>
      <c r="G1852" t="s">
        <v>50</v>
      </c>
      <c r="H1852">
        <v>1</v>
      </c>
      <c r="I1852">
        <v>1</v>
      </c>
      <c r="J1852" t="s">
        <v>41</v>
      </c>
      <c r="K1852">
        <v>471</v>
      </c>
      <c r="L1852">
        <v>369</v>
      </c>
      <c r="M1852">
        <v>183</v>
      </c>
      <c r="N1852">
        <v>471</v>
      </c>
      <c r="O1852">
        <v>38</v>
      </c>
      <c r="P1852">
        <v>194</v>
      </c>
      <c r="Q1852">
        <v>39</v>
      </c>
      <c r="R1852">
        <v>363</v>
      </c>
      <c r="S1852">
        <v>188</v>
      </c>
      <c r="T1852" t="s">
        <v>31</v>
      </c>
      <c r="U1852" t="s">
        <v>31</v>
      </c>
      <c r="V1852" t="s">
        <v>31</v>
      </c>
      <c r="W1852" t="s">
        <v>31</v>
      </c>
      <c r="X1852" t="s">
        <v>31</v>
      </c>
      <c r="Y1852" t="s">
        <v>31</v>
      </c>
    </row>
    <row r="1853" spans="1:25" hidden="1">
      <c r="A1853" t="s">
        <v>25</v>
      </c>
      <c r="B1853" t="s">
        <v>26</v>
      </c>
      <c r="C1853" t="s">
        <v>57</v>
      </c>
      <c r="D1853" s="1">
        <v>44695</v>
      </c>
      <c r="E1853" s="2">
        <v>0.66666666666666663</v>
      </c>
      <c r="F1853" t="s">
        <v>54</v>
      </c>
      <c r="G1853" t="s">
        <v>52</v>
      </c>
      <c r="H1853">
        <v>4</v>
      </c>
      <c r="I1853">
        <v>2</v>
      </c>
      <c r="J1853" t="s">
        <v>34</v>
      </c>
      <c r="K1853">
        <v>216</v>
      </c>
      <c r="L1853">
        <v>386</v>
      </c>
      <c r="M1853">
        <v>326</v>
      </c>
      <c r="N1853">
        <v>227</v>
      </c>
      <c r="O1853">
        <v>386</v>
      </c>
      <c r="P1853">
        <v>327</v>
      </c>
      <c r="Q1853">
        <v>214</v>
      </c>
      <c r="R1853">
        <v>368</v>
      </c>
      <c r="S1853">
        <v>309</v>
      </c>
      <c r="T1853" t="s">
        <v>31</v>
      </c>
      <c r="U1853" t="s">
        <v>31</v>
      </c>
      <c r="V1853" t="s">
        <v>31</v>
      </c>
      <c r="W1853" t="s">
        <v>31</v>
      </c>
      <c r="X1853" t="s">
        <v>31</v>
      </c>
      <c r="Y1853" t="s">
        <v>31</v>
      </c>
    </row>
    <row r="1854" spans="1:25" hidden="1">
      <c r="A1854" t="s">
        <v>25</v>
      </c>
      <c r="B1854" t="s">
        <v>26</v>
      </c>
      <c r="C1854" t="s">
        <v>57</v>
      </c>
      <c r="D1854" s="1">
        <v>44696</v>
      </c>
      <c r="E1854" s="2">
        <v>0.66666666666666663</v>
      </c>
      <c r="F1854" t="s">
        <v>56</v>
      </c>
      <c r="G1854" t="s">
        <v>40</v>
      </c>
      <c r="H1854">
        <v>1</v>
      </c>
      <c r="I1854">
        <v>2</v>
      </c>
      <c r="J1854" t="s">
        <v>30</v>
      </c>
      <c r="K1854">
        <v>406</v>
      </c>
      <c r="L1854">
        <v>393</v>
      </c>
      <c r="M1854">
        <v>189</v>
      </c>
      <c r="N1854">
        <v>406</v>
      </c>
      <c r="O1854">
        <v>393</v>
      </c>
      <c r="P1854">
        <v>198</v>
      </c>
      <c r="Q1854">
        <v>377</v>
      </c>
      <c r="R1854">
        <v>371</v>
      </c>
      <c r="S1854">
        <v>189</v>
      </c>
      <c r="T1854" t="s">
        <v>31</v>
      </c>
      <c r="U1854" t="s">
        <v>31</v>
      </c>
      <c r="V1854" t="s">
        <v>31</v>
      </c>
      <c r="W1854" t="s">
        <v>31</v>
      </c>
      <c r="X1854" t="s">
        <v>31</v>
      </c>
      <c r="Y1854" t="s">
        <v>31</v>
      </c>
    </row>
    <row r="1855" spans="1:25" hidden="1">
      <c r="A1855" t="s">
        <v>25</v>
      </c>
      <c r="B1855" t="s">
        <v>26</v>
      </c>
      <c r="C1855" t="s">
        <v>57</v>
      </c>
      <c r="D1855" s="1">
        <v>44696</v>
      </c>
      <c r="E1855" s="2">
        <v>0.66666666666666663</v>
      </c>
      <c r="F1855" t="s">
        <v>35</v>
      </c>
      <c r="G1855" t="s">
        <v>29</v>
      </c>
      <c r="H1855">
        <v>0</v>
      </c>
      <c r="I1855">
        <v>1</v>
      </c>
      <c r="J1855" t="s">
        <v>30</v>
      </c>
      <c r="K1855">
        <v>609</v>
      </c>
      <c r="L1855">
        <v>498</v>
      </c>
      <c r="M1855">
        <v>15</v>
      </c>
      <c r="N1855">
        <v>65</v>
      </c>
      <c r="O1855">
        <v>498</v>
      </c>
      <c r="P1855">
        <v>16</v>
      </c>
      <c r="Q1855">
        <v>576</v>
      </c>
      <c r="R1855">
        <v>46</v>
      </c>
      <c r="S1855">
        <v>149</v>
      </c>
      <c r="T1855" t="s">
        <v>31</v>
      </c>
      <c r="U1855" t="s">
        <v>31</v>
      </c>
      <c r="V1855" t="s">
        <v>31</v>
      </c>
      <c r="W1855" t="s">
        <v>31</v>
      </c>
      <c r="X1855" t="s">
        <v>31</v>
      </c>
      <c r="Y1855" t="s">
        <v>31</v>
      </c>
    </row>
    <row r="1856" spans="1:25" hidden="1">
      <c r="A1856" t="s">
        <v>25</v>
      </c>
      <c r="B1856" t="s">
        <v>26</v>
      </c>
      <c r="C1856" t="s">
        <v>57</v>
      </c>
      <c r="D1856" s="1">
        <v>44696</v>
      </c>
      <c r="E1856" s="2">
        <v>0.66666666666666663</v>
      </c>
      <c r="F1856" t="s">
        <v>28</v>
      </c>
      <c r="G1856" t="s">
        <v>39</v>
      </c>
      <c r="H1856">
        <v>1</v>
      </c>
      <c r="I1856">
        <v>4</v>
      </c>
      <c r="J1856" t="s">
        <v>30</v>
      </c>
      <c r="K1856">
        <v>21</v>
      </c>
      <c r="L1856">
        <v>37</v>
      </c>
      <c r="M1856">
        <v>354</v>
      </c>
      <c r="N1856">
        <v>212</v>
      </c>
      <c r="O1856">
        <v>388</v>
      </c>
      <c r="P1856">
        <v>373</v>
      </c>
      <c r="Q1856">
        <v>202</v>
      </c>
      <c r="R1856">
        <v>364</v>
      </c>
      <c r="S1856">
        <v>341</v>
      </c>
      <c r="T1856" t="s">
        <v>31</v>
      </c>
      <c r="U1856" t="s">
        <v>31</v>
      </c>
      <c r="V1856" t="s">
        <v>31</v>
      </c>
      <c r="W1856" t="s">
        <v>31</v>
      </c>
      <c r="X1856" t="s">
        <v>31</v>
      </c>
      <c r="Y1856" t="s">
        <v>31</v>
      </c>
    </row>
    <row r="1857" spans="1:25" hidden="1">
      <c r="A1857" t="s">
        <v>25</v>
      </c>
      <c r="B1857" t="s">
        <v>26</v>
      </c>
      <c r="C1857" t="s">
        <v>57</v>
      </c>
      <c r="D1857" s="1">
        <v>44701</v>
      </c>
      <c r="E1857" s="2">
        <v>0.75</v>
      </c>
      <c r="F1857" t="s">
        <v>45</v>
      </c>
      <c r="G1857" t="s">
        <v>54</v>
      </c>
      <c r="H1857">
        <v>2</v>
      </c>
      <c r="I1857">
        <v>1</v>
      </c>
      <c r="J1857" t="s">
        <v>34</v>
      </c>
      <c r="K1857">
        <v>162</v>
      </c>
      <c r="L1857">
        <v>473</v>
      </c>
      <c r="M1857">
        <v>493</v>
      </c>
      <c r="N1857">
        <v>173</v>
      </c>
      <c r="O1857">
        <v>473</v>
      </c>
      <c r="P1857">
        <v>493</v>
      </c>
      <c r="Q1857">
        <v>166</v>
      </c>
      <c r="R1857">
        <v>423</v>
      </c>
      <c r="S1857">
        <v>447</v>
      </c>
      <c r="T1857" t="s">
        <v>31</v>
      </c>
      <c r="U1857" t="s">
        <v>31</v>
      </c>
      <c r="V1857" t="s">
        <v>31</v>
      </c>
      <c r="W1857" t="s">
        <v>31</v>
      </c>
      <c r="X1857" t="s">
        <v>31</v>
      </c>
      <c r="Y1857" t="s">
        <v>31</v>
      </c>
    </row>
    <row r="1858" spans="1:25" hidden="1">
      <c r="A1858" t="s">
        <v>25</v>
      </c>
      <c r="B1858" t="s">
        <v>26</v>
      </c>
      <c r="C1858" t="s">
        <v>57</v>
      </c>
      <c r="D1858" s="1">
        <v>44701</v>
      </c>
      <c r="E1858" s="2">
        <v>0.75</v>
      </c>
      <c r="F1858" t="s">
        <v>52</v>
      </c>
      <c r="G1858" t="s">
        <v>38</v>
      </c>
      <c r="H1858">
        <v>1</v>
      </c>
      <c r="I1858">
        <v>1</v>
      </c>
      <c r="J1858" t="s">
        <v>41</v>
      </c>
      <c r="K1858">
        <v>285</v>
      </c>
      <c r="L1858">
        <v>248</v>
      </c>
      <c r="M1858">
        <v>364</v>
      </c>
      <c r="N1858">
        <v>3</v>
      </c>
      <c r="O1858">
        <v>248</v>
      </c>
      <c r="P1858">
        <v>37</v>
      </c>
      <c r="Q1858">
        <v>275</v>
      </c>
      <c r="R1858">
        <v>237</v>
      </c>
      <c r="S1858">
        <v>347</v>
      </c>
      <c r="T1858" t="s">
        <v>31</v>
      </c>
      <c r="U1858" t="s">
        <v>31</v>
      </c>
      <c r="V1858" t="s">
        <v>31</v>
      </c>
      <c r="W1858" t="s">
        <v>31</v>
      </c>
      <c r="X1858" t="s">
        <v>31</v>
      </c>
      <c r="Y1858" t="s">
        <v>31</v>
      </c>
    </row>
    <row r="1859" spans="1:25" hidden="1">
      <c r="A1859" t="s">
        <v>25</v>
      </c>
      <c r="B1859" t="s">
        <v>26</v>
      </c>
      <c r="C1859" t="s">
        <v>57</v>
      </c>
      <c r="D1859" s="1">
        <v>44701</v>
      </c>
      <c r="E1859" s="2">
        <v>0.75</v>
      </c>
      <c r="F1859" t="s">
        <v>50</v>
      </c>
      <c r="G1859" t="s">
        <v>37</v>
      </c>
      <c r="H1859">
        <v>3</v>
      </c>
      <c r="I1859">
        <v>1</v>
      </c>
      <c r="J1859" t="s">
        <v>34</v>
      </c>
      <c r="K1859">
        <v>159</v>
      </c>
      <c r="L1859">
        <v>443</v>
      </c>
      <c r="M1859">
        <v>563</v>
      </c>
      <c r="N1859">
        <v>16</v>
      </c>
      <c r="O1859">
        <v>447</v>
      </c>
      <c r="P1859">
        <v>57</v>
      </c>
      <c r="Q1859">
        <v>156</v>
      </c>
      <c r="R1859">
        <v>424</v>
      </c>
      <c r="S1859">
        <v>535</v>
      </c>
      <c r="T1859" t="s">
        <v>31</v>
      </c>
      <c r="U1859" t="s">
        <v>31</v>
      </c>
      <c r="V1859" t="s">
        <v>31</v>
      </c>
      <c r="W1859" t="s">
        <v>31</v>
      </c>
      <c r="X1859" t="s">
        <v>31</v>
      </c>
      <c r="Y1859" t="s">
        <v>31</v>
      </c>
    </row>
    <row r="1860" spans="1:25" hidden="1">
      <c r="A1860" t="s">
        <v>25</v>
      </c>
      <c r="B1860" t="s">
        <v>26</v>
      </c>
      <c r="C1860" t="s">
        <v>57</v>
      </c>
      <c r="D1860" s="1">
        <v>44702</v>
      </c>
      <c r="E1860" s="2">
        <v>0.66666666666666663</v>
      </c>
      <c r="F1860" t="s">
        <v>40</v>
      </c>
      <c r="G1860" t="s">
        <v>28</v>
      </c>
      <c r="H1860">
        <v>4</v>
      </c>
      <c r="I1860">
        <v>2</v>
      </c>
      <c r="J1860" t="s">
        <v>34</v>
      </c>
      <c r="K1860">
        <v>194</v>
      </c>
      <c r="L1860">
        <v>402</v>
      </c>
      <c r="M1860">
        <v>377</v>
      </c>
      <c r="N1860">
        <v>199</v>
      </c>
      <c r="O1860">
        <v>402</v>
      </c>
      <c r="P1860">
        <v>385</v>
      </c>
      <c r="Q1860">
        <v>193</v>
      </c>
      <c r="R1860">
        <v>372</v>
      </c>
      <c r="S1860">
        <v>361</v>
      </c>
      <c r="T1860" t="s">
        <v>31</v>
      </c>
      <c r="U1860" t="s">
        <v>31</v>
      </c>
      <c r="V1860" t="s">
        <v>31</v>
      </c>
      <c r="W1860" t="s">
        <v>31</v>
      </c>
      <c r="X1860" t="s">
        <v>31</v>
      </c>
      <c r="Y1860" t="s">
        <v>31</v>
      </c>
    </row>
    <row r="1861" spans="1:25" hidden="1">
      <c r="A1861" t="s">
        <v>25</v>
      </c>
      <c r="B1861" t="s">
        <v>26</v>
      </c>
      <c r="C1861" t="s">
        <v>57</v>
      </c>
      <c r="D1861" s="1">
        <v>44702</v>
      </c>
      <c r="E1861" s="2">
        <v>0.66666666666666663</v>
      </c>
      <c r="F1861" t="s">
        <v>29</v>
      </c>
      <c r="G1861" t="s">
        <v>56</v>
      </c>
      <c r="H1861">
        <v>1</v>
      </c>
      <c r="I1861">
        <v>1</v>
      </c>
      <c r="J1861" t="s">
        <v>41</v>
      </c>
      <c r="K1861">
        <v>111</v>
      </c>
      <c r="L1861">
        <v>1214</v>
      </c>
      <c r="M1861">
        <v>1954</v>
      </c>
      <c r="N1861">
        <v>112</v>
      </c>
      <c r="O1861">
        <v>1214</v>
      </c>
      <c r="P1861">
        <v>29</v>
      </c>
      <c r="Q1861">
        <v>109</v>
      </c>
      <c r="R1861">
        <v>1061</v>
      </c>
      <c r="S1861">
        <v>2134</v>
      </c>
      <c r="T1861" t="s">
        <v>31</v>
      </c>
      <c r="U1861" t="s">
        <v>31</v>
      </c>
      <c r="V1861" t="s">
        <v>31</v>
      </c>
      <c r="W1861" t="s">
        <v>31</v>
      </c>
      <c r="X1861" t="s">
        <v>31</v>
      </c>
      <c r="Y1861" t="s">
        <v>31</v>
      </c>
    </row>
    <row r="1862" spans="1:25" hidden="1">
      <c r="A1862" t="s">
        <v>25</v>
      </c>
      <c r="B1862" t="s">
        <v>26</v>
      </c>
      <c r="C1862" t="s">
        <v>57</v>
      </c>
      <c r="D1862" s="1">
        <v>44702</v>
      </c>
      <c r="E1862" s="2">
        <v>0.66666666666666663</v>
      </c>
      <c r="F1862" t="s">
        <v>39</v>
      </c>
      <c r="G1862" t="s">
        <v>35</v>
      </c>
      <c r="H1862">
        <v>2</v>
      </c>
      <c r="I1862">
        <v>1</v>
      </c>
      <c r="J1862" t="s">
        <v>34</v>
      </c>
      <c r="K1862">
        <v>227</v>
      </c>
      <c r="L1862">
        <v>39</v>
      </c>
      <c r="M1862">
        <v>296</v>
      </c>
      <c r="N1862">
        <v>228</v>
      </c>
      <c r="O1862">
        <v>402</v>
      </c>
      <c r="P1862">
        <v>299</v>
      </c>
      <c r="Q1862">
        <v>222</v>
      </c>
      <c r="R1862">
        <v>375</v>
      </c>
      <c r="S1862">
        <v>289</v>
      </c>
      <c r="T1862" t="s">
        <v>31</v>
      </c>
      <c r="U1862" t="s">
        <v>31</v>
      </c>
      <c r="V1862" t="s">
        <v>31</v>
      </c>
      <c r="W1862" t="s">
        <v>31</v>
      </c>
      <c r="X1862" t="s">
        <v>31</v>
      </c>
      <c r="Y1862" t="s">
        <v>31</v>
      </c>
    </row>
    <row r="1863" spans="1:25" hidden="1">
      <c r="A1863" t="s">
        <v>25</v>
      </c>
      <c r="B1863" t="s">
        <v>26</v>
      </c>
      <c r="C1863" t="s">
        <v>57</v>
      </c>
      <c r="D1863" s="1">
        <v>44704</v>
      </c>
      <c r="E1863" s="2">
        <v>0.75</v>
      </c>
      <c r="F1863" t="s">
        <v>54</v>
      </c>
      <c r="G1863" t="s">
        <v>50</v>
      </c>
      <c r="H1863">
        <v>2</v>
      </c>
      <c r="I1863">
        <v>1</v>
      </c>
      <c r="J1863" t="s">
        <v>34</v>
      </c>
      <c r="K1863">
        <v>348</v>
      </c>
      <c r="L1863">
        <v>365</v>
      </c>
      <c r="M1863">
        <v>213</v>
      </c>
      <c r="N1863">
        <v>35</v>
      </c>
      <c r="O1863">
        <v>384</v>
      </c>
      <c r="P1863">
        <v>216</v>
      </c>
      <c r="Q1863">
        <v>328</v>
      </c>
      <c r="R1863">
        <v>362</v>
      </c>
      <c r="S1863">
        <v>207</v>
      </c>
      <c r="T1863" t="s">
        <v>31</v>
      </c>
      <c r="U1863" t="s">
        <v>31</v>
      </c>
      <c r="V1863" t="s">
        <v>31</v>
      </c>
      <c r="W1863" t="s">
        <v>31</v>
      </c>
      <c r="X1863" t="s">
        <v>31</v>
      </c>
      <c r="Y1863" t="s">
        <v>31</v>
      </c>
    </row>
    <row r="1864" spans="1:25" hidden="1">
      <c r="A1864" t="s">
        <v>25</v>
      </c>
      <c r="B1864" t="s">
        <v>26</v>
      </c>
      <c r="C1864" t="s">
        <v>57</v>
      </c>
      <c r="D1864" s="1">
        <v>44707</v>
      </c>
      <c r="E1864" s="2">
        <v>0.66666666666666663</v>
      </c>
      <c r="F1864" t="s">
        <v>54</v>
      </c>
      <c r="G1864" t="s">
        <v>35</v>
      </c>
      <c r="H1864">
        <v>1</v>
      </c>
      <c r="I1864">
        <v>2</v>
      </c>
      <c r="J1864" t="s">
        <v>30</v>
      </c>
      <c r="K1864">
        <v>292</v>
      </c>
      <c r="L1864">
        <v>363</v>
      </c>
      <c r="M1864">
        <v>244</v>
      </c>
      <c r="N1864">
        <v>292</v>
      </c>
      <c r="O1864">
        <v>37</v>
      </c>
      <c r="P1864">
        <v>246</v>
      </c>
      <c r="Q1864">
        <v>278</v>
      </c>
      <c r="R1864">
        <v>352</v>
      </c>
      <c r="S1864">
        <v>239</v>
      </c>
      <c r="T1864" t="s">
        <v>31</v>
      </c>
      <c r="U1864" t="s">
        <v>31</v>
      </c>
      <c r="V1864" t="s">
        <v>31</v>
      </c>
      <c r="W1864" t="s">
        <v>31</v>
      </c>
      <c r="X1864" t="s">
        <v>31</v>
      </c>
      <c r="Y1864" t="s">
        <v>31</v>
      </c>
    </row>
    <row r="1865" spans="1:25" hidden="1">
      <c r="A1865" t="s">
        <v>25</v>
      </c>
      <c r="B1865" t="s">
        <v>26</v>
      </c>
      <c r="C1865" t="s">
        <v>57</v>
      </c>
      <c r="D1865" s="1">
        <v>44710</v>
      </c>
      <c r="E1865" s="2">
        <v>0.66666666666666663</v>
      </c>
      <c r="F1865" t="s">
        <v>35</v>
      </c>
      <c r="G1865" t="s">
        <v>54</v>
      </c>
      <c r="H1865">
        <v>2</v>
      </c>
      <c r="I1865">
        <v>0</v>
      </c>
      <c r="J1865" t="s">
        <v>34</v>
      </c>
      <c r="K1865">
        <v>176</v>
      </c>
      <c r="L1865">
        <v>424</v>
      </c>
      <c r="M1865">
        <v>444</v>
      </c>
      <c r="N1865">
        <v>178</v>
      </c>
      <c r="O1865">
        <v>426</v>
      </c>
      <c r="P1865">
        <v>444</v>
      </c>
      <c r="Q1865">
        <v>174</v>
      </c>
      <c r="R1865">
        <v>404</v>
      </c>
      <c r="S1865">
        <v>414</v>
      </c>
      <c r="T1865" t="s">
        <v>31</v>
      </c>
      <c r="U1865" t="s">
        <v>31</v>
      </c>
      <c r="V1865" t="s">
        <v>31</v>
      </c>
      <c r="W1865" t="s">
        <v>31</v>
      </c>
      <c r="X1865" t="s">
        <v>31</v>
      </c>
      <c r="Y1865" t="s">
        <v>31</v>
      </c>
    </row>
    <row r="1866" spans="1:25" hidden="1">
      <c r="A1866" t="s">
        <v>25</v>
      </c>
      <c r="B1866" t="s">
        <v>26</v>
      </c>
      <c r="C1866" t="s">
        <v>58</v>
      </c>
      <c r="D1866" s="1">
        <v>44764</v>
      </c>
      <c r="E1866" s="2">
        <v>0.8125</v>
      </c>
      <c r="F1866" t="s">
        <v>29</v>
      </c>
      <c r="G1866" t="s">
        <v>40</v>
      </c>
      <c r="H1866">
        <v>3</v>
      </c>
      <c r="I1866">
        <v>0</v>
      </c>
      <c r="J1866" t="s">
        <v>34</v>
      </c>
      <c r="K1866">
        <v>133</v>
      </c>
      <c r="L1866">
        <v>614</v>
      </c>
      <c r="M1866">
        <v>857</v>
      </c>
      <c r="N1866">
        <v>143</v>
      </c>
      <c r="O1866">
        <v>614</v>
      </c>
      <c r="P1866">
        <v>10</v>
      </c>
      <c r="Q1866">
        <v>131</v>
      </c>
      <c r="R1866">
        <v>547</v>
      </c>
      <c r="S1866">
        <v>858</v>
      </c>
      <c r="T1866" t="s">
        <v>31</v>
      </c>
      <c r="U1866" t="s">
        <v>31</v>
      </c>
      <c r="V1866" t="s">
        <v>31</v>
      </c>
      <c r="W1866" t="s">
        <v>31</v>
      </c>
      <c r="X1866" t="s">
        <v>31</v>
      </c>
      <c r="Y1866" t="s">
        <v>31</v>
      </c>
    </row>
    <row r="1867" spans="1:25" hidden="1">
      <c r="A1867" t="s">
        <v>25</v>
      </c>
      <c r="B1867" t="s">
        <v>26</v>
      </c>
      <c r="C1867" t="s">
        <v>58</v>
      </c>
      <c r="D1867" s="1">
        <v>44765</v>
      </c>
      <c r="E1867" s="2">
        <v>0.66666666666666663</v>
      </c>
      <c r="F1867" t="s">
        <v>50</v>
      </c>
      <c r="G1867" t="s">
        <v>56</v>
      </c>
      <c r="H1867">
        <v>3</v>
      </c>
      <c r="I1867">
        <v>1</v>
      </c>
      <c r="J1867" t="s">
        <v>34</v>
      </c>
      <c r="K1867">
        <v>147</v>
      </c>
      <c r="L1867">
        <v>478</v>
      </c>
      <c r="M1867">
        <v>695</v>
      </c>
      <c r="N1867">
        <v>147</v>
      </c>
      <c r="O1867">
        <v>5</v>
      </c>
      <c r="P1867">
        <v>7</v>
      </c>
      <c r="Q1867">
        <v>143</v>
      </c>
      <c r="R1867">
        <v>47</v>
      </c>
      <c r="S1867">
        <v>653</v>
      </c>
      <c r="T1867" t="s">
        <v>31</v>
      </c>
      <c r="U1867" t="s">
        <v>31</v>
      </c>
      <c r="V1867" t="s">
        <v>31</v>
      </c>
      <c r="W1867" t="s">
        <v>31</v>
      </c>
      <c r="X1867" t="s">
        <v>31</v>
      </c>
      <c r="Y1867" t="s">
        <v>31</v>
      </c>
    </row>
    <row r="1868" spans="1:25" hidden="1">
      <c r="A1868" t="s">
        <v>25</v>
      </c>
      <c r="B1868" t="s">
        <v>26</v>
      </c>
      <c r="C1868" t="s">
        <v>58</v>
      </c>
      <c r="D1868" s="1">
        <v>44765</v>
      </c>
      <c r="E1868" s="2">
        <v>0.77083333333333337</v>
      </c>
      <c r="F1868" t="s">
        <v>39</v>
      </c>
      <c r="G1868" t="s">
        <v>28</v>
      </c>
      <c r="H1868">
        <v>1</v>
      </c>
      <c r="I1868">
        <v>1</v>
      </c>
      <c r="J1868" t="s">
        <v>41</v>
      </c>
      <c r="K1868">
        <v>308</v>
      </c>
      <c r="L1868">
        <v>362</v>
      </c>
      <c r="M1868">
        <v>234</v>
      </c>
      <c r="N1868">
        <v>31</v>
      </c>
      <c r="O1868">
        <v>363</v>
      </c>
      <c r="P1868">
        <v>24</v>
      </c>
      <c r="Q1868">
        <v>292</v>
      </c>
      <c r="R1868">
        <v>35</v>
      </c>
      <c r="S1868">
        <v>229</v>
      </c>
      <c r="T1868" t="s">
        <v>31</v>
      </c>
      <c r="U1868" t="s">
        <v>31</v>
      </c>
      <c r="V1868" t="s">
        <v>31</v>
      </c>
      <c r="W1868" t="s">
        <v>31</v>
      </c>
      <c r="X1868" t="s">
        <v>31</v>
      </c>
      <c r="Y1868" t="s">
        <v>31</v>
      </c>
    </row>
    <row r="1869" spans="1:25" hidden="1">
      <c r="A1869" t="s">
        <v>25</v>
      </c>
      <c r="B1869" t="s">
        <v>26</v>
      </c>
      <c r="C1869" t="s">
        <v>58</v>
      </c>
      <c r="D1869" s="1">
        <v>44766</v>
      </c>
      <c r="E1869" s="2">
        <v>0.66666666666666663</v>
      </c>
      <c r="F1869" t="s">
        <v>59</v>
      </c>
      <c r="G1869" t="s">
        <v>54</v>
      </c>
      <c r="H1869">
        <v>2</v>
      </c>
      <c r="I1869">
        <v>1</v>
      </c>
      <c r="J1869" t="s">
        <v>34</v>
      </c>
      <c r="K1869">
        <v>24</v>
      </c>
      <c r="L1869">
        <v>38</v>
      </c>
      <c r="M1869">
        <v>287</v>
      </c>
      <c r="N1869">
        <v>24</v>
      </c>
      <c r="O1869">
        <v>385</v>
      </c>
      <c r="P1869">
        <v>295</v>
      </c>
      <c r="Q1869">
        <v>233</v>
      </c>
      <c r="R1869">
        <v>364</v>
      </c>
      <c r="S1869">
        <v>275</v>
      </c>
      <c r="T1869" t="s">
        <v>31</v>
      </c>
      <c r="U1869" t="s">
        <v>31</v>
      </c>
      <c r="V1869" t="s">
        <v>31</v>
      </c>
      <c r="W1869" t="s">
        <v>31</v>
      </c>
      <c r="X1869" t="s">
        <v>31</v>
      </c>
      <c r="Y1869" t="s">
        <v>31</v>
      </c>
    </row>
    <row r="1870" spans="1:25" hidden="1">
      <c r="A1870" t="s">
        <v>25</v>
      </c>
      <c r="B1870" t="s">
        <v>26</v>
      </c>
      <c r="C1870" t="s">
        <v>58</v>
      </c>
      <c r="D1870" s="1">
        <v>44766</v>
      </c>
      <c r="E1870" s="2">
        <v>0.66666666666666663</v>
      </c>
      <c r="F1870" t="s">
        <v>52</v>
      </c>
      <c r="G1870" t="s">
        <v>45</v>
      </c>
      <c r="H1870">
        <v>2</v>
      </c>
      <c r="I1870">
        <v>1</v>
      </c>
      <c r="J1870" t="s">
        <v>34</v>
      </c>
      <c r="K1870">
        <v>216</v>
      </c>
      <c r="L1870">
        <v>357</v>
      </c>
      <c r="M1870">
        <v>35</v>
      </c>
      <c r="N1870">
        <v>225</v>
      </c>
      <c r="O1870">
        <v>362</v>
      </c>
      <c r="P1870">
        <v>35</v>
      </c>
      <c r="Q1870">
        <v>213</v>
      </c>
      <c r="R1870">
        <v>343</v>
      </c>
      <c r="S1870">
        <v>327</v>
      </c>
      <c r="T1870" t="s">
        <v>31</v>
      </c>
      <c r="U1870" t="s">
        <v>31</v>
      </c>
      <c r="V1870" t="s">
        <v>31</v>
      </c>
      <c r="W1870" t="s">
        <v>31</v>
      </c>
      <c r="X1870" t="s">
        <v>31</v>
      </c>
      <c r="Y1870" t="s">
        <v>31</v>
      </c>
    </row>
    <row r="1871" spans="1:25" hidden="1">
      <c r="A1871" t="s">
        <v>25</v>
      </c>
      <c r="B1871" t="s">
        <v>26</v>
      </c>
      <c r="C1871" t="s">
        <v>58</v>
      </c>
      <c r="D1871" s="1">
        <v>44766</v>
      </c>
      <c r="E1871" s="2">
        <v>0.66666666666666663</v>
      </c>
      <c r="F1871" t="s">
        <v>35</v>
      </c>
      <c r="G1871" t="s">
        <v>38</v>
      </c>
      <c r="H1871">
        <v>1</v>
      </c>
      <c r="I1871">
        <v>0</v>
      </c>
      <c r="J1871" t="s">
        <v>34</v>
      </c>
      <c r="K1871">
        <v>183</v>
      </c>
      <c r="L1871">
        <v>36</v>
      </c>
      <c r="M1871">
        <v>486</v>
      </c>
      <c r="N1871">
        <v>186</v>
      </c>
      <c r="O1871">
        <v>404</v>
      </c>
      <c r="P1871">
        <v>486</v>
      </c>
      <c r="Q1871">
        <v>179</v>
      </c>
      <c r="R1871">
        <v>359</v>
      </c>
      <c r="S1871">
        <v>439</v>
      </c>
      <c r="T1871" t="s">
        <v>31</v>
      </c>
      <c r="U1871" t="s">
        <v>31</v>
      </c>
      <c r="V1871" t="s">
        <v>31</v>
      </c>
      <c r="W1871" t="s">
        <v>31</v>
      </c>
      <c r="X1871" t="s">
        <v>31</v>
      </c>
      <c r="Y1871" t="s">
        <v>31</v>
      </c>
    </row>
    <row r="1872" spans="1:25" hidden="1">
      <c r="A1872" t="s">
        <v>25</v>
      </c>
      <c r="B1872" t="s">
        <v>26</v>
      </c>
      <c r="C1872" t="s">
        <v>58</v>
      </c>
      <c r="D1872" s="1">
        <v>44772</v>
      </c>
      <c r="E1872" s="2">
        <v>0.66666666666666663</v>
      </c>
      <c r="F1872" t="s">
        <v>45</v>
      </c>
      <c r="G1872" t="s">
        <v>39</v>
      </c>
      <c r="H1872">
        <v>2</v>
      </c>
      <c r="I1872">
        <v>2</v>
      </c>
      <c r="J1872" t="s">
        <v>41</v>
      </c>
      <c r="K1872">
        <v>315</v>
      </c>
      <c r="L1872">
        <v>356</v>
      </c>
      <c r="M1872">
        <v>232</v>
      </c>
      <c r="N1872">
        <v>333</v>
      </c>
      <c r="O1872">
        <v>364</v>
      </c>
      <c r="P1872">
        <v>242</v>
      </c>
      <c r="Q1872">
        <v>293</v>
      </c>
      <c r="R1872">
        <v>35</v>
      </c>
      <c r="S1872">
        <v>228</v>
      </c>
      <c r="T1872" t="s">
        <v>31</v>
      </c>
      <c r="U1872" t="s">
        <v>31</v>
      </c>
      <c r="V1872" t="s">
        <v>31</v>
      </c>
      <c r="W1872" t="s">
        <v>31</v>
      </c>
      <c r="X1872" t="s">
        <v>31</v>
      </c>
      <c r="Y1872" t="s">
        <v>31</v>
      </c>
    </row>
    <row r="1873" spans="1:25" hidden="1">
      <c r="A1873" t="s">
        <v>25</v>
      </c>
      <c r="B1873" t="s">
        <v>26</v>
      </c>
      <c r="C1873" t="s">
        <v>58</v>
      </c>
      <c r="D1873" s="1">
        <v>44772</v>
      </c>
      <c r="E1873" s="2">
        <v>0.66666666666666663</v>
      </c>
      <c r="F1873" t="s">
        <v>38</v>
      </c>
      <c r="G1873" t="s">
        <v>59</v>
      </c>
      <c r="H1873">
        <v>1</v>
      </c>
      <c r="I1873">
        <v>0</v>
      </c>
      <c r="J1873" t="s">
        <v>34</v>
      </c>
      <c r="K1873">
        <v>199</v>
      </c>
      <c r="L1873">
        <v>367</v>
      </c>
      <c r="M1873">
        <v>395</v>
      </c>
      <c r="N1873">
        <v>211</v>
      </c>
      <c r="O1873">
        <v>381</v>
      </c>
      <c r="P1873">
        <v>395</v>
      </c>
      <c r="Q1873">
        <v>198</v>
      </c>
      <c r="R1873">
        <v>36</v>
      </c>
      <c r="S1873">
        <v>354</v>
      </c>
      <c r="T1873" t="s">
        <v>31</v>
      </c>
      <c r="U1873" t="s">
        <v>31</v>
      </c>
      <c r="V1873" t="s">
        <v>31</v>
      </c>
      <c r="W1873" t="s">
        <v>31</v>
      </c>
      <c r="X1873" t="s">
        <v>31</v>
      </c>
      <c r="Y1873" t="s">
        <v>31</v>
      </c>
    </row>
    <row r="1874" spans="1:25" hidden="1">
      <c r="A1874" t="s">
        <v>25</v>
      </c>
      <c r="B1874" t="s">
        <v>26</v>
      </c>
      <c r="C1874" t="s">
        <v>58</v>
      </c>
      <c r="D1874" s="1">
        <v>44772</v>
      </c>
      <c r="E1874" s="2">
        <v>0.77083333333333337</v>
      </c>
      <c r="F1874" t="s">
        <v>28</v>
      </c>
      <c r="G1874" t="s">
        <v>29</v>
      </c>
      <c r="H1874">
        <v>2</v>
      </c>
      <c r="I1874">
        <v>1</v>
      </c>
      <c r="J1874" t="s">
        <v>34</v>
      </c>
      <c r="K1874">
        <v>594</v>
      </c>
      <c r="L1874">
        <v>454</v>
      </c>
      <c r="M1874">
        <v>156</v>
      </c>
      <c r="N1874">
        <v>6</v>
      </c>
      <c r="O1874">
        <v>47</v>
      </c>
      <c r="P1874">
        <v>158</v>
      </c>
      <c r="Q1874">
        <v>541</v>
      </c>
      <c r="R1874">
        <v>44</v>
      </c>
      <c r="S1874">
        <v>153</v>
      </c>
      <c r="T1874" t="s">
        <v>31</v>
      </c>
      <c r="U1874" t="s">
        <v>31</v>
      </c>
      <c r="V1874" t="s">
        <v>31</v>
      </c>
      <c r="W1874" t="s">
        <v>31</v>
      </c>
      <c r="X1874" t="s">
        <v>31</v>
      </c>
      <c r="Y1874" t="s">
        <v>31</v>
      </c>
    </row>
    <row r="1875" spans="1:25" hidden="1">
      <c r="A1875" t="s">
        <v>25</v>
      </c>
      <c r="B1875" t="s">
        <v>26</v>
      </c>
      <c r="C1875" t="s">
        <v>58</v>
      </c>
      <c r="D1875" s="1">
        <v>44773</v>
      </c>
      <c r="E1875" s="2">
        <v>0.66666666666666663</v>
      </c>
      <c r="F1875" t="s">
        <v>56</v>
      </c>
      <c r="G1875" t="s">
        <v>35</v>
      </c>
      <c r="H1875">
        <v>0</v>
      </c>
      <c r="I1875">
        <v>1</v>
      </c>
      <c r="J1875" t="s">
        <v>30</v>
      </c>
      <c r="K1875">
        <v>286</v>
      </c>
      <c r="L1875">
        <v>367</v>
      </c>
      <c r="M1875">
        <v>247</v>
      </c>
      <c r="N1875">
        <v>3</v>
      </c>
      <c r="O1875">
        <v>375</v>
      </c>
      <c r="P1875">
        <v>247</v>
      </c>
      <c r="Q1875">
        <v>277</v>
      </c>
      <c r="R1875">
        <v>36</v>
      </c>
      <c r="S1875">
        <v>235</v>
      </c>
      <c r="T1875" t="s">
        <v>31</v>
      </c>
      <c r="U1875" t="s">
        <v>31</v>
      </c>
      <c r="V1875" t="s">
        <v>31</v>
      </c>
      <c r="W1875" t="s">
        <v>31</v>
      </c>
      <c r="X1875" t="s">
        <v>31</v>
      </c>
      <c r="Y1875" t="s">
        <v>31</v>
      </c>
    </row>
    <row r="1876" spans="1:25" hidden="1">
      <c r="A1876" t="s">
        <v>25</v>
      </c>
      <c r="B1876" t="s">
        <v>26</v>
      </c>
      <c r="C1876" t="s">
        <v>58</v>
      </c>
      <c r="D1876" s="1">
        <v>44773</v>
      </c>
      <c r="E1876" s="2">
        <v>0.66666666666666663</v>
      </c>
      <c r="F1876" t="s">
        <v>40</v>
      </c>
      <c r="G1876" t="s">
        <v>50</v>
      </c>
      <c r="H1876">
        <v>1</v>
      </c>
      <c r="I1876">
        <v>1</v>
      </c>
      <c r="J1876" t="s">
        <v>41</v>
      </c>
      <c r="K1876">
        <v>273</v>
      </c>
      <c r="L1876">
        <v>354</v>
      </c>
      <c r="M1876">
        <v>264</v>
      </c>
      <c r="N1876">
        <v>273</v>
      </c>
      <c r="O1876">
        <v>37</v>
      </c>
      <c r="P1876">
        <v>27</v>
      </c>
      <c r="Q1876">
        <v>26</v>
      </c>
      <c r="R1876">
        <v>349</v>
      </c>
      <c r="S1876">
        <v>253</v>
      </c>
      <c r="T1876" t="s">
        <v>31</v>
      </c>
      <c r="U1876" t="s">
        <v>31</v>
      </c>
      <c r="V1876" t="s">
        <v>31</v>
      </c>
      <c r="W1876" t="s">
        <v>31</v>
      </c>
      <c r="X1876" t="s">
        <v>31</v>
      </c>
      <c r="Y1876" t="s">
        <v>31</v>
      </c>
    </row>
    <row r="1877" spans="1:25" hidden="1">
      <c r="A1877" t="s">
        <v>25</v>
      </c>
      <c r="B1877" t="s">
        <v>26</v>
      </c>
      <c r="C1877" t="s">
        <v>58</v>
      </c>
      <c r="D1877" s="1">
        <v>44773</v>
      </c>
      <c r="E1877" s="2">
        <v>0.66666666666666663</v>
      </c>
      <c r="F1877" t="s">
        <v>54</v>
      </c>
      <c r="G1877" t="s">
        <v>52</v>
      </c>
      <c r="H1877">
        <v>2</v>
      </c>
      <c r="I1877">
        <v>1</v>
      </c>
      <c r="J1877" t="s">
        <v>34</v>
      </c>
      <c r="K1877">
        <v>217</v>
      </c>
      <c r="L1877">
        <v>394</v>
      </c>
      <c r="M1877">
        <v>319</v>
      </c>
      <c r="N1877">
        <v>235</v>
      </c>
      <c r="O1877">
        <v>394</v>
      </c>
      <c r="P1877">
        <v>319</v>
      </c>
      <c r="Q1877">
        <v>222</v>
      </c>
      <c r="R1877">
        <v>37</v>
      </c>
      <c r="S1877">
        <v>291</v>
      </c>
      <c r="T1877" t="s">
        <v>31</v>
      </c>
      <c r="U1877" t="s">
        <v>31</v>
      </c>
      <c r="V1877" t="s">
        <v>31</v>
      </c>
      <c r="W1877" t="s">
        <v>31</v>
      </c>
      <c r="X1877" t="s">
        <v>31</v>
      </c>
      <c r="Y1877" t="s">
        <v>31</v>
      </c>
    </row>
    <row r="1878" spans="1:25" hidden="1">
      <c r="A1878" t="s">
        <v>25</v>
      </c>
      <c r="B1878" t="s">
        <v>26</v>
      </c>
      <c r="C1878" t="s">
        <v>58</v>
      </c>
      <c r="D1878" s="1">
        <v>44779</v>
      </c>
      <c r="E1878" s="2">
        <v>0.66666666666666663</v>
      </c>
      <c r="F1878" t="s">
        <v>38</v>
      </c>
      <c r="G1878" t="s">
        <v>28</v>
      </c>
      <c r="H1878">
        <v>1</v>
      </c>
      <c r="I1878">
        <v>1</v>
      </c>
      <c r="J1878" t="s">
        <v>41</v>
      </c>
      <c r="K1878">
        <v>369</v>
      </c>
      <c r="L1878">
        <v>354</v>
      </c>
      <c r="M1878">
        <v>211</v>
      </c>
      <c r="N1878">
        <v>4</v>
      </c>
      <c r="O1878">
        <v>367</v>
      </c>
      <c r="P1878">
        <v>215</v>
      </c>
      <c r="Q1878">
        <v>343</v>
      </c>
      <c r="R1878">
        <v>346</v>
      </c>
      <c r="S1878">
        <v>207</v>
      </c>
      <c r="T1878" t="s">
        <v>31</v>
      </c>
      <c r="U1878" t="s">
        <v>31</v>
      </c>
      <c r="V1878" t="s">
        <v>31</v>
      </c>
      <c r="W1878" t="s">
        <v>31</v>
      </c>
      <c r="X1878" t="s">
        <v>31</v>
      </c>
      <c r="Y1878" t="s">
        <v>31</v>
      </c>
    </row>
    <row r="1879" spans="1:25" hidden="1">
      <c r="A1879" t="s">
        <v>25</v>
      </c>
      <c r="B1879" t="s">
        <v>26</v>
      </c>
      <c r="C1879" t="s">
        <v>58</v>
      </c>
      <c r="D1879" s="1">
        <v>44779</v>
      </c>
      <c r="E1879" s="2">
        <v>0.66666666666666663</v>
      </c>
      <c r="F1879" t="s">
        <v>39</v>
      </c>
      <c r="G1879" t="s">
        <v>50</v>
      </c>
      <c r="H1879">
        <v>1</v>
      </c>
      <c r="I1879">
        <v>5</v>
      </c>
      <c r="J1879" t="s">
        <v>30</v>
      </c>
      <c r="K1879">
        <v>266</v>
      </c>
      <c r="L1879">
        <v>368</v>
      </c>
      <c r="M1879">
        <v>264</v>
      </c>
      <c r="N1879">
        <v>282</v>
      </c>
      <c r="O1879">
        <v>375</v>
      </c>
      <c r="P1879">
        <v>275</v>
      </c>
      <c r="Q1879">
        <v>261</v>
      </c>
      <c r="R1879">
        <v>354</v>
      </c>
      <c r="S1879">
        <v>251</v>
      </c>
      <c r="T1879" t="s">
        <v>31</v>
      </c>
      <c r="U1879" t="s">
        <v>31</v>
      </c>
      <c r="V1879" t="s">
        <v>31</v>
      </c>
      <c r="W1879" t="s">
        <v>31</v>
      </c>
      <c r="X1879" t="s">
        <v>31</v>
      </c>
      <c r="Y1879" t="s">
        <v>31</v>
      </c>
    </row>
    <row r="1880" spans="1:25" hidden="1">
      <c r="A1880" t="s">
        <v>25</v>
      </c>
      <c r="B1880" t="s">
        <v>26</v>
      </c>
      <c r="C1880" t="s">
        <v>58</v>
      </c>
      <c r="D1880" s="1">
        <v>44779</v>
      </c>
      <c r="E1880" s="2">
        <v>0.77083333333333337</v>
      </c>
      <c r="F1880" t="s">
        <v>52</v>
      </c>
      <c r="G1880" t="s">
        <v>29</v>
      </c>
      <c r="H1880">
        <v>0</v>
      </c>
      <c r="I1880">
        <v>2</v>
      </c>
      <c r="J1880" t="s">
        <v>30</v>
      </c>
      <c r="K1880">
        <v>1082</v>
      </c>
      <c r="L1880">
        <v>667</v>
      </c>
      <c r="M1880">
        <v>126</v>
      </c>
      <c r="N1880">
        <v>115</v>
      </c>
      <c r="O1880">
        <v>68</v>
      </c>
      <c r="P1880">
        <v>128</v>
      </c>
      <c r="Q1880">
        <v>1032</v>
      </c>
      <c r="R1880">
        <v>629</v>
      </c>
      <c r="S1880">
        <v>124</v>
      </c>
      <c r="T1880" t="s">
        <v>31</v>
      </c>
      <c r="U1880" t="s">
        <v>31</v>
      </c>
      <c r="V1880" t="s">
        <v>31</v>
      </c>
      <c r="W1880" t="s">
        <v>31</v>
      </c>
      <c r="X1880" t="s">
        <v>31</v>
      </c>
      <c r="Y1880" t="s">
        <v>31</v>
      </c>
    </row>
    <row r="1881" spans="1:25" hidden="1">
      <c r="A1881" t="s">
        <v>25</v>
      </c>
      <c r="B1881" t="s">
        <v>26</v>
      </c>
      <c r="C1881" t="s">
        <v>58</v>
      </c>
      <c r="D1881" s="1">
        <v>44780</v>
      </c>
      <c r="E1881" s="2">
        <v>0.66666666666666663</v>
      </c>
      <c r="F1881" t="s">
        <v>45</v>
      </c>
      <c r="G1881" t="s">
        <v>40</v>
      </c>
      <c r="H1881">
        <v>3</v>
      </c>
      <c r="I1881">
        <v>2</v>
      </c>
      <c r="J1881" t="s">
        <v>34</v>
      </c>
      <c r="K1881">
        <v>454</v>
      </c>
      <c r="L1881">
        <v>372</v>
      </c>
      <c r="M1881">
        <v>185</v>
      </c>
      <c r="N1881">
        <v>55</v>
      </c>
      <c r="O1881">
        <v>395</v>
      </c>
      <c r="P1881">
        <v>185</v>
      </c>
      <c r="Q1881">
        <v>436</v>
      </c>
      <c r="R1881">
        <v>375</v>
      </c>
      <c r="S1881">
        <v>176</v>
      </c>
      <c r="T1881" t="s">
        <v>31</v>
      </c>
      <c r="U1881" t="s">
        <v>31</v>
      </c>
      <c r="V1881" t="s">
        <v>31</v>
      </c>
      <c r="W1881" t="s">
        <v>31</v>
      </c>
      <c r="X1881" t="s">
        <v>31</v>
      </c>
      <c r="Y1881" t="s">
        <v>31</v>
      </c>
    </row>
    <row r="1882" spans="1:25" hidden="1">
      <c r="A1882" t="s">
        <v>25</v>
      </c>
      <c r="B1882" t="s">
        <v>26</v>
      </c>
      <c r="C1882" t="s">
        <v>58</v>
      </c>
      <c r="D1882" s="1">
        <v>44780</v>
      </c>
      <c r="E1882" s="2">
        <v>0.66666666666666663</v>
      </c>
      <c r="F1882" t="s">
        <v>35</v>
      </c>
      <c r="G1882" t="s">
        <v>59</v>
      </c>
      <c r="H1882">
        <v>1</v>
      </c>
      <c r="I1882">
        <v>1</v>
      </c>
      <c r="J1882" t="s">
        <v>41</v>
      </c>
      <c r="K1882">
        <v>14</v>
      </c>
      <c r="L1882">
        <v>544</v>
      </c>
      <c r="M1882">
        <v>745</v>
      </c>
      <c r="N1882">
        <v>149</v>
      </c>
      <c r="O1882">
        <v>544</v>
      </c>
      <c r="P1882">
        <v>745</v>
      </c>
      <c r="Q1882">
        <v>141</v>
      </c>
      <c r="R1882">
        <v>498</v>
      </c>
      <c r="S1882">
        <v>64</v>
      </c>
      <c r="T1882" t="s">
        <v>31</v>
      </c>
      <c r="U1882" t="s">
        <v>31</v>
      </c>
      <c r="V1882" t="s">
        <v>31</v>
      </c>
      <c r="W1882" t="s">
        <v>31</v>
      </c>
      <c r="X1882" t="s">
        <v>31</v>
      </c>
      <c r="Y1882" t="s">
        <v>31</v>
      </c>
    </row>
    <row r="1883" spans="1:25" hidden="1">
      <c r="A1883" t="s">
        <v>25</v>
      </c>
      <c r="B1883" t="s">
        <v>26</v>
      </c>
      <c r="C1883" t="s">
        <v>58</v>
      </c>
      <c r="D1883" s="1">
        <v>44780</v>
      </c>
      <c r="E1883" s="2">
        <v>0.66666666666666663</v>
      </c>
      <c r="F1883" t="s">
        <v>54</v>
      </c>
      <c r="G1883" t="s">
        <v>56</v>
      </c>
      <c r="H1883">
        <v>2</v>
      </c>
      <c r="I1883">
        <v>2</v>
      </c>
      <c r="J1883" t="s">
        <v>41</v>
      </c>
      <c r="K1883">
        <v>197</v>
      </c>
      <c r="L1883">
        <v>405</v>
      </c>
      <c r="M1883">
        <v>363</v>
      </c>
      <c r="N1883">
        <v>198</v>
      </c>
      <c r="O1883">
        <v>411</v>
      </c>
      <c r="P1883">
        <v>375</v>
      </c>
      <c r="Q1883">
        <v>19</v>
      </c>
      <c r="R1883">
        <v>391</v>
      </c>
      <c r="S1883">
        <v>354</v>
      </c>
      <c r="T1883" t="s">
        <v>31</v>
      </c>
      <c r="U1883" t="s">
        <v>31</v>
      </c>
      <c r="V1883" t="s">
        <v>31</v>
      </c>
      <c r="W1883" t="s">
        <v>31</v>
      </c>
      <c r="X1883" t="s">
        <v>31</v>
      </c>
      <c r="Y1883" t="s">
        <v>31</v>
      </c>
    </row>
    <row r="1884" spans="1:25" hidden="1">
      <c r="A1884" t="s">
        <v>25</v>
      </c>
      <c r="B1884" t="s">
        <v>26</v>
      </c>
      <c r="C1884" t="s">
        <v>58</v>
      </c>
      <c r="D1884" s="1">
        <v>44786</v>
      </c>
      <c r="E1884" s="2">
        <v>0.66666666666666663</v>
      </c>
      <c r="F1884" t="s">
        <v>56</v>
      </c>
      <c r="G1884" t="s">
        <v>38</v>
      </c>
      <c r="H1884">
        <v>1</v>
      </c>
      <c r="I1884">
        <v>0</v>
      </c>
      <c r="J1884" t="s">
        <v>34</v>
      </c>
      <c r="K1884">
        <v>202</v>
      </c>
      <c r="L1884">
        <v>373</v>
      </c>
      <c r="M1884">
        <v>376</v>
      </c>
      <c r="N1884">
        <v>213</v>
      </c>
      <c r="O1884">
        <v>373</v>
      </c>
      <c r="P1884">
        <v>376</v>
      </c>
      <c r="Q1884">
        <v>205</v>
      </c>
      <c r="R1884">
        <v>349</v>
      </c>
      <c r="S1884">
        <v>348</v>
      </c>
      <c r="T1884" t="s">
        <v>31</v>
      </c>
      <c r="U1884" t="s">
        <v>31</v>
      </c>
      <c r="V1884" t="s">
        <v>31</v>
      </c>
      <c r="W1884" t="s">
        <v>31</v>
      </c>
      <c r="X1884" t="s">
        <v>31</v>
      </c>
      <c r="Y1884" t="s">
        <v>31</v>
      </c>
    </row>
    <row r="1885" spans="1:25" hidden="1">
      <c r="A1885" t="s">
        <v>25</v>
      </c>
      <c r="B1885" t="s">
        <v>26</v>
      </c>
      <c r="C1885" t="s">
        <v>58</v>
      </c>
      <c r="D1885" s="1">
        <v>44786</v>
      </c>
      <c r="E1885" s="2">
        <v>0.66666666666666663</v>
      </c>
      <c r="F1885" t="s">
        <v>40</v>
      </c>
      <c r="G1885" t="s">
        <v>54</v>
      </c>
      <c r="H1885">
        <v>2</v>
      </c>
      <c r="I1885">
        <v>1</v>
      </c>
      <c r="J1885" t="s">
        <v>34</v>
      </c>
      <c r="K1885">
        <v>174</v>
      </c>
      <c r="L1885">
        <v>424</v>
      </c>
      <c r="M1885">
        <v>458</v>
      </c>
      <c r="N1885">
        <v>179</v>
      </c>
      <c r="O1885">
        <v>459</v>
      </c>
      <c r="P1885">
        <v>475</v>
      </c>
      <c r="Q1885">
        <v>174</v>
      </c>
      <c r="R1885">
        <v>402</v>
      </c>
      <c r="S1885">
        <v>419</v>
      </c>
      <c r="T1885" t="s">
        <v>31</v>
      </c>
      <c r="U1885" t="s">
        <v>31</v>
      </c>
      <c r="V1885" t="s">
        <v>31</v>
      </c>
      <c r="W1885" t="s">
        <v>31</v>
      </c>
      <c r="X1885" t="s">
        <v>31</v>
      </c>
      <c r="Y1885" t="s">
        <v>31</v>
      </c>
    </row>
    <row r="1886" spans="1:25" hidden="1">
      <c r="A1886" t="s">
        <v>25</v>
      </c>
      <c r="B1886" t="s">
        <v>26</v>
      </c>
      <c r="C1886" t="s">
        <v>58</v>
      </c>
      <c r="D1886" s="1">
        <v>44786</v>
      </c>
      <c r="E1886" s="2">
        <v>0.77083333333333337</v>
      </c>
      <c r="F1886" t="s">
        <v>28</v>
      </c>
      <c r="G1886" t="s">
        <v>45</v>
      </c>
      <c r="H1886">
        <v>4</v>
      </c>
      <c r="I1886">
        <v>0</v>
      </c>
      <c r="J1886" t="s">
        <v>34</v>
      </c>
      <c r="K1886">
        <v>146</v>
      </c>
      <c r="L1886">
        <v>484</v>
      </c>
      <c r="M1886">
        <v>704</v>
      </c>
      <c r="N1886">
        <v>152</v>
      </c>
      <c r="O1886">
        <v>484</v>
      </c>
      <c r="P1886">
        <v>704</v>
      </c>
      <c r="Q1886">
        <v>148</v>
      </c>
      <c r="R1886">
        <v>443</v>
      </c>
      <c r="S1886">
        <v>621</v>
      </c>
      <c r="T1886" t="s">
        <v>31</v>
      </c>
      <c r="U1886" t="s">
        <v>31</v>
      </c>
      <c r="V1886" t="s">
        <v>31</v>
      </c>
      <c r="W1886" t="s">
        <v>31</v>
      </c>
      <c r="X1886" t="s">
        <v>31</v>
      </c>
      <c r="Y1886" t="s">
        <v>31</v>
      </c>
    </row>
    <row r="1887" spans="1:25" hidden="1">
      <c r="A1887" t="s">
        <v>25</v>
      </c>
      <c r="B1887" t="s">
        <v>26</v>
      </c>
      <c r="C1887" t="s">
        <v>58</v>
      </c>
      <c r="D1887" s="1">
        <v>44787</v>
      </c>
      <c r="E1887" s="2">
        <v>0.66666666666666663</v>
      </c>
      <c r="F1887" t="s">
        <v>59</v>
      </c>
      <c r="G1887" t="s">
        <v>52</v>
      </c>
      <c r="H1887">
        <v>4</v>
      </c>
      <c r="I1887">
        <v>1</v>
      </c>
      <c r="J1887" t="s">
        <v>34</v>
      </c>
      <c r="K1887">
        <v>242</v>
      </c>
      <c r="L1887">
        <v>361</v>
      </c>
      <c r="M1887">
        <v>296</v>
      </c>
      <c r="N1887">
        <v>245</v>
      </c>
      <c r="O1887">
        <v>372</v>
      </c>
      <c r="P1887">
        <v>305</v>
      </c>
      <c r="Q1887">
        <v>234</v>
      </c>
      <c r="R1887">
        <v>351</v>
      </c>
      <c r="S1887">
        <v>284</v>
      </c>
      <c r="T1887" t="s">
        <v>31</v>
      </c>
      <c r="U1887" t="s">
        <v>31</v>
      </c>
      <c r="V1887" t="s">
        <v>31</v>
      </c>
      <c r="W1887" t="s">
        <v>31</v>
      </c>
      <c r="X1887" t="s">
        <v>31</v>
      </c>
      <c r="Y1887" t="s">
        <v>31</v>
      </c>
    </row>
    <row r="1888" spans="1:25" hidden="1">
      <c r="A1888" t="s">
        <v>25</v>
      </c>
      <c r="B1888" t="s">
        <v>26</v>
      </c>
      <c r="C1888" t="s">
        <v>58</v>
      </c>
      <c r="D1888" s="1">
        <v>44787</v>
      </c>
      <c r="E1888" s="2">
        <v>0.66666666666666663</v>
      </c>
      <c r="F1888" t="s">
        <v>50</v>
      </c>
      <c r="G1888" t="s">
        <v>35</v>
      </c>
      <c r="H1888">
        <v>2</v>
      </c>
      <c r="I1888">
        <v>1</v>
      </c>
      <c r="J1888" t="s">
        <v>34</v>
      </c>
      <c r="K1888">
        <v>165</v>
      </c>
      <c r="L1888">
        <v>445</v>
      </c>
      <c r="M1888">
        <v>498</v>
      </c>
      <c r="N1888">
        <v>175</v>
      </c>
      <c r="O1888">
        <v>45</v>
      </c>
      <c r="P1888">
        <v>537</v>
      </c>
      <c r="Q1888">
        <v>164</v>
      </c>
      <c r="R1888">
        <v>417</v>
      </c>
      <c r="S1888">
        <v>472</v>
      </c>
      <c r="T1888" t="s">
        <v>31</v>
      </c>
      <c r="U1888" t="s">
        <v>31</v>
      </c>
      <c r="V1888" t="s">
        <v>31</v>
      </c>
      <c r="W1888" t="s">
        <v>31</v>
      </c>
      <c r="X1888" t="s">
        <v>31</v>
      </c>
      <c r="Y1888" t="s">
        <v>31</v>
      </c>
    </row>
    <row r="1889" spans="1:25" hidden="1">
      <c r="A1889" t="s">
        <v>25</v>
      </c>
      <c r="B1889" t="s">
        <v>26</v>
      </c>
      <c r="C1889" t="s">
        <v>58</v>
      </c>
      <c r="D1889" s="1">
        <v>44787</v>
      </c>
      <c r="E1889" s="2">
        <v>0.66666666666666663</v>
      </c>
      <c r="F1889" t="s">
        <v>29</v>
      </c>
      <c r="G1889" t="s">
        <v>39</v>
      </c>
      <c r="H1889">
        <v>2</v>
      </c>
      <c r="I1889">
        <v>1</v>
      </c>
      <c r="J1889" t="s">
        <v>34</v>
      </c>
      <c r="K1889">
        <v>124</v>
      </c>
      <c r="L1889">
        <v>706</v>
      </c>
      <c r="M1889">
        <v>1158</v>
      </c>
      <c r="N1889">
        <v>126</v>
      </c>
      <c r="O1889">
        <v>756</v>
      </c>
      <c r="P1889">
        <v>12</v>
      </c>
      <c r="Q1889">
        <v>122</v>
      </c>
      <c r="R1889">
        <v>664</v>
      </c>
      <c r="S1889">
        <v>1084</v>
      </c>
      <c r="T1889" t="s">
        <v>31</v>
      </c>
      <c r="U1889" t="s">
        <v>31</v>
      </c>
      <c r="V1889" t="s">
        <v>31</v>
      </c>
      <c r="W1889" t="s">
        <v>31</v>
      </c>
      <c r="X1889" t="s">
        <v>31</v>
      </c>
      <c r="Y1889" t="s">
        <v>31</v>
      </c>
    </row>
    <row r="1890" spans="1:25" hidden="1">
      <c r="A1890" t="s">
        <v>25</v>
      </c>
      <c r="B1890" t="s">
        <v>26</v>
      </c>
      <c r="C1890" t="s">
        <v>58</v>
      </c>
      <c r="D1890" s="1">
        <v>44793</v>
      </c>
      <c r="E1890" s="2">
        <v>0.66666666666666663</v>
      </c>
      <c r="F1890" t="s">
        <v>45</v>
      </c>
      <c r="G1890" t="s">
        <v>59</v>
      </c>
      <c r="H1890">
        <v>1</v>
      </c>
      <c r="I1890">
        <v>2</v>
      </c>
      <c r="J1890" t="s">
        <v>30</v>
      </c>
      <c r="K1890">
        <v>215</v>
      </c>
      <c r="L1890">
        <v>372</v>
      </c>
      <c r="M1890">
        <v>34</v>
      </c>
      <c r="N1890">
        <v>24</v>
      </c>
      <c r="O1890">
        <v>373</v>
      </c>
      <c r="P1890">
        <v>34</v>
      </c>
      <c r="Q1890">
        <v>223</v>
      </c>
      <c r="R1890">
        <v>349</v>
      </c>
      <c r="S1890">
        <v>305</v>
      </c>
      <c r="T1890" t="s">
        <v>31</v>
      </c>
      <c r="U1890" t="s">
        <v>31</v>
      </c>
      <c r="V1890" t="s">
        <v>31</v>
      </c>
      <c r="W1890" t="s">
        <v>31</v>
      </c>
      <c r="X1890" t="s">
        <v>31</v>
      </c>
      <c r="Y1890" t="s">
        <v>31</v>
      </c>
    </row>
    <row r="1891" spans="1:25" hidden="1">
      <c r="A1891" t="s">
        <v>25</v>
      </c>
      <c r="B1891" t="s">
        <v>26</v>
      </c>
      <c r="C1891" t="s">
        <v>58</v>
      </c>
      <c r="D1891" s="1">
        <v>44793</v>
      </c>
      <c r="E1891" s="2">
        <v>0.66666666666666663</v>
      </c>
      <c r="F1891" t="s">
        <v>29</v>
      </c>
      <c r="G1891" t="s">
        <v>56</v>
      </c>
      <c r="H1891">
        <v>2</v>
      </c>
      <c r="I1891">
        <v>0</v>
      </c>
      <c r="J1891" t="s">
        <v>34</v>
      </c>
      <c r="K1891">
        <v>123</v>
      </c>
      <c r="L1891">
        <v>711</v>
      </c>
      <c r="M1891">
        <v>1239</v>
      </c>
      <c r="N1891">
        <v>123</v>
      </c>
      <c r="O1891">
        <v>77</v>
      </c>
      <c r="P1891">
        <v>15</v>
      </c>
      <c r="Q1891">
        <v>121</v>
      </c>
      <c r="R1891">
        <v>682</v>
      </c>
      <c r="S1891">
        <v>1128</v>
      </c>
      <c r="T1891" t="s">
        <v>31</v>
      </c>
      <c r="U1891" t="s">
        <v>31</v>
      </c>
      <c r="V1891" t="s">
        <v>31</v>
      </c>
      <c r="W1891" t="s">
        <v>31</v>
      </c>
      <c r="X1891" t="s">
        <v>31</v>
      </c>
      <c r="Y1891" t="s">
        <v>31</v>
      </c>
    </row>
    <row r="1892" spans="1:25" hidden="1">
      <c r="A1892" t="s">
        <v>25</v>
      </c>
      <c r="B1892" t="s">
        <v>26</v>
      </c>
      <c r="C1892" t="s">
        <v>58</v>
      </c>
      <c r="D1892" s="1">
        <v>44793</v>
      </c>
      <c r="E1892" s="2">
        <v>0.77083333333333337</v>
      </c>
      <c r="F1892" t="s">
        <v>28</v>
      </c>
      <c r="G1892" t="s">
        <v>50</v>
      </c>
      <c r="H1892">
        <v>0</v>
      </c>
      <c r="I1892">
        <v>1</v>
      </c>
      <c r="J1892" t="s">
        <v>30</v>
      </c>
      <c r="K1892">
        <v>245</v>
      </c>
      <c r="L1892">
        <v>36</v>
      </c>
      <c r="M1892">
        <v>292</v>
      </c>
      <c r="N1892">
        <v>25</v>
      </c>
      <c r="O1892">
        <v>375</v>
      </c>
      <c r="P1892">
        <v>292</v>
      </c>
      <c r="Q1892">
        <v>238</v>
      </c>
      <c r="R1892">
        <v>351</v>
      </c>
      <c r="S1892">
        <v>28</v>
      </c>
      <c r="T1892" t="s">
        <v>31</v>
      </c>
      <c r="U1892" t="s">
        <v>31</v>
      </c>
      <c r="V1892" t="s">
        <v>31</v>
      </c>
      <c r="W1892" t="s">
        <v>31</v>
      </c>
      <c r="X1892" t="s">
        <v>31</v>
      </c>
      <c r="Y1892" t="s">
        <v>31</v>
      </c>
    </row>
    <row r="1893" spans="1:25" hidden="1">
      <c r="A1893" t="s">
        <v>25</v>
      </c>
      <c r="B1893" t="s">
        <v>26</v>
      </c>
      <c r="C1893" t="s">
        <v>58</v>
      </c>
      <c r="D1893" s="1">
        <v>44794</v>
      </c>
      <c r="E1893" s="2">
        <v>0.66666666666666663</v>
      </c>
      <c r="F1893" t="s">
        <v>38</v>
      </c>
      <c r="G1893" t="s">
        <v>54</v>
      </c>
      <c r="H1893">
        <v>1</v>
      </c>
      <c r="I1893">
        <v>2</v>
      </c>
      <c r="J1893" t="s">
        <v>30</v>
      </c>
      <c r="K1893">
        <v>272</v>
      </c>
      <c r="L1893">
        <v>365</v>
      </c>
      <c r="M1893">
        <v>259</v>
      </c>
      <c r="N1893">
        <v>285</v>
      </c>
      <c r="O1893">
        <v>377</v>
      </c>
      <c r="P1893">
        <v>259</v>
      </c>
      <c r="Q1893">
        <v>267</v>
      </c>
      <c r="R1893">
        <v>351</v>
      </c>
      <c r="S1893">
        <v>247</v>
      </c>
      <c r="T1893" t="s">
        <v>31</v>
      </c>
      <c r="U1893" t="s">
        <v>31</v>
      </c>
      <c r="V1893" t="s">
        <v>31</v>
      </c>
      <c r="W1893" t="s">
        <v>31</v>
      </c>
      <c r="X1893" t="s">
        <v>31</v>
      </c>
      <c r="Y1893" t="s">
        <v>31</v>
      </c>
    </row>
    <row r="1894" spans="1:25" hidden="1">
      <c r="A1894" t="s">
        <v>25</v>
      </c>
      <c r="B1894" t="s">
        <v>26</v>
      </c>
      <c r="C1894" t="s">
        <v>58</v>
      </c>
      <c r="D1894" s="1">
        <v>44794</v>
      </c>
      <c r="E1894" s="2">
        <v>0.66666666666666663</v>
      </c>
      <c r="F1894" t="s">
        <v>39</v>
      </c>
      <c r="G1894" t="s">
        <v>40</v>
      </c>
      <c r="H1894">
        <v>1</v>
      </c>
      <c r="I1894">
        <v>2</v>
      </c>
      <c r="J1894" t="s">
        <v>30</v>
      </c>
      <c r="K1894">
        <v>244</v>
      </c>
      <c r="L1894">
        <v>348</v>
      </c>
      <c r="M1894">
        <v>303</v>
      </c>
      <c r="N1894">
        <v>25</v>
      </c>
      <c r="O1894">
        <v>366</v>
      </c>
      <c r="P1894">
        <v>32</v>
      </c>
      <c r="Q1894">
        <v>236</v>
      </c>
      <c r="R1894">
        <v>339</v>
      </c>
      <c r="S1894">
        <v>292</v>
      </c>
      <c r="T1894" t="s">
        <v>31</v>
      </c>
      <c r="U1894" t="s">
        <v>31</v>
      </c>
      <c r="V1894" t="s">
        <v>31</v>
      </c>
      <c r="W1894" t="s">
        <v>31</v>
      </c>
      <c r="X1894" t="s">
        <v>31</v>
      </c>
      <c r="Y1894" t="s">
        <v>31</v>
      </c>
    </row>
    <row r="1895" spans="1:25" hidden="1">
      <c r="A1895" t="s">
        <v>25</v>
      </c>
      <c r="B1895" t="s">
        <v>26</v>
      </c>
      <c r="C1895" t="s">
        <v>58</v>
      </c>
      <c r="D1895" s="1">
        <v>44800</v>
      </c>
      <c r="E1895" s="2">
        <v>0.66666666666666663</v>
      </c>
      <c r="F1895" t="s">
        <v>59</v>
      </c>
      <c r="G1895" t="s">
        <v>29</v>
      </c>
      <c r="H1895">
        <v>0</v>
      </c>
      <c r="I1895">
        <v>6</v>
      </c>
      <c r="J1895" t="s">
        <v>30</v>
      </c>
      <c r="K1895">
        <v>1292</v>
      </c>
      <c r="L1895">
        <v>753</v>
      </c>
      <c r="M1895">
        <v>121</v>
      </c>
      <c r="N1895">
        <v>13</v>
      </c>
      <c r="O1895">
        <v>753</v>
      </c>
      <c r="P1895">
        <v>126</v>
      </c>
      <c r="Q1895">
        <v>116</v>
      </c>
      <c r="R1895">
        <v>707</v>
      </c>
      <c r="S1895">
        <v>12</v>
      </c>
      <c r="T1895" t="s">
        <v>31</v>
      </c>
      <c r="U1895" t="s">
        <v>31</v>
      </c>
      <c r="V1895" t="s">
        <v>31</v>
      </c>
      <c r="W1895" t="s">
        <v>31</v>
      </c>
      <c r="X1895" t="s">
        <v>31</v>
      </c>
      <c r="Y1895" t="s">
        <v>31</v>
      </c>
    </row>
    <row r="1896" spans="1:25" hidden="1">
      <c r="A1896" t="s">
        <v>25</v>
      </c>
      <c r="B1896" t="s">
        <v>26</v>
      </c>
      <c r="C1896" t="s">
        <v>58</v>
      </c>
      <c r="D1896" s="1">
        <v>44800</v>
      </c>
      <c r="E1896" s="2">
        <v>0.66666666666666663</v>
      </c>
      <c r="F1896" t="s">
        <v>52</v>
      </c>
      <c r="G1896" t="s">
        <v>38</v>
      </c>
      <c r="H1896">
        <v>2</v>
      </c>
      <c r="I1896">
        <v>0</v>
      </c>
      <c r="J1896" t="s">
        <v>34</v>
      </c>
      <c r="K1896">
        <v>235</v>
      </c>
      <c r="L1896">
        <v>353</v>
      </c>
      <c r="M1896">
        <v>313</v>
      </c>
      <c r="N1896">
        <v>241</v>
      </c>
      <c r="O1896">
        <v>353</v>
      </c>
      <c r="P1896">
        <v>33</v>
      </c>
      <c r="Q1896">
        <v>227</v>
      </c>
      <c r="R1896">
        <v>34</v>
      </c>
      <c r="S1896">
        <v>304</v>
      </c>
      <c r="T1896" t="s">
        <v>31</v>
      </c>
      <c r="U1896" t="s">
        <v>31</v>
      </c>
      <c r="V1896" t="s">
        <v>31</v>
      </c>
      <c r="W1896" t="s">
        <v>31</v>
      </c>
      <c r="X1896" t="s">
        <v>31</v>
      </c>
      <c r="Y1896" t="s">
        <v>31</v>
      </c>
    </row>
    <row r="1897" spans="1:25" hidden="1">
      <c r="A1897" t="s">
        <v>25</v>
      </c>
      <c r="B1897" t="s">
        <v>26</v>
      </c>
      <c r="C1897" t="s">
        <v>58</v>
      </c>
      <c r="D1897" s="1">
        <v>44800</v>
      </c>
      <c r="E1897" s="2">
        <v>0.77083333333333337</v>
      </c>
      <c r="F1897" t="s">
        <v>50</v>
      </c>
      <c r="G1897" t="s">
        <v>45</v>
      </c>
      <c r="H1897">
        <v>4</v>
      </c>
      <c r="I1897">
        <v>1</v>
      </c>
      <c r="J1897" t="s">
        <v>34</v>
      </c>
      <c r="K1897">
        <v>123</v>
      </c>
      <c r="L1897">
        <v>675</v>
      </c>
      <c r="M1897">
        <v>1338</v>
      </c>
      <c r="N1897">
        <v>135</v>
      </c>
      <c r="O1897">
        <v>725</v>
      </c>
      <c r="P1897">
        <v>13</v>
      </c>
      <c r="Q1897">
        <v>124</v>
      </c>
      <c r="R1897">
        <v>617</v>
      </c>
      <c r="S1897">
        <v>1098</v>
      </c>
      <c r="T1897" t="s">
        <v>31</v>
      </c>
      <c r="U1897" t="s">
        <v>31</v>
      </c>
      <c r="V1897" t="s">
        <v>31</v>
      </c>
      <c r="W1897" t="s">
        <v>31</v>
      </c>
      <c r="X1897" t="s">
        <v>31</v>
      </c>
      <c r="Y1897" t="s">
        <v>31</v>
      </c>
    </row>
    <row r="1898" spans="1:25" hidden="1">
      <c r="A1898" t="s">
        <v>25</v>
      </c>
      <c r="B1898" t="s">
        <v>26</v>
      </c>
      <c r="C1898" t="s">
        <v>58</v>
      </c>
      <c r="D1898" s="1">
        <v>44801</v>
      </c>
      <c r="E1898" s="2">
        <v>0.66666666666666663</v>
      </c>
      <c r="F1898" t="s">
        <v>56</v>
      </c>
      <c r="G1898" t="s">
        <v>40</v>
      </c>
      <c r="H1898">
        <v>3</v>
      </c>
      <c r="I1898">
        <v>3</v>
      </c>
      <c r="J1898" t="s">
        <v>41</v>
      </c>
      <c r="K1898">
        <v>284</v>
      </c>
      <c r="L1898">
        <v>354</v>
      </c>
      <c r="M1898">
        <v>255</v>
      </c>
      <c r="N1898">
        <v>284</v>
      </c>
      <c r="O1898">
        <v>356</v>
      </c>
      <c r="P1898">
        <v>265</v>
      </c>
      <c r="Q1898">
        <v>273</v>
      </c>
      <c r="R1898">
        <v>341</v>
      </c>
      <c r="S1898">
        <v>247</v>
      </c>
      <c r="T1898" t="s">
        <v>31</v>
      </c>
      <c r="U1898" t="s">
        <v>31</v>
      </c>
      <c r="V1898" t="s">
        <v>31</v>
      </c>
      <c r="W1898" t="s">
        <v>31</v>
      </c>
      <c r="X1898" t="s">
        <v>31</v>
      </c>
      <c r="Y1898" t="s">
        <v>31</v>
      </c>
    </row>
    <row r="1899" spans="1:25" hidden="1">
      <c r="A1899" t="s">
        <v>25</v>
      </c>
      <c r="B1899" t="s">
        <v>26</v>
      </c>
      <c r="C1899" t="s">
        <v>58</v>
      </c>
      <c r="D1899" s="1">
        <v>44801</v>
      </c>
      <c r="E1899" s="2">
        <v>0.66666666666666663</v>
      </c>
      <c r="F1899" t="s">
        <v>35</v>
      </c>
      <c r="G1899" t="s">
        <v>28</v>
      </c>
      <c r="H1899">
        <v>1</v>
      </c>
      <c r="I1899">
        <v>2</v>
      </c>
      <c r="J1899" t="s">
        <v>30</v>
      </c>
      <c r="K1899">
        <v>294</v>
      </c>
      <c r="L1899">
        <v>356</v>
      </c>
      <c r="M1899">
        <v>246</v>
      </c>
      <c r="N1899">
        <v>295</v>
      </c>
      <c r="O1899">
        <v>359</v>
      </c>
      <c r="P1899">
        <v>255</v>
      </c>
      <c r="Q1899">
        <v>281</v>
      </c>
      <c r="R1899">
        <v>342</v>
      </c>
      <c r="S1899">
        <v>24</v>
      </c>
      <c r="T1899" t="s">
        <v>31</v>
      </c>
      <c r="U1899" t="s">
        <v>31</v>
      </c>
      <c r="V1899" t="s">
        <v>31</v>
      </c>
      <c r="W1899" t="s">
        <v>31</v>
      </c>
      <c r="X1899" t="s">
        <v>31</v>
      </c>
      <c r="Y1899" t="s">
        <v>31</v>
      </c>
    </row>
    <row r="1900" spans="1:25" hidden="1">
      <c r="A1900" t="s">
        <v>25</v>
      </c>
      <c r="B1900" t="s">
        <v>26</v>
      </c>
      <c r="C1900" t="s">
        <v>58</v>
      </c>
      <c r="D1900" s="1">
        <v>44801</v>
      </c>
      <c r="E1900" s="2">
        <v>0.66666666666666663</v>
      </c>
      <c r="F1900" t="s">
        <v>54</v>
      </c>
      <c r="G1900" t="s">
        <v>39</v>
      </c>
      <c r="H1900">
        <v>1</v>
      </c>
      <c r="I1900">
        <v>3</v>
      </c>
      <c r="J1900" t="s">
        <v>30</v>
      </c>
      <c r="K1900">
        <v>243</v>
      </c>
      <c r="L1900">
        <v>364</v>
      </c>
      <c r="M1900">
        <v>293</v>
      </c>
      <c r="N1900">
        <v>27</v>
      </c>
      <c r="O1900">
        <v>378</v>
      </c>
      <c r="P1900">
        <v>3</v>
      </c>
      <c r="Q1900">
        <v>234</v>
      </c>
      <c r="R1900">
        <v>359</v>
      </c>
      <c r="S1900">
        <v>28</v>
      </c>
      <c r="T1900" t="s">
        <v>31</v>
      </c>
      <c r="U1900" t="s">
        <v>31</v>
      </c>
      <c r="V1900" t="s">
        <v>31</v>
      </c>
      <c r="W1900" t="s">
        <v>31</v>
      </c>
      <c r="X1900" t="s">
        <v>31</v>
      </c>
      <c r="Y1900" t="s">
        <v>31</v>
      </c>
    </row>
    <row r="1901" spans="1:25" hidden="1">
      <c r="A1901" t="s">
        <v>25</v>
      </c>
      <c r="B1901" t="s">
        <v>26</v>
      </c>
      <c r="C1901" t="s">
        <v>58</v>
      </c>
      <c r="D1901" s="1">
        <v>44807</v>
      </c>
      <c r="E1901" s="2">
        <v>0.66666666666666663</v>
      </c>
      <c r="F1901" t="s">
        <v>40</v>
      </c>
      <c r="G1901" t="s">
        <v>59</v>
      </c>
      <c r="H1901">
        <v>2</v>
      </c>
      <c r="I1901">
        <v>2</v>
      </c>
      <c r="J1901" t="s">
        <v>41</v>
      </c>
      <c r="K1901">
        <v>15</v>
      </c>
      <c r="L1901">
        <v>494</v>
      </c>
      <c r="M1901">
        <v>625</v>
      </c>
      <c r="N1901">
        <v>153</v>
      </c>
      <c r="O1901">
        <v>494</v>
      </c>
      <c r="P1901">
        <v>65</v>
      </c>
      <c r="Q1901">
        <v>146</v>
      </c>
      <c r="R1901">
        <v>467</v>
      </c>
      <c r="S1901">
        <v>599</v>
      </c>
      <c r="T1901" t="s">
        <v>31</v>
      </c>
      <c r="U1901" t="s">
        <v>31</v>
      </c>
      <c r="V1901" t="s">
        <v>31</v>
      </c>
      <c r="W1901" t="s">
        <v>31</v>
      </c>
      <c r="X1901" t="s">
        <v>31</v>
      </c>
      <c r="Y1901" t="s">
        <v>31</v>
      </c>
    </row>
    <row r="1902" spans="1:25" hidden="1">
      <c r="A1902" t="s">
        <v>25</v>
      </c>
      <c r="B1902" t="s">
        <v>26</v>
      </c>
      <c r="C1902" t="s">
        <v>58</v>
      </c>
      <c r="D1902" s="1">
        <v>44807</v>
      </c>
      <c r="E1902" s="2">
        <v>0.66666666666666663</v>
      </c>
      <c r="F1902" t="s">
        <v>29</v>
      </c>
      <c r="G1902" t="s">
        <v>54</v>
      </c>
      <c r="H1902">
        <v>2</v>
      </c>
      <c r="I1902">
        <v>0</v>
      </c>
      <c r="J1902" t="s">
        <v>34</v>
      </c>
      <c r="K1902">
        <v>116</v>
      </c>
      <c r="L1902">
        <v>895</v>
      </c>
      <c r="M1902">
        <v>1694</v>
      </c>
      <c r="N1902">
        <v>117</v>
      </c>
      <c r="O1902">
        <v>9</v>
      </c>
      <c r="P1902">
        <v>17</v>
      </c>
      <c r="Q1902">
        <v>114</v>
      </c>
      <c r="R1902">
        <v>825</v>
      </c>
      <c r="S1902">
        <v>152</v>
      </c>
      <c r="T1902" t="s">
        <v>31</v>
      </c>
      <c r="U1902" t="s">
        <v>31</v>
      </c>
      <c r="V1902" t="s">
        <v>31</v>
      </c>
      <c r="W1902" t="s">
        <v>31</v>
      </c>
      <c r="X1902" t="s">
        <v>31</v>
      </c>
      <c r="Y1902" t="s">
        <v>31</v>
      </c>
    </row>
    <row r="1903" spans="1:25" hidden="1">
      <c r="A1903" t="s">
        <v>25</v>
      </c>
      <c r="B1903" t="s">
        <v>26</v>
      </c>
      <c r="C1903" t="s">
        <v>58</v>
      </c>
      <c r="D1903" s="1">
        <v>44807</v>
      </c>
      <c r="E1903" s="2">
        <v>0.66666666666666663</v>
      </c>
      <c r="F1903" t="s">
        <v>28</v>
      </c>
      <c r="G1903" t="s">
        <v>52</v>
      </c>
      <c r="H1903">
        <v>0</v>
      </c>
      <c r="I1903">
        <v>0</v>
      </c>
      <c r="J1903" t="s">
        <v>41</v>
      </c>
      <c r="K1903">
        <v>14</v>
      </c>
      <c r="L1903">
        <v>529</v>
      </c>
      <c r="M1903">
        <v>783</v>
      </c>
      <c r="N1903">
        <v>143</v>
      </c>
      <c r="O1903">
        <v>529</v>
      </c>
      <c r="P1903">
        <v>8</v>
      </c>
      <c r="Q1903">
        <v>139</v>
      </c>
      <c r="R1903">
        <v>499</v>
      </c>
      <c r="S1903">
        <v>707</v>
      </c>
      <c r="T1903" t="s">
        <v>31</v>
      </c>
      <c r="U1903" t="s">
        <v>31</v>
      </c>
      <c r="V1903" t="s">
        <v>31</v>
      </c>
      <c r="W1903" t="s">
        <v>31</v>
      </c>
      <c r="X1903" t="s">
        <v>31</v>
      </c>
      <c r="Y1903" t="s">
        <v>31</v>
      </c>
    </row>
    <row r="1904" spans="1:25" hidden="1">
      <c r="A1904" t="s">
        <v>25</v>
      </c>
      <c r="B1904" t="s">
        <v>26</v>
      </c>
      <c r="C1904" t="s">
        <v>58</v>
      </c>
      <c r="D1904" s="1">
        <v>44808</v>
      </c>
      <c r="E1904" s="2">
        <v>0.5625</v>
      </c>
      <c r="F1904" t="s">
        <v>45</v>
      </c>
      <c r="G1904" t="s">
        <v>35</v>
      </c>
      <c r="H1904">
        <v>0</v>
      </c>
      <c r="I1904">
        <v>1</v>
      </c>
      <c r="J1904" t="s">
        <v>30</v>
      </c>
      <c r="K1904">
        <v>4</v>
      </c>
      <c r="L1904">
        <v>387</v>
      </c>
      <c r="M1904">
        <v>192</v>
      </c>
      <c r="N1904">
        <v>432</v>
      </c>
      <c r="O1904">
        <v>387</v>
      </c>
      <c r="P1904">
        <v>2</v>
      </c>
      <c r="Q1904">
        <v>379</v>
      </c>
      <c r="R1904">
        <v>365</v>
      </c>
      <c r="S1904">
        <v>19</v>
      </c>
      <c r="T1904" t="s">
        <v>31</v>
      </c>
      <c r="U1904" t="s">
        <v>31</v>
      </c>
      <c r="V1904" t="s">
        <v>31</v>
      </c>
      <c r="W1904" t="s">
        <v>31</v>
      </c>
      <c r="X1904" t="s">
        <v>31</v>
      </c>
      <c r="Y1904" t="s">
        <v>31</v>
      </c>
    </row>
    <row r="1905" spans="1:25" hidden="1">
      <c r="A1905" t="s">
        <v>25</v>
      </c>
      <c r="B1905" t="s">
        <v>26</v>
      </c>
      <c r="C1905" t="s">
        <v>58</v>
      </c>
      <c r="D1905" s="1">
        <v>44808</v>
      </c>
      <c r="E1905" s="2">
        <v>0.5625</v>
      </c>
      <c r="F1905" t="s">
        <v>39</v>
      </c>
      <c r="G1905" t="s">
        <v>56</v>
      </c>
      <c r="H1905">
        <v>3</v>
      </c>
      <c r="I1905">
        <v>4</v>
      </c>
      <c r="J1905" t="s">
        <v>30</v>
      </c>
      <c r="K1905">
        <v>249</v>
      </c>
      <c r="L1905">
        <v>353</v>
      </c>
      <c r="M1905">
        <v>292</v>
      </c>
      <c r="N1905">
        <v>25</v>
      </c>
      <c r="O1905">
        <v>374</v>
      </c>
      <c r="P1905">
        <v>303</v>
      </c>
      <c r="Q1905">
        <v>237</v>
      </c>
      <c r="R1905">
        <v>348</v>
      </c>
      <c r="S1905">
        <v>282</v>
      </c>
      <c r="T1905" t="s">
        <v>31</v>
      </c>
      <c r="U1905" t="s">
        <v>31</v>
      </c>
      <c r="V1905" t="s">
        <v>31</v>
      </c>
      <c r="W1905" t="s">
        <v>31</v>
      </c>
      <c r="X1905" t="s">
        <v>31</v>
      </c>
      <c r="Y1905" t="s">
        <v>31</v>
      </c>
    </row>
    <row r="1906" spans="1:25" hidden="1">
      <c r="A1906" t="s">
        <v>25</v>
      </c>
      <c r="B1906" t="s">
        <v>26</v>
      </c>
      <c r="C1906" t="s">
        <v>58</v>
      </c>
      <c r="D1906" s="1">
        <v>44808</v>
      </c>
      <c r="E1906" s="2">
        <v>0.66666666666666663</v>
      </c>
      <c r="F1906" t="s">
        <v>50</v>
      </c>
      <c r="G1906" t="s">
        <v>38</v>
      </c>
      <c r="H1906">
        <v>1</v>
      </c>
      <c r="I1906">
        <v>1</v>
      </c>
      <c r="J1906" t="s">
        <v>41</v>
      </c>
      <c r="K1906">
        <v>136</v>
      </c>
      <c r="L1906">
        <v>552</v>
      </c>
      <c r="M1906">
        <v>878</v>
      </c>
      <c r="N1906">
        <v>138</v>
      </c>
      <c r="O1906">
        <v>552</v>
      </c>
      <c r="P1906">
        <v>878</v>
      </c>
      <c r="Q1906">
        <v>135</v>
      </c>
      <c r="R1906">
        <v>512</v>
      </c>
      <c r="S1906">
        <v>785</v>
      </c>
      <c r="T1906" t="s">
        <v>31</v>
      </c>
      <c r="U1906" t="s">
        <v>31</v>
      </c>
      <c r="V1906" t="s">
        <v>31</v>
      </c>
      <c r="W1906" t="s">
        <v>31</v>
      </c>
      <c r="X1906" t="s">
        <v>31</v>
      </c>
      <c r="Y1906" t="s">
        <v>31</v>
      </c>
    </row>
    <row r="1907" spans="1:25" hidden="1">
      <c r="A1907" t="s">
        <v>25</v>
      </c>
      <c r="B1907" t="s">
        <v>26</v>
      </c>
      <c r="C1907" t="s">
        <v>58</v>
      </c>
      <c r="D1907" s="1">
        <v>44814</v>
      </c>
      <c r="E1907" s="2">
        <v>0.66666666666666663</v>
      </c>
      <c r="F1907" t="s">
        <v>35</v>
      </c>
      <c r="G1907" t="s">
        <v>39</v>
      </c>
      <c r="H1907">
        <v>1</v>
      </c>
      <c r="I1907">
        <v>3</v>
      </c>
      <c r="J1907" t="s">
        <v>30</v>
      </c>
      <c r="K1907">
        <v>203</v>
      </c>
      <c r="L1907">
        <v>365</v>
      </c>
      <c r="M1907">
        <v>383</v>
      </c>
      <c r="N1907">
        <v>205</v>
      </c>
      <c r="O1907">
        <v>377</v>
      </c>
      <c r="P1907">
        <v>42</v>
      </c>
      <c r="Q1907">
        <v>197</v>
      </c>
      <c r="R1907">
        <v>358</v>
      </c>
      <c r="S1907">
        <v>359</v>
      </c>
      <c r="T1907" t="s">
        <v>31</v>
      </c>
      <c r="U1907" t="s">
        <v>31</v>
      </c>
      <c r="V1907" t="s">
        <v>31</v>
      </c>
      <c r="W1907" t="s">
        <v>31</v>
      </c>
      <c r="X1907" t="s">
        <v>31</v>
      </c>
      <c r="Y1907" t="s">
        <v>31</v>
      </c>
    </row>
    <row r="1908" spans="1:25" hidden="1">
      <c r="A1908" t="s">
        <v>25</v>
      </c>
      <c r="B1908" t="s">
        <v>26</v>
      </c>
      <c r="C1908" t="s">
        <v>58</v>
      </c>
      <c r="D1908" s="1">
        <v>44814</v>
      </c>
      <c r="E1908" s="2">
        <v>0.66666666666666663</v>
      </c>
      <c r="F1908" t="s">
        <v>38</v>
      </c>
      <c r="G1908" t="s">
        <v>29</v>
      </c>
      <c r="H1908">
        <v>0</v>
      </c>
      <c r="I1908">
        <v>3</v>
      </c>
      <c r="J1908" t="s">
        <v>30</v>
      </c>
      <c r="K1908">
        <v>734</v>
      </c>
      <c r="L1908">
        <v>484</v>
      </c>
      <c r="M1908">
        <v>145</v>
      </c>
      <c r="N1908">
        <v>85</v>
      </c>
      <c r="O1908">
        <v>575</v>
      </c>
      <c r="P1908">
        <v>145</v>
      </c>
      <c r="Q1908">
        <v>716</v>
      </c>
      <c r="R1908">
        <v>478</v>
      </c>
      <c r="S1908">
        <v>14</v>
      </c>
      <c r="T1908" t="s">
        <v>31</v>
      </c>
      <c r="U1908" t="s">
        <v>31</v>
      </c>
      <c r="V1908" t="s">
        <v>31</v>
      </c>
      <c r="W1908" t="s">
        <v>31</v>
      </c>
      <c r="X1908" t="s">
        <v>31</v>
      </c>
      <c r="Y1908" t="s">
        <v>31</v>
      </c>
    </row>
    <row r="1909" spans="1:25" hidden="1">
      <c r="A1909" t="s">
        <v>25</v>
      </c>
      <c r="B1909" t="s">
        <v>26</v>
      </c>
      <c r="C1909" t="s">
        <v>58</v>
      </c>
      <c r="D1909" s="1">
        <v>44814</v>
      </c>
      <c r="E1909" s="2">
        <v>0.66666666666666663</v>
      </c>
      <c r="F1909" t="s">
        <v>54</v>
      </c>
      <c r="G1909" t="s">
        <v>45</v>
      </c>
      <c r="H1909">
        <v>0</v>
      </c>
      <c r="I1909">
        <v>0</v>
      </c>
      <c r="J1909" t="s">
        <v>41</v>
      </c>
      <c r="K1909">
        <v>193</v>
      </c>
      <c r="L1909">
        <v>387</v>
      </c>
      <c r="M1909">
        <v>397</v>
      </c>
      <c r="N1909">
        <v>193</v>
      </c>
      <c r="O1909">
        <v>4</v>
      </c>
      <c r="P1909">
        <v>45</v>
      </c>
      <c r="Q1909">
        <v>186</v>
      </c>
      <c r="R1909">
        <v>377</v>
      </c>
      <c r="S1909">
        <v>382</v>
      </c>
      <c r="T1909" t="s">
        <v>31</v>
      </c>
      <c r="U1909" t="s">
        <v>31</v>
      </c>
      <c r="V1909" t="s">
        <v>31</v>
      </c>
      <c r="W1909" t="s">
        <v>31</v>
      </c>
      <c r="X1909" t="s">
        <v>31</v>
      </c>
      <c r="Y1909" t="s">
        <v>31</v>
      </c>
    </row>
    <row r="1910" spans="1:25" hidden="1">
      <c r="A1910" t="s">
        <v>25</v>
      </c>
      <c r="B1910" t="s">
        <v>26</v>
      </c>
      <c r="C1910" t="s">
        <v>58</v>
      </c>
      <c r="D1910" s="1">
        <v>44815</v>
      </c>
      <c r="E1910" s="2">
        <v>0.5625</v>
      </c>
      <c r="F1910" t="s">
        <v>59</v>
      </c>
      <c r="G1910" t="s">
        <v>50</v>
      </c>
      <c r="H1910">
        <v>1</v>
      </c>
      <c r="I1910">
        <v>1</v>
      </c>
      <c r="J1910" t="s">
        <v>41</v>
      </c>
      <c r="K1910">
        <v>677</v>
      </c>
      <c r="L1910">
        <v>485</v>
      </c>
      <c r="M1910">
        <v>147</v>
      </c>
      <c r="N1910">
        <v>7</v>
      </c>
      <c r="O1910">
        <v>5</v>
      </c>
      <c r="P1910">
        <v>147</v>
      </c>
      <c r="Q1910">
        <v>636</v>
      </c>
      <c r="R1910">
        <v>474</v>
      </c>
      <c r="S1910">
        <v>144</v>
      </c>
      <c r="T1910" t="s">
        <v>31</v>
      </c>
      <c r="U1910" t="s">
        <v>31</v>
      </c>
      <c r="V1910" t="s">
        <v>31</v>
      </c>
      <c r="W1910" t="s">
        <v>31</v>
      </c>
      <c r="X1910" t="s">
        <v>31</v>
      </c>
      <c r="Y1910" t="s">
        <v>31</v>
      </c>
    </row>
    <row r="1911" spans="1:25" hidden="1">
      <c r="A1911" t="s">
        <v>25</v>
      </c>
      <c r="B1911" t="s">
        <v>26</v>
      </c>
      <c r="C1911" t="s">
        <v>58</v>
      </c>
      <c r="D1911" s="1">
        <v>44815</v>
      </c>
      <c r="E1911" s="2">
        <v>0.5625</v>
      </c>
      <c r="F1911" t="s">
        <v>52</v>
      </c>
      <c r="G1911" t="s">
        <v>40</v>
      </c>
      <c r="H1911">
        <v>0</v>
      </c>
      <c r="I1911">
        <v>3</v>
      </c>
      <c r="J1911" t="s">
        <v>30</v>
      </c>
      <c r="K1911">
        <v>368</v>
      </c>
      <c r="L1911">
        <v>387</v>
      </c>
      <c r="M1911">
        <v>2</v>
      </c>
      <c r="N1911">
        <v>393</v>
      </c>
      <c r="O1911">
        <v>388</v>
      </c>
      <c r="P1911">
        <v>21</v>
      </c>
      <c r="Q1911">
        <v>347</v>
      </c>
      <c r="R1911">
        <v>363</v>
      </c>
      <c r="S1911">
        <v>199</v>
      </c>
      <c r="T1911" t="s">
        <v>31</v>
      </c>
      <c r="U1911" t="s">
        <v>31</v>
      </c>
      <c r="V1911" t="s">
        <v>31</v>
      </c>
      <c r="W1911" t="s">
        <v>31</v>
      </c>
      <c r="X1911" t="s">
        <v>31</v>
      </c>
      <c r="Y1911" t="s">
        <v>31</v>
      </c>
    </row>
    <row r="1912" spans="1:25" hidden="1">
      <c r="A1912" t="s">
        <v>25</v>
      </c>
      <c r="B1912" t="s">
        <v>26</v>
      </c>
      <c r="C1912" t="s">
        <v>58</v>
      </c>
      <c r="D1912" s="1">
        <v>44815</v>
      </c>
      <c r="E1912" s="2">
        <v>0.66666666666666663</v>
      </c>
      <c r="F1912" t="s">
        <v>56</v>
      </c>
      <c r="G1912" t="s">
        <v>28</v>
      </c>
      <c r="H1912">
        <v>0</v>
      </c>
      <c r="I1912">
        <v>2</v>
      </c>
      <c r="J1912" t="s">
        <v>30</v>
      </c>
      <c r="K1912">
        <v>36</v>
      </c>
      <c r="L1912">
        <v>377</v>
      </c>
      <c r="M1912">
        <v>206</v>
      </c>
      <c r="N1912">
        <v>369</v>
      </c>
      <c r="O1912">
        <v>388</v>
      </c>
      <c r="P1912">
        <v>22</v>
      </c>
      <c r="Q1912">
        <v>338</v>
      </c>
      <c r="R1912">
        <v>358</v>
      </c>
      <c r="S1912">
        <v>205</v>
      </c>
      <c r="T1912" t="s">
        <v>31</v>
      </c>
      <c r="U1912" t="s">
        <v>31</v>
      </c>
      <c r="V1912" t="s">
        <v>31</v>
      </c>
      <c r="W1912" t="s">
        <v>31</v>
      </c>
      <c r="X1912" t="s">
        <v>31</v>
      </c>
      <c r="Y1912" t="s">
        <v>31</v>
      </c>
    </row>
    <row r="1913" spans="1:25" hidden="1">
      <c r="A1913" t="s">
        <v>25</v>
      </c>
      <c r="B1913" t="s">
        <v>26</v>
      </c>
      <c r="C1913" t="s">
        <v>58</v>
      </c>
      <c r="D1913" s="1">
        <v>44821</v>
      </c>
      <c r="E1913" s="2">
        <v>0.66666666666666663</v>
      </c>
      <c r="F1913" t="s">
        <v>45</v>
      </c>
      <c r="G1913" t="s">
        <v>56</v>
      </c>
      <c r="H1913">
        <v>1</v>
      </c>
      <c r="I1913">
        <v>4</v>
      </c>
      <c r="J1913" t="s">
        <v>30</v>
      </c>
      <c r="K1913">
        <v>29</v>
      </c>
      <c r="L1913">
        <v>371</v>
      </c>
      <c r="M1913">
        <v>242</v>
      </c>
      <c r="N1913">
        <v>291</v>
      </c>
      <c r="O1913">
        <v>371</v>
      </c>
      <c r="P1913">
        <v>25</v>
      </c>
      <c r="Q1913">
        <v>282</v>
      </c>
      <c r="R1913">
        <v>352</v>
      </c>
      <c r="S1913">
        <v>236</v>
      </c>
      <c r="T1913" t="s">
        <v>31</v>
      </c>
      <c r="U1913" t="s">
        <v>31</v>
      </c>
      <c r="V1913" t="s">
        <v>31</v>
      </c>
      <c r="W1913" t="s">
        <v>31</v>
      </c>
      <c r="X1913" t="s">
        <v>31</v>
      </c>
      <c r="Y1913" t="s">
        <v>31</v>
      </c>
    </row>
    <row r="1914" spans="1:25" hidden="1">
      <c r="A1914" t="s">
        <v>25</v>
      </c>
      <c r="B1914" t="s">
        <v>26</v>
      </c>
      <c r="C1914" t="s">
        <v>58</v>
      </c>
      <c r="D1914" s="1">
        <v>44821</v>
      </c>
      <c r="E1914" s="2">
        <v>0.66666666666666663</v>
      </c>
      <c r="F1914" t="s">
        <v>50</v>
      </c>
      <c r="G1914" t="s">
        <v>54</v>
      </c>
      <c r="H1914">
        <v>1</v>
      </c>
      <c r="I1914">
        <v>4</v>
      </c>
      <c r="J1914" t="s">
        <v>30</v>
      </c>
      <c r="K1914">
        <v>154</v>
      </c>
      <c r="L1914">
        <v>481</v>
      </c>
      <c r="M1914">
        <v>621</v>
      </c>
      <c r="N1914">
        <v>16</v>
      </c>
      <c r="O1914">
        <v>525</v>
      </c>
      <c r="P1914">
        <v>77</v>
      </c>
      <c r="Q1914">
        <v>15</v>
      </c>
      <c r="R1914">
        <v>457</v>
      </c>
      <c r="S1914">
        <v>562</v>
      </c>
      <c r="T1914" t="s">
        <v>31</v>
      </c>
      <c r="U1914" t="s">
        <v>31</v>
      </c>
      <c r="V1914" t="s">
        <v>31</v>
      </c>
      <c r="W1914" t="s">
        <v>31</v>
      </c>
      <c r="X1914" t="s">
        <v>31</v>
      </c>
      <c r="Y1914" t="s">
        <v>31</v>
      </c>
    </row>
    <row r="1915" spans="1:25" hidden="1">
      <c r="A1915" t="s">
        <v>25</v>
      </c>
      <c r="B1915" t="s">
        <v>26</v>
      </c>
      <c r="C1915" t="s">
        <v>58</v>
      </c>
      <c r="D1915" s="1">
        <v>44821</v>
      </c>
      <c r="E1915" s="2">
        <v>0.66666666666666663</v>
      </c>
      <c r="F1915" t="s">
        <v>39</v>
      </c>
      <c r="G1915" t="s">
        <v>52</v>
      </c>
      <c r="H1915">
        <v>3</v>
      </c>
      <c r="I1915">
        <v>1</v>
      </c>
      <c r="J1915" t="s">
        <v>34</v>
      </c>
      <c r="K1915">
        <v>176</v>
      </c>
      <c r="L1915">
        <v>417</v>
      </c>
      <c r="M1915">
        <v>448</v>
      </c>
      <c r="N1915">
        <v>18</v>
      </c>
      <c r="O1915">
        <v>443</v>
      </c>
      <c r="P1915">
        <v>448</v>
      </c>
      <c r="Q1915">
        <v>176</v>
      </c>
      <c r="R1915">
        <v>397</v>
      </c>
      <c r="S1915">
        <v>412</v>
      </c>
      <c r="T1915" t="s">
        <v>31</v>
      </c>
      <c r="U1915" t="s">
        <v>31</v>
      </c>
      <c r="V1915" t="s">
        <v>31</v>
      </c>
      <c r="W1915" t="s">
        <v>31</v>
      </c>
      <c r="X1915" t="s">
        <v>31</v>
      </c>
      <c r="Y1915" t="s">
        <v>31</v>
      </c>
    </row>
    <row r="1916" spans="1:25" hidden="1">
      <c r="A1916" t="s">
        <v>25</v>
      </c>
      <c r="B1916" t="s">
        <v>26</v>
      </c>
      <c r="C1916" t="s">
        <v>58</v>
      </c>
      <c r="D1916" s="1">
        <v>44822</v>
      </c>
      <c r="E1916" s="2">
        <v>0.5625</v>
      </c>
      <c r="F1916" t="s">
        <v>40</v>
      </c>
      <c r="G1916" t="s">
        <v>38</v>
      </c>
      <c r="H1916">
        <v>3</v>
      </c>
      <c r="I1916">
        <v>0</v>
      </c>
      <c r="J1916" t="s">
        <v>34</v>
      </c>
      <c r="K1916">
        <v>165</v>
      </c>
      <c r="L1916">
        <v>424</v>
      </c>
      <c r="M1916">
        <v>536</v>
      </c>
      <c r="N1916">
        <v>17</v>
      </c>
      <c r="O1916">
        <v>425</v>
      </c>
      <c r="P1916">
        <v>536</v>
      </c>
      <c r="Q1916">
        <v>163</v>
      </c>
      <c r="R1916">
        <v>405</v>
      </c>
      <c r="S1916">
        <v>496</v>
      </c>
      <c r="T1916" t="s">
        <v>31</v>
      </c>
      <c r="U1916" t="s">
        <v>31</v>
      </c>
      <c r="V1916" t="s">
        <v>31</v>
      </c>
      <c r="W1916" t="s">
        <v>31</v>
      </c>
      <c r="X1916" t="s">
        <v>31</v>
      </c>
      <c r="Y1916" t="s">
        <v>31</v>
      </c>
    </row>
    <row r="1917" spans="1:25" hidden="1">
      <c r="A1917" t="s">
        <v>25</v>
      </c>
      <c r="B1917" t="s">
        <v>26</v>
      </c>
      <c r="C1917" t="s">
        <v>58</v>
      </c>
      <c r="D1917" s="1">
        <v>44822</v>
      </c>
      <c r="E1917" s="2">
        <v>0.5625</v>
      </c>
      <c r="F1917" t="s">
        <v>28</v>
      </c>
      <c r="G1917" t="s">
        <v>59</v>
      </c>
      <c r="H1917">
        <v>2</v>
      </c>
      <c r="I1917">
        <v>0</v>
      </c>
      <c r="J1917" t="s">
        <v>34</v>
      </c>
      <c r="K1917">
        <v>139</v>
      </c>
      <c r="L1917">
        <v>532</v>
      </c>
      <c r="M1917">
        <v>802</v>
      </c>
      <c r="N1917">
        <v>139</v>
      </c>
      <c r="O1917">
        <v>532</v>
      </c>
      <c r="P1917">
        <v>85</v>
      </c>
      <c r="Q1917">
        <v>137</v>
      </c>
      <c r="R1917">
        <v>503</v>
      </c>
      <c r="S1917">
        <v>762</v>
      </c>
      <c r="T1917" t="s">
        <v>31</v>
      </c>
      <c r="U1917" t="s">
        <v>31</v>
      </c>
      <c r="V1917" t="s">
        <v>31</v>
      </c>
      <c r="W1917" t="s">
        <v>31</v>
      </c>
      <c r="X1917" t="s">
        <v>31</v>
      </c>
      <c r="Y1917" t="s">
        <v>31</v>
      </c>
    </row>
    <row r="1918" spans="1:25" hidden="1">
      <c r="A1918" t="s">
        <v>25</v>
      </c>
      <c r="B1918" t="s">
        <v>26</v>
      </c>
      <c r="C1918" t="s">
        <v>58</v>
      </c>
      <c r="D1918" s="1">
        <v>44822</v>
      </c>
      <c r="E1918" s="2">
        <v>0.66666666666666663</v>
      </c>
      <c r="F1918" t="s">
        <v>29</v>
      </c>
      <c r="G1918" t="s">
        <v>35</v>
      </c>
      <c r="H1918">
        <v>1</v>
      </c>
      <c r="I1918">
        <v>1</v>
      </c>
      <c r="J1918" t="s">
        <v>41</v>
      </c>
      <c r="K1918">
        <v>147</v>
      </c>
      <c r="L1918">
        <v>495</v>
      </c>
      <c r="M1918">
        <v>662</v>
      </c>
      <c r="N1918">
        <v>155</v>
      </c>
      <c r="O1918">
        <v>495</v>
      </c>
      <c r="P1918">
        <v>7</v>
      </c>
      <c r="Q1918">
        <v>146</v>
      </c>
      <c r="R1918">
        <v>462</v>
      </c>
      <c r="S1918">
        <v>627</v>
      </c>
      <c r="T1918" t="s">
        <v>31</v>
      </c>
      <c r="U1918" t="s">
        <v>31</v>
      </c>
      <c r="V1918" t="s">
        <v>31</v>
      </c>
      <c r="W1918" t="s">
        <v>31</v>
      </c>
      <c r="X1918" t="s">
        <v>31</v>
      </c>
      <c r="Y1918" t="s">
        <v>31</v>
      </c>
    </row>
    <row r="1919" spans="1:25" hidden="1">
      <c r="A1919" t="s">
        <v>25</v>
      </c>
      <c r="B1919" t="s">
        <v>26</v>
      </c>
      <c r="C1919" t="s">
        <v>58</v>
      </c>
      <c r="D1919" s="1">
        <v>44835</v>
      </c>
      <c r="E1919" s="2">
        <v>0.66666666666666663</v>
      </c>
      <c r="F1919" t="s">
        <v>59</v>
      </c>
      <c r="G1919" t="s">
        <v>39</v>
      </c>
      <c r="H1919">
        <v>1</v>
      </c>
      <c r="I1919">
        <v>3</v>
      </c>
      <c r="J1919" t="s">
        <v>30</v>
      </c>
      <c r="K1919">
        <v>36</v>
      </c>
      <c r="L1919">
        <v>395</v>
      </c>
      <c r="M1919">
        <v>198</v>
      </c>
      <c r="N1919">
        <v>382</v>
      </c>
      <c r="O1919">
        <v>4</v>
      </c>
      <c r="P1919">
        <v>2</v>
      </c>
      <c r="Q1919">
        <v>351</v>
      </c>
      <c r="R1919">
        <v>379</v>
      </c>
      <c r="S1919">
        <v>194</v>
      </c>
      <c r="T1919" t="s">
        <v>31</v>
      </c>
      <c r="U1919" t="s">
        <v>31</v>
      </c>
      <c r="V1919" t="s">
        <v>31</v>
      </c>
      <c r="W1919" t="s">
        <v>31</v>
      </c>
      <c r="X1919" t="s">
        <v>31</v>
      </c>
      <c r="Y1919" t="s">
        <v>31</v>
      </c>
    </row>
    <row r="1920" spans="1:25" hidden="1">
      <c r="A1920" t="s">
        <v>25</v>
      </c>
      <c r="B1920" t="s">
        <v>26</v>
      </c>
      <c r="C1920" t="s">
        <v>58</v>
      </c>
      <c r="D1920" s="1">
        <v>44835</v>
      </c>
      <c r="E1920" s="2">
        <v>0.66666666666666663</v>
      </c>
      <c r="F1920" t="s">
        <v>29</v>
      </c>
      <c r="G1920" t="s">
        <v>50</v>
      </c>
      <c r="H1920">
        <v>1</v>
      </c>
      <c r="I1920">
        <v>1</v>
      </c>
      <c r="J1920" t="s">
        <v>41</v>
      </c>
      <c r="K1920">
        <v>152</v>
      </c>
      <c r="L1920">
        <v>475</v>
      </c>
      <c r="M1920">
        <v>602</v>
      </c>
      <c r="N1920">
        <v>155</v>
      </c>
      <c r="O1920">
        <v>49</v>
      </c>
      <c r="P1920">
        <v>65</v>
      </c>
      <c r="Q1920">
        <v>148</v>
      </c>
      <c r="R1920">
        <v>464</v>
      </c>
      <c r="S1920">
        <v>577</v>
      </c>
      <c r="T1920" t="s">
        <v>31</v>
      </c>
      <c r="U1920" t="s">
        <v>31</v>
      </c>
      <c r="V1920" t="s">
        <v>31</v>
      </c>
      <c r="W1920" t="s">
        <v>31</v>
      </c>
      <c r="X1920" t="s">
        <v>31</v>
      </c>
      <c r="Y1920" t="s">
        <v>31</v>
      </c>
    </row>
    <row r="1921" spans="1:25" hidden="1">
      <c r="A1921" t="s">
        <v>25</v>
      </c>
      <c r="B1921" t="s">
        <v>26</v>
      </c>
      <c r="C1921" t="s">
        <v>58</v>
      </c>
      <c r="D1921" s="1">
        <v>44835</v>
      </c>
      <c r="E1921" s="2">
        <v>0.66666666666666663</v>
      </c>
      <c r="F1921" t="s">
        <v>54</v>
      </c>
      <c r="G1921" t="s">
        <v>35</v>
      </c>
      <c r="H1921">
        <v>0</v>
      </c>
      <c r="I1921">
        <v>5</v>
      </c>
      <c r="J1921" t="s">
        <v>30</v>
      </c>
      <c r="K1921">
        <v>381</v>
      </c>
      <c r="L1921">
        <v>388</v>
      </c>
      <c r="M1921">
        <v>193</v>
      </c>
      <c r="N1921">
        <v>41</v>
      </c>
      <c r="O1921">
        <v>397</v>
      </c>
      <c r="P1921">
        <v>197</v>
      </c>
      <c r="Q1921">
        <v>379</v>
      </c>
      <c r="R1921">
        <v>377</v>
      </c>
      <c r="S1921">
        <v>186</v>
      </c>
      <c r="T1921" t="s">
        <v>31</v>
      </c>
      <c r="U1921" t="s">
        <v>31</v>
      </c>
      <c r="V1921" t="s">
        <v>31</v>
      </c>
      <c r="W1921" t="s">
        <v>31</v>
      </c>
      <c r="X1921" t="s">
        <v>31</v>
      </c>
      <c r="Y1921" t="s">
        <v>31</v>
      </c>
    </row>
    <row r="1922" spans="1:25" hidden="1">
      <c r="A1922" t="s">
        <v>25</v>
      </c>
      <c r="B1922" t="s">
        <v>26</v>
      </c>
      <c r="C1922" t="s">
        <v>58</v>
      </c>
      <c r="D1922" s="1">
        <v>44836</v>
      </c>
      <c r="E1922" s="2">
        <v>0.5625</v>
      </c>
      <c r="F1922" t="s">
        <v>52</v>
      </c>
      <c r="G1922" t="s">
        <v>56</v>
      </c>
      <c r="H1922">
        <v>2</v>
      </c>
      <c r="I1922">
        <v>3</v>
      </c>
      <c r="J1922" t="s">
        <v>30</v>
      </c>
      <c r="K1922">
        <v>363</v>
      </c>
      <c r="L1922">
        <v>391</v>
      </c>
      <c r="M1922">
        <v>201</v>
      </c>
      <c r="N1922">
        <v>386</v>
      </c>
      <c r="O1922">
        <v>397</v>
      </c>
      <c r="P1922">
        <v>214</v>
      </c>
      <c r="Q1922">
        <v>346</v>
      </c>
      <c r="R1922">
        <v>373</v>
      </c>
      <c r="S1922">
        <v>198</v>
      </c>
      <c r="T1922" t="s">
        <v>31</v>
      </c>
      <c r="U1922" t="s">
        <v>31</v>
      </c>
      <c r="V1922" t="s">
        <v>31</v>
      </c>
      <c r="W1922" t="s">
        <v>31</v>
      </c>
      <c r="X1922" t="s">
        <v>31</v>
      </c>
      <c r="Y1922" t="s">
        <v>31</v>
      </c>
    </row>
    <row r="1923" spans="1:25" hidden="1">
      <c r="A1923" t="s">
        <v>25</v>
      </c>
      <c r="B1923" t="s">
        <v>26</v>
      </c>
      <c r="C1923" t="s">
        <v>58</v>
      </c>
      <c r="D1923" s="1">
        <v>44836</v>
      </c>
      <c r="E1923" s="2">
        <v>0.5625</v>
      </c>
      <c r="F1923" t="s">
        <v>38</v>
      </c>
      <c r="G1923" t="s">
        <v>45</v>
      </c>
      <c r="H1923">
        <v>2</v>
      </c>
      <c r="I1923">
        <v>3</v>
      </c>
      <c r="J1923" t="s">
        <v>30</v>
      </c>
      <c r="K1923">
        <v>225</v>
      </c>
      <c r="L1923">
        <v>347</v>
      </c>
      <c r="M1923">
        <v>338</v>
      </c>
      <c r="N1923">
        <v>225</v>
      </c>
      <c r="O1923">
        <v>357</v>
      </c>
      <c r="P1923">
        <v>342</v>
      </c>
      <c r="Q1923">
        <v>219</v>
      </c>
      <c r="R1923">
        <v>336</v>
      </c>
      <c r="S1923">
        <v>323</v>
      </c>
      <c r="T1923" t="s">
        <v>31</v>
      </c>
      <c r="U1923" t="s">
        <v>31</v>
      </c>
      <c r="V1923" t="s">
        <v>31</v>
      </c>
      <c r="W1923" t="s">
        <v>31</v>
      </c>
      <c r="X1923" t="s">
        <v>31</v>
      </c>
      <c r="Y1923" t="s">
        <v>31</v>
      </c>
    </row>
    <row r="1924" spans="1:25" hidden="1">
      <c r="A1924" t="s">
        <v>25</v>
      </c>
      <c r="B1924" t="s">
        <v>26</v>
      </c>
      <c r="C1924" t="s">
        <v>58</v>
      </c>
      <c r="D1924" s="1">
        <v>44836</v>
      </c>
      <c r="E1924" s="2">
        <v>0.66666666666666663</v>
      </c>
      <c r="F1924" t="s">
        <v>40</v>
      </c>
      <c r="G1924" t="s">
        <v>28</v>
      </c>
      <c r="H1924">
        <v>0</v>
      </c>
      <c r="I1924">
        <v>3</v>
      </c>
      <c r="J1924" t="s">
        <v>30</v>
      </c>
      <c r="K1924">
        <v>301</v>
      </c>
      <c r="L1924">
        <v>363</v>
      </c>
      <c r="M1924">
        <v>238</v>
      </c>
      <c r="N1924">
        <v>305</v>
      </c>
      <c r="O1924">
        <v>365</v>
      </c>
      <c r="P1924">
        <v>24</v>
      </c>
      <c r="Q1924">
        <v>294</v>
      </c>
      <c r="R1924">
        <v>347</v>
      </c>
      <c r="S1924">
        <v>23</v>
      </c>
      <c r="T1924" t="s">
        <v>31</v>
      </c>
      <c r="U1924" t="s">
        <v>31</v>
      </c>
      <c r="V1924" t="s">
        <v>31</v>
      </c>
      <c r="W1924" t="s">
        <v>31</v>
      </c>
      <c r="X1924" t="s">
        <v>31</v>
      </c>
      <c r="Y1924" t="s">
        <v>31</v>
      </c>
    </row>
    <row r="1925" spans="1:25" hidden="1">
      <c r="A1925" t="s">
        <v>25</v>
      </c>
      <c r="B1925" t="s">
        <v>26</v>
      </c>
      <c r="C1925" t="s">
        <v>58</v>
      </c>
      <c r="D1925" s="1">
        <v>44842</v>
      </c>
      <c r="E1925" s="2">
        <v>0.66666666666666663</v>
      </c>
      <c r="F1925" t="s">
        <v>56</v>
      </c>
      <c r="G1925" t="s">
        <v>59</v>
      </c>
      <c r="H1925">
        <v>2</v>
      </c>
      <c r="I1925">
        <v>1</v>
      </c>
      <c r="J1925" t="s">
        <v>34</v>
      </c>
      <c r="K1925">
        <v>172</v>
      </c>
      <c r="L1925">
        <v>443</v>
      </c>
      <c r="M1925">
        <v>446</v>
      </c>
      <c r="N1925">
        <v>175</v>
      </c>
      <c r="O1925">
        <v>443</v>
      </c>
      <c r="P1925">
        <v>47</v>
      </c>
      <c r="Q1925">
        <v>17</v>
      </c>
      <c r="R1925">
        <v>407</v>
      </c>
      <c r="S1925">
        <v>439</v>
      </c>
      <c r="T1925" t="s">
        <v>31</v>
      </c>
      <c r="U1925" t="s">
        <v>31</v>
      </c>
      <c r="V1925" t="s">
        <v>31</v>
      </c>
      <c r="W1925" t="s">
        <v>31</v>
      </c>
      <c r="X1925" t="s">
        <v>31</v>
      </c>
      <c r="Y1925" t="s">
        <v>31</v>
      </c>
    </row>
    <row r="1926" spans="1:25" hidden="1">
      <c r="A1926" t="s">
        <v>25</v>
      </c>
      <c r="B1926" t="s">
        <v>26</v>
      </c>
      <c r="C1926" t="s">
        <v>58</v>
      </c>
      <c r="D1926" s="1">
        <v>44842</v>
      </c>
      <c r="E1926" s="2">
        <v>0.66666666666666663</v>
      </c>
      <c r="F1926" t="s">
        <v>45</v>
      </c>
      <c r="G1926" t="s">
        <v>29</v>
      </c>
      <c r="H1926">
        <v>2</v>
      </c>
      <c r="I1926">
        <v>3</v>
      </c>
      <c r="J1926" t="s">
        <v>30</v>
      </c>
      <c r="K1926">
        <v>741</v>
      </c>
      <c r="L1926">
        <v>509</v>
      </c>
      <c r="M1926">
        <v>143</v>
      </c>
      <c r="N1926">
        <v>81</v>
      </c>
      <c r="O1926">
        <v>58</v>
      </c>
      <c r="P1926">
        <v>144</v>
      </c>
      <c r="Q1926">
        <v>708</v>
      </c>
      <c r="R1926">
        <v>5</v>
      </c>
      <c r="S1926">
        <v>139</v>
      </c>
      <c r="T1926" t="s">
        <v>31</v>
      </c>
      <c r="U1926" t="s">
        <v>31</v>
      </c>
      <c r="V1926" t="s">
        <v>31</v>
      </c>
      <c r="W1926" t="s">
        <v>31</v>
      </c>
      <c r="X1926" t="s">
        <v>31</v>
      </c>
      <c r="Y1926" t="s">
        <v>31</v>
      </c>
    </row>
    <row r="1927" spans="1:25" hidden="1">
      <c r="A1927" t="s">
        <v>25</v>
      </c>
      <c r="B1927" t="s">
        <v>26</v>
      </c>
      <c r="C1927" t="s">
        <v>58</v>
      </c>
      <c r="D1927" s="1">
        <v>44842</v>
      </c>
      <c r="E1927" s="2">
        <v>0.66666666666666663</v>
      </c>
      <c r="F1927" t="s">
        <v>50</v>
      </c>
      <c r="G1927" t="s">
        <v>52</v>
      </c>
      <c r="H1927">
        <v>0</v>
      </c>
      <c r="I1927">
        <v>3</v>
      </c>
      <c r="J1927" t="s">
        <v>30</v>
      </c>
      <c r="K1927">
        <v>134</v>
      </c>
      <c r="L1927">
        <v>576</v>
      </c>
      <c r="M1927">
        <v>874</v>
      </c>
      <c r="N1927">
        <v>136</v>
      </c>
      <c r="O1927">
        <v>58</v>
      </c>
      <c r="P1927">
        <v>10</v>
      </c>
      <c r="Q1927">
        <v>132</v>
      </c>
      <c r="R1927">
        <v>546</v>
      </c>
      <c r="S1927">
        <v>826</v>
      </c>
      <c r="T1927" t="s">
        <v>31</v>
      </c>
      <c r="U1927" t="s">
        <v>31</v>
      </c>
      <c r="V1927" t="s">
        <v>31</v>
      </c>
      <c r="W1927" t="s">
        <v>31</v>
      </c>
      <c r="X1927" t="s">
        <v>31</v>
      </c>
      <c r="Y1927" t="s">
        <v>31</v>
      </c>
    </row>
    <row r="1928" spans="1:25" hidden="1">
      <c r="A1928" t="s">
        <v>25</v>
      </c>
      <c r="B1928" t="s">
        <v>26</v>
      </c>
      <c r="C1928" t="s">
        <v>58</v>
      </c>
      <c r="D1928" s="1">
        <v>44843</v>
      </c>
      <c r="E1928" s="2">
        <v>0.5625</v>
      </c>
      <c r="F1928" t="s">
        <v>28</v>
      </c>
      <c r="G1928" t="s">
        <v>54</v>
      </c>
      <c r="H1928">
        <v>2</v>
      </c>
      <c r="I1928">
        <v>1</v>
      </c>
      <c r="J1928" t="s">
        <v>34</v>
      </c>
      <c r="K1928">
        <v>143</v>
      </c>
      <c r="L1928">
        <v>518</v>
      </c>
      <c r="M1928">
        <v>728</v>
      </c>
      <c r="N1928">
        <v>145</v>
      </c>
      <c r="O1928">
        <v>52</v>
      </c>
      <c r="P1928">
        <v>75</v>
      </c>
      <c r="Q1928">
        <v>14</v>
      </c>
      <c r="R1928">
        <v>495</v>
      </c>
      <c r="S1928">
        <v>691</v>
      </c>
      <c r="T1928" t="s">
        <v>31</v>
      </c>
      <c r="U1928" t="s">
        <v>31</v>
      </c>
      <c r="V1928" t="s">
        <v>31</v>
      </c>
      <c r="W1928" t="s">
        <v>31</v>
      </c>
      <c r="X1928" t="s">
        <v>31</v>
      </c>
      <c r="Y1928" t="s">
        <v>31</v>
      </c>
    </row>
    <row r="1929" spans="1:25" hidden="1">
      <c r="A1929" t="s">
        <v>25</v>
      </c>
      <c r="B1929" t="s">
        <v>26</v>
      </c>
      <c r="C1929" t="s">
        <v>58</v>
      </c>
      <c r="D1929" s="1">
        <v>44843</v>
      </c>
      <c r="E1929" s="2">
        <v>0.5625</v>
      </c>
      <c r="F1929" t="s">
        <v>39</v>
      </c>
      <c r="G1929" t="s">
        <v>38</v>
      </c>
      <c r="H1929">
        <v>1</v>
      </c>
      <c r="I1929">
        <v>2</v>
      </c>
      <c r="J1929" t="s">
        <v>30</v>
      </c>
      <c r="K1929">
        <v>169</v>
      </c>
      <c r="L1929">
        <v>431</v>
      </c>
      <c r="M1929">
        <v>48</v>
      </c>
      <c r="N1929">
        <v>175</v>
      </c>
      <c r="O1929">
        <v>433</v>
      </c>
      <c r="P1929">
        <v>48</v>
      </c>
      <c r="Q1929">
        <v>169</v>
      </c>
      <c r="R1929">
        <v>404</v>
      </c>
      <c r="S1929">
        <v>444</v>
      </c>
      <c r="T1929" t="s">
        <v>31</v>
      </c>
      <c r="U1929" t="s">
        <v>31</v>
      </c>
      <c r="V1929" t="s">
        <v>31</v>
      </c>
      <c r="W1929" t="s">
        <v>31</v>
      </c>
      <c r="X1929" t="s">
        <v>31</v>
      </c>
      <c r="Y1929" t="s">
        <v>31</v>
      </c>
    </row>
    <row r="1930" spans="1:25" hidden="1">
      <c r="A1930" t="s">
        <v>25</v>
      </c>
      <c r="B1930" t="s">
        <v>26</v>
      </c>
      <c r="C1930" t="s">
        <v>58</v>
      </c>
      <c r="D1930" s="1">
        <v>44843</v>
      </c>
      <c r="E1930" s="2">
        <v>0.66666666666666663</v>
      </c>
      <c r="F1930" t="s">
        <v>35</v>
      </c>
      <c r="G1930" t="s">
        <v>40</v>
      </c>
      <c r="H1930">
        <v>1</v>
      </c>
      <c r="I1930">
        <v>2</v>
      </c>
      <c r="J1930" t="s">
        <v>30</v>
      </c>
      <c r="K1930">
        <v>24</v>
      </c>
      <c r="L1930">
        <v>363</v>
      </c>
      <c r="M1930">
        <v>299</v>
      </c>
      <c r="N1930">
        <v>24</v>
      </c>
      <c r="O1930">
        <v>382</v>
      </c>
      <c r="P1930">
        <v>325</v>
      </c>
      <c r="Q1930">
        <v>229</v>
      </c>
      <c r="R1930">
        <v>351</v>
      </c>
      <c r="S1930">
        <v>292</v>
      </c>
      <c r="T1930" t="s">
        <v>31</v>
      </c>
      <c r="U1930" t="s">
        <v>31</v>
      </c>
      <c r="V1930" t="s">
        <v>31</v>
      </c>
      <c r="W1930" t="s">
        <v>31</v>
      </c>
      <c r="X1930" t="s">
        <v>31</v>
      </c>
      <c r="Y1930" t="s">
        <v>31</v>
      </c>
    </row>
    <row r="1931" spans="1:25" hidden="1">
      <c r="A1931" t="s">
        <v>25</v>
      </c>
      <c r="B1931" t="s">
        <v>26</v>
      </c>
      <c r="C1931" t="s">
        <v>58</v>
      </c>
      <c r="D1931" s="1">
        <v>44849</v>
      </c>
      <c r="E1931" s="2">
        <v>0.66666666666666663</v>
      </c>
      <c r="F1931" t="s">
        <v>54</v>
      </c>
      <c r="G1931" t="s">
        <v>59</v>
      </c>
      <c r="H1931">
        <v>3</v>
      </c>
      <c r="I1931">
        <v>2</v>
      </c>
      <c r="J1931" t="s">
        <v>34</v>
      </c>
      <c r="K1931">
        <v>233</v>
      </c>
      <c r="L1931">
        <v>371</v>
      </c>
      <c r="M1931">
        <v>304</v>
      </c>
      <c r="N1931">
        <v>233</v>
      </c>
      <c r="O1931">
        <v>378</v>
      </c>
      <c r="P1931">
        <v>341</v>
      </c>
      <c r="Q1931">
        <v>219</v>
      </c>
      <c r="R1931">
        <v>363</v>
      </c>
      <c r="S1931">
        <v>304</v>
      </c>
      <c r="T1931" t="s">
        <v>31</v>
      </c>
      <c r="U1931" t="s">
        <v>31</v>
      </c>
      <c r="V1931" t="s">
        <v>31</v>
      </c>
      <c r="W1931" t="s">
        <v>31</v>
      </c>
      <c r="X1931" t="s">
        <v>31</v>
      </c>
      <c r="Y1931" t="s">
        <v>31</v>
      </c>
    </row>
    <row r="1932" spans="1:25" hidden="1">
      <c r="A1932" t="s">
        <v>25</v>
      </c>
      <c r="B1932" t="s">
        <v>26</v>
      </c>
      <c r="C1932" t="s">
        <v>58</v>
      </c>
      <c r="D1932" s="1">
        <v>44849</v>
      </c>
      <c r="E1932" s="2">
        <v>0.66666666666666663</v>
      </c>
      <c r="F1932" t="s">
        <v>56</v>
      </c>
      <c r="G1932" t="s">
        <v>50</v>
      </c>
      <c r="H1932">
        <v>1</v>
      </c>
      <c r="I1932">
        <v>3</v>
      </c>
      <c r="J1932" t="s">
        <v>30</v>
      </c>
      <c r="K1932">
        <v>324</v>
      </c>
      <c r="L1932">
        <v>378</v>
      </c>
      <c r="M1932">
        <v>22</v>
      </c>
      <c r="N1932">
        <v>324</v>
      </c>
      <c r="O1932">
        <v>378</v>
      </c>
      <c r="P1932">
        <v>23</v>
      </c>
      <c r="Q1932">
        <v>303</v>
      </c>
      <c r="R1932">
        <v>358</v>
      </c>
      <c r="S1932">
        <v>22</v>
      </c>
      <c r="T1932" t="s">
        <v>31</v>
      </c>
      <c r="U1932" t="s">
        <v>31</v>
      </c>
      <c r="V1932" t="s">
        <v>31</v>
      </c>
      <c r="W1932" t="s">
        <v>31</v>
      </c>
      <c r="X1932" t="s">
        <v>31</v>
      </c>
      <c r="Y1932" t="s">
        <v>31</v>
      </c>
    </row>
    <row r="1933" spans="1:25" hidden="1">
      <c r="A1933" t="s">
        <v>25</v>
      </c>
      <c r="B1933" t="s">
        <v>26</v>
      </c>
      <c r="C1933" t="s">
        <v>58</v>
      </c>
      <c r="D1933" s="1">
        <v>44849</v>
      </c>
      <c r="E1933" s="2">
        <v>0.66666666666666663</v>
      </c>
      <c r="F1933" t="s">
        <v>38</v>
      </c>
      <c r="G1933" t="s">
        <v>35</v>
      </c>
      <c r="H1933">
        <v>1</v>
      </c>
      <c r="I1933">
        <v>0</v>
      </c>
      <c r="J1933" t="s">
        <v>34</v>
      </c>
      <c r="K1933">
        <v>322</v>
      </c>
      <c r="L1933">
        <v>356</v>
      </c>
      <c r="M1933">
        <v>229</v>
      </c>
      <c r="N1933">
        <v>38</v>
      </c>
      <c r="O1933">
        <v>367</v>
      </c>
      <c r="P1933">
        <v>23</v>
      </c>
      <c r="Q1933">
        <v>319</v>
      </c>
      <c r="R1933">
        <v>344</v>
      </c>
      <c r="S1933">
        <v>218</v>
      </c>
      <c r="T1933" t="s">
        <v>31</v>
      </c>
      <c r="U1933" t="s">
        <v>31</v>
      </c>
      <c r="V1933" t="s">
        <v>31</v>
      </c>
      <c r="W1933" t="s">
        <v>31</v>
      </c>
      <c r="X1933" t="s">
        <v>31</v>
      </c>
      <c r="Y1933" t="s">
        <v>31</v>
      </c>
    </row>
    <row r="1934" spans="1:25" hidden="1">
      <c r="A1934" t="s">
        <v>25</v>
      </c>
      <c r="B1934" t="s">
        <v>26</v>
      </c>
      <c r="C1934" t="s">
        <v>58</v>
      </c>
      <c r="D1934" s="1">
        <v>44850</v>
      </c>
      <c r="E1934" s="2">
        <v>0.5625</v>
      </c>
      <c r="F1934" t="s">
        <v>45</v>
      </c>
      <c r="G1934" t="s">
        <v>52</v>
      </c>
      <c r="H1934">
        <v>1</v>
      </c>
      <c r="I1934">
        <v>0</v>
      </c>
      <c r="J1934" t="s">
        <v>34</v>
      </c>
      <c r="K1934">
        <v>226</v>
      </c>
      <c r="L1934">
        <v>37</v>
      </c>
      <c r="M1934">
        <v>316</v>
      </c>
      <c r="N1934">
        <v>234</v>
      </c>
      <c r="O1934">
        <v>37</v>
      </c>
      <c r="P1934">
        <v>32</v>
      </c>
      <c r="Q1934">
        <v>223</v>
      </c>
      <c r="R1934">
        <v>348</v>
      </c>
      <c r="S1934">
        <v>306</v>
      </c>
      <c r="T1934" t="s">
        <v>31</v>
      </c>
      <c r="U1934" t="s">
        <v>31</v>
      </c>
      <c r="V1934" t="s">
        <v>31</v>
      </c>
      <c r="W1934" t="s">
        <v>31</v>
      </c>
      <c r="X1934" t="s">
        <v>31</v>
      </c>
      <c r="Y1934" t="s">
        <v>31</v>
      </c>
    </row>
    <row r="1935" spans="1:25" hidden="1">
      <c r="A1935" t="s">
        <v>25</v>
      </c>
      <c r="B1935" t="s">
        <v>26</v>
      </c>
      <c r="C1935" t="s">
        <v>58</v>
      </c>
      <c r="D1935" s="1">
        <v>44850</v>
      </c>
      <c r="E1935" s="2">
        <v>0.5625</v>
      </c>
      <c r="F1935" t="s">
        <v>28</v>
      </c>
      <c r="G1935" t="s">
        <v>39</v>
      </c>
      <c r="H1935">
        <v>3</v>
      </c>
      <c r="I1935">
        <v>2</v>
      </c>
      <c r="J1935" t="s">
        <v>34</v>
      </c>
      <c r="K1935">
        <v>163</v>
      </c>
      <c r="L1935">
        <v>43</v>
      </c>
      <c r="M1935">
        <v>52</v>
      </c>
      <c r="N1935">
        <v>166</v>
      </c>
      <c r="O1935">
        <v>432</v>
      </c>
      <c r="P1935">
        <v>55</v>
      </c>
      <c r="Q1935">
        <v>161</v>
      </c>
      <c r="R1935">
        <v>413</v>
      </c>
      <c r="S1935">
        <v>504</v>
      </c>
      <c r="T1935" t="s">
        <v>31</v>
      </c>
      <c r="U1935" t="s">
        <v>31</v>
      </c>
      <c r="V1935" t="s">
        <v>31</v>
      </c>
      <c r="W1935" t="s">
        <v>31</v>
      </c>
      <c r="X1935" t="s">
        <v>31</v>
      </c>
      <c r="Y1935" t="s">
        <v>31</v>
      </c>
    </row>
    <row r="1936" spans="1:25" hidden="1">
      <c r="A1936" t="s">
        <v>25</v>
      </c>
      <c r="B1936" t="s">
        <v>26</v>
      </c>
      <c r="C1936" t="s">
        <v>58</v>
      </c>
      <c r="D1936" s="1">
        <v>44850</v>
      </c>
      <c r="E1936" s="2">
        <v>0.66666666666666663</v>
      </c>
      <c r="F1936" t="s">
        <v>40</v>
      </c>
      <c r="G1936" t="s">
        <v>29</v>
      </c>
      <c r="H1936">
        <v>1</v>
      </c>
      <c r="I1936">
        <v>3</v>
      </c>
      <c r="J1936" t="s">
        <v>30</v>
      </c>
      <c r="K1936">
        <v>557</v>
      </c>
      <c r="L1936">
        <v>443</v>
      </c>
      <c r="M1936">
        <v>16</v>
      </c>
      <c r="N1936">
        <v>561</v>
      </c>
      <c r="O1936">
        <v>443</v>
      </c>
      <c r="P1936">
        <v>165</v>
      </c>
      <c r="Q1936">
        <v>52</v>
      </c>
      <c r="R1936">
        <v>423</v>
      </c>
      <c r="S1936">
        <v>158</v>
      </c>
      <c r="T1936" t="s">
        <v>31</v>
      </c>
      <c r="U1936" t="s">
        <v>31</v>
      </c>
      <c r="V1936" t="s">
        <v>31</v>
      </c>
      <c r="W1936" t="s">
        <v>31</v>
      </c>
      <c r="X1936" t="s">
        <v>31</v>
      </c>
      <c r="Y1936" t="s">
        <v>31</v>
      </c>
    </row>
    <row r="1937" spans="1:25" hidden="1">
      <c r="A1937" t="s">
        <v>25</v>
      </c>
      <c r="B1937" t="s">
        <v>26</v>
      </c>
      <c r="C1937" t="s">
        <v>58</v>
      </c>
      <c r="D1937" s="1">
        <v>44856</v>
      </c>
      <c r="E1937" s="2">
        <v>0.66666666666666663</v>
      </c>
      <c r="F1937" t="s">
        <v>52</v>
      </c>
      <c r="G1937" t="s">
        <v>54</v>
      </c>
      <c r="H1937">
        <v>1</v>
      </c>
      <c r="I1937">
        <v>5</v>
      </c>
      <c r="J1937" t="s">
        <v>30</v>
      </c>
      <c r="K1937">
        <v>244</v>
      </c>
      <c r="L1937">
        <v>374</v>
      </c>
      <c r="M1937">
        <v>286</v>
      </c>
      <c r="N1937">
        <v>25</v>
      </c>
      <c r="O1937">
        <v>377</v>
      </c>
      <c r="P1937">
        <v>286</v>
      </c>
      <c r="Q1937">
        <v>238</v>
      </c>
      <c r="R1937">
        <v>358</v>
      </c>
      <c r="S1937">
        <v>276</v>
      </c>
      <c r="T1937" t="s">
        <v>31</v>
      </c>
      <c r="U1937" t="s">
        <v>31</v>
      </c>
      <c r="V1937" t="s">
        <v>31</v>
      </c>
      <c r="W1937" t="s">
        <v>31</v>
      </c>
      <c r="X1937" t="s">
        <v>31</v>
      </c>
      <c r="Y1937" t="s">
        <v>31</v>
      </c>
    </row>
    <row r="1938" spans="1:25" hidden="1">
      <c r="A1938" t="s">
        <v>25</v>
      </c>
      <c r="B1938" t="s">
        <v>26</v>
      </c>
      <c r="C1938" t="s">
        <v>58</v>
      </c>
      <c r="D1938" s="1">
        <v>44856</v>
      </c>
      <c r="E1938" s="2">
        <v>0.66666666666666663</v>
      </c>
      <c r="F1938" t="s">
        <v>35</v>
      </c>
      <c r="G1938" t="s">
        <v>56</v>
      </c>
      <c r="H1938">
        <v>0</v>
      </c>
      <c r="I1938">
        <v>1</v>
      </c>
      <c r="J1938" t="s">
        <v>30</v>
      </c>
      <c r="K1938">
        <v>181</v>
      </c>
      <c r="L1938">
        <v>413</v>
      </c>
      <c r="M1938">
        <v>425</v>
      </c>
      <c r="N1938">
        <v>182</v>
      </c>
      <c r="O1938">
        <v>43</v>
      </c>
      <c r="P1938">
        <v>457</v>
      </c>
      <c r="Q1938">
        <v>177</v>
      </c>
      <c r="R1938">
        <v>4</v>
      </c>
      <c r="S1938">
        <v>406</v>
      </c>
      <c r="T1938" t="s">
        <v>31</v>
      </c>
      <c r="U1938" t="s">
        <v>31</v>
      </c>
      <c r="V1938" t="s">
        <v>31</v>
      </c>
      <c r="W1938" t="s">
        <v>31</v>
      </c>
      <c r="X1938" t="s">
        <v>31</v>
      </c>
      <c r="Y1938" t="s">
        <v>31</v>
      </c>
    </row>
    <row r="1939" spans="1:25" hidden="1">
      <c r="A1939" t="s">
        <v>25</v>
      </c>
      <c r="B1939" t="s">
        <v>26</v>
      </c>
      <c r="C1939" t="s">
        <v>58</v>
      </c>
      <c r="D1939" s="1">
        <v>44856</v>
      </c>
      <c r="E1939" s="2">
        <v>0.66666666666666663</v>
      </c>
      <c r="F1939" t="s">
        <v>29</v>
      </c>
      <c r="G1939" t="s">
        <v>28</v>
      </c>
      <c r="H1939">
        <v>0</v>
      </c>
      <c r="I1939">
        <v>0</v>
      </c>
      <c r="J1939" t="s">
        <v>41</v>
      </c>
      <c r="K1939">
        <v>173</v>
      </c>
      <c r="L1939">
        <v>377</v>
      </c>
      <c r="M1939">
        <v>536</v>
      </c>
      <c r="N1939">
        <v>174</v>
      </c>
      <c r="O1939">
        <v>399</v>
      </c>
      <c r="P1939">
        <v>55</v>
      </c>
      <c r="Q1939">
        <v>171</v>
      </c>
      <c r="R1939">
        <v>372</v>
      </c>
      <c r="S1939">
        <v>482</v>
      </c>
      <c r="T1939" t="s">
        <v>31</v>
      </c>
      <c r="U1939" t="s">
        <v>31</v>
      </c>
      <c r="V1939" t="s">
        <v>31</v>
      </c>
      <c r="W1939" t="s">
        <v>31</v>
      </c>
      <c r="X1939" t="s">
        <v>31</v>
      </c>
      <c r="Y1939" t="s">
        <v>31</v>
      </c>
    </row>
    <row r="1940" spans="1:25" hidden="1">
      <c r="A1940" t="s">
        <v>25</v>
      </c>
      <c r="B1940" t="s">
        <v>26</v>
      </c>
      <c r="C1940" t="s">
        <v>58</v>
      </c>
      <c r="D1940" s="1">
        <v>44857</v>
      </c>
      <c r="E1940" s="2">
        <v>0.5625</v>
      </c>
      <c r="F1940" t="s">
        <v>59</v>
      </c>
      <c r="G1940" t="s">
        <v>38</v>
      </c>
      <c r="H1940">
        <v>0</v>
      </c>
      <c r="I1940">
        <v>0</v>
      </c>
      <c r="J1940" t="s">
        <v>41</v>
      </c>
      <c r="K1940">
        <v>254</v>
      </c>
      <c r="L1940">
        <v>369</v>
      </c>
      <c r="M1940">
        <v>276</v>
      </c>
      <c r="N1940">
        <v>254</v>
      </c>
      <c r="O1940">
        <v>369</v>
      </c>
      <c r="P1940">
        <v>28</v>
      </c>
      <c r="Q1940">
        <v>245</v>
      </c>
      <c r="R1940">
        <v>349</v>
      </c>
      <c r="S1940">
        <v>273</v>
      </c>
      <c r="T1940" t="s">
        <v>31</v>
      </c>
      <c r="U1940" t="s">
        <v>31</v>
      </c>
      <c r="V1940" t="s">
        <v>31</v>
      </c>
      <c r="W1940" t="s">
        <v>31</v>
      </c>
      <c r="X1940" t="s">
        <v>31</v>
      </c>
      <c r="Y1940" t="s">
        <v>31</v>
      </c>
    </row>
    <row r="1941" spans="1:25" hidden="1">
      <c r="A1941" t="s">
        <v>25</v>
      </c>
      <c r="B1941" t="s">
        <v>26</v>
      </c>
      <c r="C1941" t="s">
        <v>58</v>
      </c>
      <c r="D1941" s="1">
        <v>44857</v>
      </c>
      <c r="E1941" s="2">
        <v>0.5625</v>
      </c>
      <c r="F1941" t="s">
        <v>39</v>
      </c>
      <c r="G1941" t="s">
        <v>45</v>
      </c>
      <c r="H1941">
        <v>2</v>
      </c>
      <c r="I1941">
        <v>3</v>
      </c>
      <c r="J1941" t="s">
        <v>30</v>
      </c>
      <c r="K1941">
        <v>17</v>
      </c>
      <c r="L1941">
        <v>424</v>
      </c>
      <c r="M1941">
        <v>484</v>
      </c>
      <c r="N1941">
        <v>172</v>
      </c>
      <c r="O1941">
        <v>424</v>
      </c>
      <c r="P1941">
        <v>484</v>
      </c>
      <c r="Q1941">
        <v>168</v>
      </c>
      <c r="R1941">
        <v>4</v>
      </c>
      <c r="S1941">
        <v>463</v>
      </c>
      <c r="T1941" t="s">
        <v>31</v>
      </c>
      <c r="U1941" t="s">
        <v>31</v>
      </c>
      <c r="V1941" t="s">
        <v>31</v>
      </c>
      <c r="W1941" t="s">
        <v>31</v>
      </c>
      <c r="X1941" t="s">
        <v>31</v>
      </c>
      <c r="Y1941" t="s">
        <v>31</v>
      </c>
    </row>
    <row r="1942" spans="1:25" hidden="1">
      <c r="A1942" t="s">
        <v>25</v>
      </c>
      <c r="B1942" t="s">
        <v>26</v>
      </c>
      <c r="C1942" t="s">
        <v>58</v>
      </c>
      <c r="D1942" s="1">
        <v>44857</v>
      </c>
      <c r="E1942" s="2">
        <v>0.66666666666666663</v>
      </c>
      <c r="F1942" t="s">
        <v>50</v>
      </c>
      <c r="G1942" t="s">
        <v>40</v>
      </c>
      <c r="H1942">
        <v>2</v>
      </c>
      <c r="I1942">
        <v>2</v>
      </c>
      <c r="J1942" t="s">
        <v>41</v>
      </c>
      <c r="K1942">
        <v>202</v>
      </c>
      <c r="L1942">
        <v>388</v>
      </c>
      <c r="M1942">
        <v>362</v>
      </c>
      <c r="N1942">
        <v>202</v>
      </c>
      <c r="O1942">
        <v>401</v>
      </c>
      <c r="P1942">
        <v>379</v>
      </c>
      <c r="Q1942">
        <v>196</v>
      </c>
      <c r="R1942">
        <v>376</v>
      </c>
      <c r="S1942">
        <v>351</v>
      </c>
      <c r="T1942" t="s">
        <v>31</v>
      </c>
      <c r="U1942" t="s">
        <v>31</v>
      </c>
      <c r="V1942" t="s">
        <v>31</v>
      </c>
      <c r="W1942" t="s">
        <v>31</v>
      </c>
      <c r="X1942" t="s">
        <v>31</v>
      </c>
      <c r="Y1942" t="s">
        <v>31</v>
      </c>
    </row>
    <row r="1943" spans="1:25" hidden="1">
      <c r="A1943" t="s">
        <v>25</v>
      </c>
      <c r="B1943" t="s">
        <v>26</v>
      </c>
      <c r="C1943" t="s">
        <v>58</v>
      </c>
      <c r="D1943" s="1">
        <v>44860</v>
      </c>
      <c r="E1943" s="2">
        <v>0.625</v>
      </c>
      <c r="F1943" t="s">
        <v>35</v>
      </c>
      <c r="G1943" t="s">
        <v>52</v>
      </c>
      <c r="H1943">
        <v>5</v>
      </c>
      <c r="I1943">
        <v>1</v>
      </c>
      <c r="J1943" t="s">
        <v>34</v>
      </c>
      <c r="K1943">
        <v>146</v>
      </c>
      <c r="L1943">
        <v>487</v>
      </c>
      <c r="M1943">
        <v>699</v>
      </c>
      <c r="N1943">
        <v>153</v>
      </c>
      <c r="O1943">
        <v>52</v>
      </c>
      <c r="P1943">
        <v>7</v>
      </c>
      <c r="Q1943">
        <v>143</v>
      </c>
      <c r="R1943">
        <v>474</v>
      </c>
      <c r="S1943">
        <v>661</v>
      </c>
      <c r="T1943" t="s">
        <v>31</v>
      </c>
      <c r="U1943" t="s">
        <v>31</v>
      </c>
      <c r="V1943" t="s">
        <v>31</v>
      </c>
      <c r="W1943" t="s">
        <v>31</v>
      </c>
      <c r="X1943" t="s">
        <v>31</v>
      </c>
      <c r="Y1943" t="s">
        <v>31</v>
      </c>
    </row>
    <row r="1944" spans="1:25" hidden="1">
      <c r="A1944" t="s">
        <v>25</v>
      </c>
      <c r="B1944" t="s">
        <v>26</v>
      </c>
      <c r="C1944" t="s">
        <v>58</v>
      </c>
      <c r="D1944" s="1">
        <v>44863</v>
      </c>
      <c r="E1944" s="2">
        <v>0.66666666666666663</v>
      </c>
      <c r="F1944" t="s">
        <v>56</v>
      </c>
      <c r="G1944" t="s">
        <v>54</v>
      </c>
      <c r="H1944">
        <v>2</v>
      </c>
      <c r="I1944">
        <v>3</v>
      </c>
      <c r="J1944" t="s">
        <v>30</v>
      </c>
      <c r="K1944">
        <v>207</v>
      </c>
      <c r="L1944">
        <v>386</v>
      </c>
      <c r="M1944">
        <v>35</v>
      </c>
      <c r="N1944">
        <v>212</v>
      </c>
      <c r="O1944">
        <v>4</v>
      </c>
      <c r="P1944">
        <v>35</v>
      </c>
      <c r="Q1944">
        <v>203</v>
      </c>
      <c r="R1944">
        <v>373</v>
      </c>
      <c r="S1944">
        <v>331</v>
      </c>
      <c r="T1944" t="s">
        <v>31</v>
      </c>
      <c r="U1944" t="s">
        <v>31</v>
      </c>
      <c r="V1944" t="s">
        <v>31</v>
      </c>
      <c r="W1944" t="s">
        <v>31</v>
      </c>
      <c r="X1944" t="s">
        <v>31</v>
      </c>
      <c r="Y1944" t="s">
        <v>31</v>
      </c>
    </row>
    <row r="1945" spans="1:25" hidden="1">
      <c r="A1945" t="s">
        <v>25</v>
      </c>
      <c r="B1945" t="s">
        <v>26</v>
      </c>
      <c r="C1945" t="s">
        <v>58</v>
      </c>
      <c r="D1945" s="1">
        <v>44863</v>
      </c>
      <c r="E1945" s="2">
        <v>0.66666666666666663</v>
      </c>
      <c r="F1945" t="s">
        <v>59</v>
      </c>
      <c r="G1945" t="s">
        <v>35</v>
      </c>
      <c r="H1945">
        <v>3</v>
      </c>
      <c r="I1945">
        <v>3</v>
      </c>
      <c r="J1945" t="s">
        <v>41</v>
      </c>
      <c r="K1945">
        <v>459</v>
      </c>
      <c r="L1945">
        <v>427</v>
      </c>
      <c r="M1945">
        <v>173</v>
      </c>
      <c r="N1945">
        <v>49</v>
      </c>
      <c r="O1945">
        <v>433</v>
      </c>
      <c r="P1945">
        <v>173</v>
      </c>
      <c r="Q1945">
        <v>45</v>
      </c>
      <c r="R1945">
        <v>406</v>
      </c>
      <c r="S1945">
        <v>169</v>
      </c>
      <c r="T1945" t="s">
        <v>31</v>
      </c>
      <c r="U1945" t="s">
        <v>31</v>
      </c>
      <c r="V1945" t="s">
        <v>31</v>
      </c>
      <c r="W1945" t="s">
        <v>31</v>
      </c>
      <c r="X1945" t="s">
        <v>31</v>
      </c>
      <c r="Y1945" t="s">
        <v>31</v>
      </c>
    </row>
    <row r="1946" spans="1:25" hidden="1">
      <c r="A1946" t="s">
        <v>25</v>
      </c>
      <c r="B1946" t="s">
        <v>26</v>
      </c>
      <c r="C1946" t="s">
        <v>58</v>
      </c>
      <c r="D1946" s="1">
        <v>44863</v>
      </c>
      <c r="E1946" s="2">
        <v>0.66666666666666663</v>
      </c>
      <c r="F1946" t="s">
        <v>29</v>
      </c>
      <c r="G1946" t="s">
        <v>52</v>
      </c>
      <c r="H1946">
        <v>1</v>
      </c>
      <c r="I1946">
        <v>0</v>
      </c>
      <c r="J1946" t="s">
        <v>34</v>
      </c>
      <c r="K1946">
        <v>121</v>
      </c>
      <c r="L1946">
        <v>742</v>
      </c>
      <c r="M1946">
        <v>1376</v>
      </c>
      <c r="N1946">
        <v>125</v>
      </c>
      <c r="O1946">
        <v>75</v>
      </c>
      <c r="P1946">
        <v>14</v>
      </c>
      <c r="Q1946">
        <v>12</v>
      </c>
      <c r="R1946">
        <v>697</v>
      </c>
      <c r="S1946">
        <v>1181</v>
      </c>
      <c r="T1946" t="s">
        <v>31</v>
      </c>
      <c r="U1946" t="s">
        <v>31</v>
      </c>
      <c r="V1946" t="s">
        <v>31</v>
      </c>
      <c r="W1946" t="s">
        <v>31</v>
      </c>
      <c r="X1946" t="s">
        <v>31</v>
      </c>
      <c r="Y1946" t="s">
        <v>31</v>
      </c>
    </row>
    <row r="1947" spans="1:25" hidden="1">
      <c r="A1947" t="s">
        <v>25</v>
      </c>
      <c r="B1947" t="s">
        <v>26</v>
      </c>
      <c r="C1947" t="s">
        <v>58</v>
      </c>
      <c r="D1947" s="1">
        <v>44864</v>
      </c>
      <c r="E1947" s="2">
        <v>0.5625</v>
      </c>
      <c r="F1947" t="s">
        <v>40</v>
      </c>
      <c r="G1947" t="s">
        <v>45</v>
      </c>
      <c r="H1947">
        <v>2</v>
      </c>
      <c r="I1947">
        <v>1</v>
      </c>
      <c r="J1947" t="s">
        <v>34</v>
      </c>
      <c r="K1947">
        <v>166</v>
      </c>
      <c r="L1947">
        <v>44</v>
      </c>
      <c r="M1947">
        <v>495</v>
      </c>
      <c r="N1947">
        <v>17</v>
      </c>
      <c r="O1947">
        <v>44</v>
      </c>
      <c r="P1947">
        <v>504</v>
      </c>
      <c r="Q1947">
        <v>165</v>
      </c>
      <c r="R1947">
        <v>411</v>
      </c>
      <c r="S1947">
        <v>468</v>
      </c>
      <c r="T1947" t="s">
        <v>31</v>
      </c>
      <c r="U1947" t="s">
        <v>31</v>
      </c>
      <c r="V1947" t="s">
        <v>31</v>
      </c>
      <c r="W1947" t="s">
        <v>31</v>
      </c>
      <c r="X1947" t="s">
        <v>31</v>
      </c>
      <c r="Y1947" t="s">
        <v>31</v>
      </c>
    </row>
    <row r="1948" spans="1:25" hidden="1">
      <c r="A1948" t="s">
        <v>25</v>
      </c>
      <c r="B1948" t="s">
        <v>26</v>
      </c>
      <c r="C1948" t="s">
        <v>58</v>
      </c>
      <c r="D1948" s="1">
        <v>44864</v>
      </c>
      <c r="E1948" s="2">
        <v>0.5625</v>
      </c>
      <c r="F1948" t="s">
        <v>50</v>
      </c>
      <c r="G1948" t="s">
        <v>39</v>
      </c>
      <c r="H1948">
        <v>4</v>
      </c>
      <c r="I1948">
        <v>1</v>
      </c>
      <c r="J1948" t="s">
        <v>34</v>
      </c>
      <c r="K1948">
        <v>167</v>
      </c>
      <c r="L1948">
        <v>46</v>
      </c>
      <c r="M1948">
        <v>469</v>
      </c>
      <c r="N1948">
        <v>175</v>
      </c>
      <c r="O1948">
        <v>46</v>
      </c>
      <c r="P1948">
        <v>475</v>
      </c>
      <c r="Q1948">
        <v>164</v>
      </c>
      <c r="R1948">
        <v>428</v>
      </c>
      <c r="S1948">
        <v>455</v>
      </c>
      <c r="T1948" t="s">
        <v>31</v>
      </c>
      <c r="U1948" t="s">
        <v>31</v>
      </c>
      <c r="V1948" t="s">
        <v>31</v>
      </c>
      <c r="W1948" t="s">
        <v>31</v>
      </c>
      <c r="X1948" t="s">
        <v>31</v>
      </c>
      <c r="Y1948" t="s">
        <v>31</v>
      </c>
    </row>
    <row r="1949" spans="1:25" hidden="1">
      <c r="A1949" t="s">
        <v>25</v>
      </c>
      <c r="B1949" t="s">
        <v>26</v>
      </c>
      <c r="C1949" t="s">
        <v>58</v>
      </c>
      <c r="D1949" s="1">
        <v>44864</v>
      </c>
      <c r="E1949" s="2">
        <v>0.66666666666666663</v>
      </c>
      <c r="F1949" t="s">
        <v>28</v>
      </c>
      <c r="G1949" t="s">
        <v>38</v>
      </c>
      <c r="H1949">
        <v>2</v>
      </c>
      <c r="I1949">
        <v>1</v>
      </c>
      <c r="J1949" t="s">
        <v>34</v>
      </c>
      <c r="K1949">
        <v>132</v>
      </c>
      <c r="L1949">
        <v>562</v>
      </c>
      <c r="M1949">
        <v>1038</v>
      </c>
      <c r="N1949">
        <v>14</v>
      </c>
      <c r="O1949">
        <v>578</v>
      </c>
      <c r="P1949">
        <v>105</v>
      </c>
      <c r="Q1949">
        <v>132</v>
      </c>
      <c r="R1949">
        <v>528</v>
      </c>
      <c r="S1949">
        <v>908</v>
      </c>
      <c r="T1949" t="s">
        <v>31</v>
      </c>
      <c r="U1949" t="s">
        <v>31</v>
      </c>
      <c r="V1949" t="s">
        <v>31</v>
      </c>
      <c r="W1949" t="s">
        <v>31</v>
      </c>
      <c r="X1949" t="s">
        <v>31</v>
      </c>
      <c r="Y1949" t="s">
        <v>31</v>
      </c>
    </row>
    <row r="1950" spans="1:25" hidden="1">
      <c r="A1950" t="s">
        <v>25</v>
      </c>
      <c r="B1950" t="s">
        <v>26</v>
      </c>
      <c r="C1950" t="s">
        <v>58</v>
      </c>
      <c r="D1950" s="1">
        <v>44870</v>
      </c>
      <c r="E1950" s="2">
        <v>0.66666666666666663</v>
      </c>
      <c r="F1950" t="s">
        <v>52</v>
      </c>
      <c r="G1950" t="s">
        <v>59</v>
      </c>
      <c r="H1950">
        <v>1</v>
      </c>
      <c r="I1950">
        <v>1</v>
      </c>
      <c r="J1950" t="s">
        <v>41</v>
      </c>
      <c r="K1950">
        <v>232</v>
      </c>
      <c r="L1950">
        <v>367</v>
      </c>
      <c r="M1950">
        <v>308</v>
      </c>
      <c r="N1950">
        <v>233</v>
      </c>
      <c r="O1950">
        <v>38</v>
      </c>
      <c r="P1950">
        <v>315</v>
      </c>
      <c r="Q1950">
        <v>226</v>
      </c>
      <c r="R1950">
        <v>351</v>
      </c>
      <c r="S1950">
        <v>299</v>
      </c>
      <c r="T1950" t="s">
        <v>31</v>
      </c>
      <c r="U1950" t="s">
        <v>31</v>
      </c>
      <c r="V1950" t="s">
        <v>31</v>
      </c>
      <c r="W1950" t="s">
        <v>31</v>
      </c>
      <c r="X1950" t="s">
        <v>31</v>
      </c>
      <c r="Y1950" t="s">
        <v>31</v>
      </c>
    </row>
    <row r="1951" spans="1:25" hidden="1">
      <c r="A1951" t="s">
        <v>25</v>
      </c>
      <c r="B1951" t="s">
        <v>26</v>
      </c>
      <c r="C1951" t="s">
        <v>58</v>
      </c>
      <c r="D1951" s="1">
        <v>44870</v>
      </c>
      <c r="E1951" s="2">
        <v>0.66666666666666663</v>
      </c>
      <c r="F1951" t="s">
        <v>38</v>
      </c>
      <c r="G1951" t="s">
        <v>56</v>
      </c>
      <c r="H1951">
        <v>2</v>
      </c>
      <c r="I1951">
        <v>2</v>
      </c>
      <c r="J1951" t="s">
        <v>41</v>
      </c>
      <c r="K1951">
        <v>299</v>
      </c>
      <c r="L1951">
        <v>362</v>
      </c>
      <c r="M1951">
        <v>24</v>
      </c>
      <c r="N1951">
        <v>304</v>
      </c>
      <c r="O1951">
        <v>366</v>
      </c>
      <c r="P1951">
        <v>252</v>
      </c>
      <c r="Q1951">
        <v>286</v>
      </c>
      <c r="R1951">
        <v>345</v>
      </c>
      <c r="S1951">
        <v>237</v>
      </c>
      <c r="T1951" t="s">
        <v>31</v>
      </c>
      <c r="U1951" t="s">
        <v>31</v>
      </c>
      <c r="V1951" t="s">
        <v>31</v>
      </c>
      <c r="W1951" t="s">
        <v>31</v>
      </c>
      <c r="X1951" t="s">
        <v>31</v>
      </c>
      <c r="Y1951" t="s">
        <v>31</v>
      </c>
    </row>
    <row r="1952" spans="1:25" hidden="1">
      <c r="A1952" t="s">
        <v>25</v>
      </c>
      <c r="B1952" t="s">
        <v>26</v>
      </c>
      <c r="C1952" t="s">
        <v>58</v>
      </c>
      <c r="D1952" s="1">
        <v>44870</v>
      </c>
      <c r="E1952" s="2">
        <v>0.66666666666666663</v>
      </c>
      <c r="F1952" t="s">
        <v>39</v>
      </c>
      <c r="G1952" t="s">
        <v>29</v>
      </c>
      <c r="H1952">
        <v>1</v>
      </c>
      <c r="I1952">
        <v>2</v>
      </c>
      <c r="J1952" t="s">
        <v>30</v>
      </c>
      <c r="K1952">
        <v>899</v>
      </c>
      <c r="L1952">
        <v>585</v>
      </c>
      <c r="M1952">
        <v>133</v>
      </c>
      <c r="N1952">
        <v>922</v>
      </c>
      <c r="O1952">
        <v>585</v>
      </c>
      <c r="P1952">
        <v>14</v>
      </c>
      <c r="Q1952">
        <v>778</v>
      </c>
      <c r="R1952">
        <v>519</v>
      </c>
      <c r="S1952">
        <v>135</v>
      </c>
      <c r="T1952" t="s">
        <v>31</v>
      </c>
      <c r="U1952" t="s">
        <v>31</v>
      </c>
      <c r="V1952" t="s">
        <v>31</v>
      </c>
      <c r="W1952" t="s">
        <v>31</v>
      </c>
      <c r="X1952" t="s">
        <v>31</v>
      </c>
      <c r="Y1952" t="s">
        <v>31</v>
      </c>
    </row>
    <row r="1953" spans="1:25" hidden="1">
      <c r="A1953" t="s">
        <v>25</v>
      </c>
      <c r="B1953" t="s">
        <v>26</v>
      </c>
      <c r="C1953" t="s">
        <v>58</v>
      </c>
      <c r="D1953" s="1">
        <v>44871</v>
      </c>
      <c r="E1953" s="2">
        <v>0.5625</v>
      </c>
      <c r="F1953" t="s">
        <v>45</v>
      </c>
      <c r="G1953" t="s">
        <v>28</v>
      </c>
      <c r="H1953">
        <v>1</v>
      </c>
      <c r="I1953">
        <v>1</v>
      </c>
      <c r="J1953" t="s">
        <v>41</v>
      </c>
      <c r="K1953">
        <v>708</v>
      </c>
      <c r="L1953">
        <v>458</v>
      </c>
      <c r="M1953">
        <v>149</v>
      </c>
      <c r="N1953">
        <v>708</v>
      </c>
      <c r="O1953">
        <v>458</v>
      </c>
      <c r="P1953">
        <v>157</v>
      </c>
      <c r="Q1953">
        <v>628</v>
      </c>
      <c r="R1953">
        <v>432</v>
      </c>
      <c r="S1953">
        <v>149</v>
      </c>
      <c r="T1953" t="s">
        <v>31</v>
      </c>
      <c r="U1953" t="s">
        <v>31</v>
      </c>
      <c r="V1953" t="s">
        <v>31</v>
      </c>
      <c r="W1953" t="s">
        <v>31</v>
      </c>
      <c r="X1953" t="s">
        <v>31</v>
      </c>
      <c r="Y1953" t="s">
        <v>31</v>
      </c>
    </row>
    <row r="1954" spans="1:25" hidden="1">
      <c r="A1954" t="s">
        <v>25</v>
      </c>
      <c r="B1954" t="s">
        <v>26</v>
      </c>
      <c r="C1954" t="s">
        <v>58</v>
      </c>
      <c r="D1954" s="1">
        <v>44871</v>
      </c>
      <c r="E1954" s="2">
        <v>0.5625</v>
      </c>
      <c r="F1954" t="s">
        <v>54</v>
      </c>
      <c r="G1954" t="s">
        <v>40</v>
      </c>
      <c r="H1954">
        <v>0</v>
      </c>
      <c r="I1954">
        <v>0</v>
      </c>
      <c r="J1954" t="s">
        <v>41</v>
      </c>
      <c r="K1954">
        <v>278</v>
      </c>
      <c r="L1954">
        <v>391</v>
      </c>
      <c r="M1954">
        <v>242</v>
      </c>
      <c r="N1954">
        <v>3</v>
      </c>
      <c r="O1954">
        <v>391</v>
      </c>
      <c r="P1954">
        <v>242</v>
      </c>
      <c r="Q1954">
        <v>278</v>
      </c>
      <c r="R1954">
        <v>369</v>
      </c>
      <c r="S1954">
        <v>231</v>
      </c>
      <c r="T1954" t="s">
        <v>31</v>
      </c>
      <c r="U1954" t="s">
        <v>31</v>
      </c>
      <c r="V1954" t="s">
        <v>31</v>
      </c>
      <c r="W1954" t="s">
        <v>31</v>
      </c>
      <c r="X1954" t="s">
        <v>31</v>
      </c>
      <c r="Y1954" t="s">
        <v>31</v>
      </c>
    </row>
    <row r="1955" spans="1:25" hidden="1">
      <c r="A1955" t="s">
        <v>25</v>
      </c>
      <c r="B1955" t="s">
        <v>26</v>
      </c>
      <c r="C1955" t="s">
        <v>58</v>
      </c>
      <c r="D1955" s="1">
        <v>44871</v>
      </c>
      <c r="E1955" s="2">
        <v>0.66666666666666663</v>
      </c>
      <c r="F1955" t="s">
        <v>35</v>
      </c>
      <c r="G1955" t="s">
        <v>50</v>
      </c>
      <c r="H1955">
        <v>1</v>
      </c>
      <c r="I1955">
        <v>0</v>
      </c>
      <c r="J1955" t="s">
        <v>34</v>
      </c>
      <c r="K1955">
        <v>248</v>
      </c>
      <c r="L1955">
        <v>382</v>
      </c>
      <c r="M1955">
        <v>276</v>
      </c>
      <c r="N1955">
        <v>255</v>
      </c>
      <c r="O1955">
        <v>382</v>
      </c>
      <c r="P1955">
        <v>281</v>
      </c>
      <c r="Q1955">
        <v>244</v>
      </c>
      <c r="R1955">
        <v>356</v>
      </c>
      <c r="S1955">
        <v>269</v>
      </c>
      <c r="T1955" t="s">
        <v>31</v>
      </c>
      <c r="U1955" t="s">
        <v>31</v>
      </c>
      <c r="V1955" t="s">
        <v>31</v>
      </c>
      <c r="W1955" t="s">
        <v>31</v>
      </c>
      <c r="X1955" t="s">
        <v>31</v>
      </c>
      <c r="Y1955" t="s">
        <v>31</v>
      </c>
    </row>
    <row r="1956" spans="1:25" hidden="1">
      <c r="A1956" t="s">
        <v>25</v>
      </c>
      <c r="B1956" t="s">
        <v>26</v>
      </c>
      <c r="C1956" t="s">
        <v>58</v>
      </c>
      <c r="D1956" s="1">
        <v>44877</v>
      </c>
      <c r="E1956" s="2">
        <v>0.66666666666666663</v>
      </c>
      <c r="F1956" t="s">
        <v>59</v>
      </c>
      <c r="G1956" t="s">
        <v>45</v>
      </c>
      <c r="H1956">
        <v>3</v>
      </c>
      <c r="I1956">
        <v>0</v>
      </c>
      <c r="J1956" t="s">
        <v>34</v>
      </c>
      <c r="K1956">
        <v>26</v>
      </c>
      <c r="L1956">
        <v>372</v>
      </c>
      <c r="M1956">
        <v>267</v>
      </c>
      <c r="N1956">
        <v>26</v>
      </c>
      <c r="O1956">
        <v>378</v>
      </c>
      <c r="P1956">
        <v>285</v>
      </c>
      <c r="Q1956">
        <v>25</v>
      </c>
      <c r="R1956">
        <v>353</v>
      </c>
      <c r="S1956">
        <v>262</v>
      </c>
      <c r="T1956" t="s">
        <v>31</v>
      </c>
      <c r="U1956" t="s">
        <v>31</v>
      </c>
      <c r="V1956" t="s">
        <v>31</v>
      </c>
      <c r="W1956" t="s">
        <v>31</v>
      </c>
      <c r="X1956" t="s">
        <v>31</v>
      </c>
      <c r="Y1956" t="s">
        <v>31</v>
      </c>
    </row>
    <row r="1957" spans="1:25" hidden="1">
      <c r="A1957" t="s">
        <v>25</v>
      </c>
      <c r="B1957" t="s">
        <v>26</v>
      </c>
      <c r="C1957" t="s">
        <v>58</v>
      </c>
      <c r="D1957" s="1">
        <v>44877</v>
      </c>
      <c r="E1957" s="2">
        <v>0.66666666666666663</v>
      </c>
      <c r="F1957" t="s">
        <v>52</v>
      </c>
      <c r="G1957" t="s">
        <v>35</v>
      </c>
      <c r="H1957">
        <v>1</v>
      </c>
      <c r="I1957">
        <v>2</v>
      </c>
      <c r="J1957" t="s">
        <v>30</v>
      </c>
      <c r="K1957">
        <v>515</v>
      </c>
      <c r="L1957">
        <v>451</v>
      </c>
      <c r="M1957">
        <v>163</v>
      </c>
      <c r="N1957">
        <v>555</v>
      </c>
      <c r="O1957">
        <v>451</v>
      </c>
      <c r="P1957">
        <v>166</v>
      </c>
      <c r="Q1957">
        <v>493</v>
      </c>
      <c r="R1957">
        <v>416</v>
      </c>
      <c r="S1957">
        <v>161</v>
      </c>
      <c r="T1957" t="s">
        <v>31</v>
      </c>
      <c r="U1957" t="s">
        <v>31</v>
      </c>
      <c r="V1957" t="s">
        <v>31</v>
      </c>
      <c r="W1957" t="s">
        <v>31</v>
      </c>
      <c r="X1957" t="s">
        <v>31</v>
      </c>
      <c r="Y1957" t="s">
        <v>31</v>
      </c>
    </row>
    <row r="1958" spans="1:25" hidden="1">
      <c r="A1958" t="s">
        <v>25</v>
      </c>
      <c r="B1958" t="s">
        <v>26</v>
      </c>
      <c r="C1958" t="s">
        <v>58</v>
      </c>
      <c r="D1958" s="1">
        <v>44877</v>
      </c>
      <c r="E1958" s="2">
        <v>0.66666666666666663</v>
      </c>
      <c r="F1958" t="s">
        <v>54</v>
      </c>
      <c r="G1958" t="s">
        <v>38</v>
      </c>
      <c r="H1958">
        <v>2</v>
      </c>
      <c r="I1958">
        <v>0</v>
      </c>
      <c r="J1958" t="s">
        <v>34</v>
      </c>
      <c r="K1958">
        <v>193</v>
      </c>
      <c r="L1958">
        <v>393</v>
      </c>
      <c r="M1958">
        <v>392</v>
      </c>
      <c r="N1958">
        <v>197</v>
      </c>
      <c r="O1958">
        <v>402</v>
      </c>
      <c r="P1958">
        <v>4</v>
      </c>
      <c r="Q1958">
        <v>187</v>
      </c>
      <c r="R1958">
        <v>377</v>
      </c>
      <c r="S1958">
        <v>375</v>
      </c>
      <c r="T1958" t="s">
        <v>31</v>
      </c>
      <c r="U1958" t="s">
        <v>31</v>
      </c>
      <c r="V1958" t="s">
        <v>31</v>
      </c>
      <c r="W1958" t="s">
        <v>31</v>
      </c>
      <c r="X1958" t="s">
        <v>31</v>
      </c>
      <c r="Y1958" t="s">
        <v>31</v>
      </c>
    </row>
    <row r="1959" spans="1:25" hidden="1">
      <c r="A1959" t="s">
        <v>25</v>
      </c>
      <c r="B1959" t="s">
        <v>26</v>
      </c>
      <c r="C1959" t="s">
        <v>58</v>
      </c>
      <c r="D1959" s="1">
        <v>44878</v>
      </c>
      <c r="E1959" s="2">
        <v>0.5625</v>
      </c>
      <c r="F1959" t="s">
        <v>56</v>
      </c>
      <c r="G1959" t="s">
        <v>29</v>
      </c>
      <c r="H1959">
        <v>0</v>
      </c>
      <c r="I1959">
        <v>1</v>
      </c>
      <c r="J1959" t="s">
        <v>30</v>
      </c>
      <c r="K1959">
        <v>76</v>
      </c>
      <c r="L1959">
        <v>572</v>
      </c>
      <c r="M1959">
        <v>138</v>
      </c>
      <c r="N1959">
        <v>85</v>
      </c>
      <c r="O1959">
        <v>575</v>
      </c>
      <c r="P1959">
        <v>144</v>
      </c>
      <c r="Q1959">
        <v>72</v>
      </c>
      <c r="R1959">
        <v>524</v>
      </c>
      <c r="S1959">
        <v>136</v>
      </c>
      <c r="T1959" t="s">
        <v>31</v>
      </c>
      <c r="U1959" t="s">
        <v>31</v>
      </c>
      <c r="V1959" t="s">
        <v>31</v>
      </c>
      <c r="W1959" t="s">
        <v>31</v>
      </c>
      <c r="X1959" t="s">
        <v>31</v>
      </c>
      <c r="Y1959" t="s">
        <v>31</v>
      </c>
    </row>
    <row r="1960" spans="1:25" hidden="1">
      <c r="A1960" t="s">
        <v>25</v>
      </c>
      <c r="B1960" t="s">
        <v>26</v>
      </c>
      <c r="C1960" t="s">
        <v>58</v>
      </c>
      <c r="D1960" s="1">
        <v>44878</v>
      </c>
      <c r="E1960" s="2">
        <v>0.5625</v>
      </c>
      <c r="F1960" t="s">
        <v>40</v>
      </c>
      <c r="G1960" t="s">
        <v>39</v>
      </c>
      <c r="H1960">
        <v>0</v>
      </c>
      <c r="I1960">
        <v>1</v>
      </c>
      <c r="J1960" t="s">
        <v>30</v>
      </c>
      <c r="K1960">
        <v>193</v>
      </c>
      <c r="L1960">
        <v>421</v>
      </c>
      <c r="M1960">
        <v>366</v>
      </c>
      <c r="N1960">
        <v>195</v>
      </c>
      <c r="O1960">
        <v>43</v>
      </c>
      <c r="P1960">
        <v>383</v>
      </c>
      <c r="Q1960">
        <v>188</v>
      </c>
      <c r="R1960">
        <v>395</v>
      </c>
      <c r="S1960">
        <v>358</v>
      </c>
      <c r="T1960" t="s">
        <v>31</v>
      </c>
      <c r="U1960" t="s">
        <v>31</v>
      </c>
      <c r="V1960" t="s">
        <v>31</v>
      </c>
      <c r="W1960" t="s">
        <v>31</v>
      </c>
      <c r="X1960" t="s">
        <v>31</v>
      </c>
      <c r="Y1960" t="s">
        <v>31</v>
      </c>
    </row>
    <row r="1961" spans="1:25" hidden="1">
      <c r="A1961" t="s">
        <v>25</v>
      </c>
      <c r="B1961" t="s">
        <v>26</v>
      </c>
      <c r="C1961" t="s">
        <v>58</v>
      </c>
      <c r="D1961" s="1">
        <v>44878</v>
      </c>
      <c r="E1961" s="2">
        <v>0.66666666666666663</v>
      </c>
      <c r="F1961" t="s">
        <v>50</v>
      </c>
      <c r="G1961" t="s">
        <v>28</v>
      </c>
      <c r="H1961">
        <v>1</v>
      </c>
      <c r="I1961">
        <v>1</v>
      </c>
      <c r="J1961" t="s">
        <v>41</v>
      </c>
      <c r="K1961">
        <v>328</v>
      </c>
      <c r="L1961">
        <v>36</v>
      </c>
      <c r="M1961">
        <v>225</v>
      </c>
      <c r="N1961">
        <v>336</v>
      </c>
      <c r="O1961">
        <v>36</v>
      </c>
      <c r="P1961">
        <v>235</v>
      </c>
      <c r="Q1961">
        <v>314</v>
      </c>
      <c r="R1961">
        <v>345</v>
      </c>
      <c r="S1961">
        <v>22</v>
      </c>
      <c r="T1961" t="s">
        <v>31</v>
      </c>
      <c r="U1961" t="s">
        <v>31</v>
      </c>
      <c r="V1961" t="s">
        <v>31</v>
      </c>
      <c r="W1961" t="s">
        <v>31</v>
      </c>
      <c r="X1961" t="s">
        <v>31</v>
      </c>
      <c r="Y1961" t="s">
        <v>31</v>
      </c>
    </row>
    <row r="1962" spans="1:25" hidden="1">
      <c r="A1962" t="s">
        <v>25</v>
      </c>
      <c r="B1962" t="s">
        <v>26</v>
      </c>
      <c r="C1962" t="s">
        <v>58</v>
      </c>
      <c r="D1962" s="1">
        <v>44967</v>
      </c>
      <c r="E1962" s="2">
        <v>0.8125</v>
      </c>
      <c r="F1962" t="s">
        <v>28</v>
      </c>
      <c r="G1962" t="s">
        <v>35</v>
      </c>
      <c r="H1962">
        <v>1</v>
      </c>
      <c r="I1962">
        <v>0</v>
      </c>
      <c r="J1962" t="s">
        <v>34</v>
      </c>
      <c r="K1962">
        <v>2</v>
      </c>
      <c r="L1962">
        <v>358</v>
      </c>
      <c r="M1962">
        <v>4</v>
      </c>
      <c r="N1962">
        <v>205</v>
      </c>
      <c r="O1962">
        <v>364</v>
      </c>
      <c r="P1962">
        <v>408</v>
      </c>
      <c r="Q1962">
        <v>197</v>
      </c>
      <c r="R1962">
        <v>346</v>
      </c>
      <c r="S1962">
        <v>377</v>
      </c>
      <c r="T1962" t="s">
        <v>31</v>
      </c>
      <c r="U1962" t="s">
        <v>31</v>
      </c>
      <c r="V1962" t="s">
        <v>31</v>
      </c>
      <c r="W1962" t="s">
        <v>31</v>
      </c>
      <c r="X1962" t="s">
        <v>31</v>
      </c>
      <c r="Y1962" t="s">
        <v>31</v>
      </c>
    </row>
    <row r="1963" spans="1:25" hidden="1">
      <c r="A1963" t="s">
        <v>25</v>
      </c>
      <c r="B1963" t="s">
        <v>26</v>
      </c>
      <c r="C1963" t="s">
        <v>58</v>
      </c>
      <c r="D1963" s="1">
        <v>44968</v>
      </c>
      <c r="E1963" s="2">
        <v>0.66666666666666663</v>
      </c>
      <c r="F1963" t="s">
        <v>29</v>
      </c>
      <c r="G1963" t="s">
        <v>59</v>
      </c>
      <c r="H1963">
        <v>4</v>
      </c>
      <c r="I1963">
        <v>0</v>
      </c>
      <c r="J1963" t="s">
        <v>34</v>
      </c>
      <c r="K1963">
        <v>12</v>
      </c>
      <c r="L1963">
        <v>781</v>
      </c>
      <c r="M1963">
        <v>1319</v>
      </c>
      <c r="N1963">
        <v>121</v>
      </c>
      <c r="O1963">
        <v>79</v>
      </c>
      <c r="P1963">
        <v>15</v>
      </c>
      <c r="Q1963">
        <v>119</v>
      </c>
      <c r="R1963">
        <v>728</v>
      </c>
      <c r="S1963">
        <v>1258</v>
      </c>
      <c r="T1963" t="s">
        <v>31</v>
      </c>
      <c r="U1963" t="s">
        <v>31</v>
      </c>
      <c r="V1963" t="s">
        <v>31</v>
      </c>
      <c r="W1963" t="s">
        <v>31</v>
      </c>
      <c r="X1963" t="s">
        <v>31</v>
      </c>
      <c r="Y1963" t="s">
        <v>31</v>
      </c>
    </row>
    <row r="1964" spans="1:25" hidden="1">
      <c r="A1964" t="s">
        <v>25</v>
      </c>
      <c r="B1964" t="s">
        <v>26</v>
      </c>
      <c r="C1964" t="s">
        <v>58</v>
      </c>
      <c r="D1964" s="1">
        <v>44968</v>
      </c>
      <c r="E1964" s="2">
        <v>0.66666666666666663</v>
      </c>
      <c r="F1964" t="s">
        <v>39</v>
      </c>
      <c r="G1964" t="s">
        <v>54</v>
      </c>
      <c r="H1964">
        <v>1</v>
      </c>
      <c r="I1964">
        <v>2</v>
      </c>
      <c r="J1964" t="s">
        <v>30</v>
      </c>
      <c r="K1964">
        <v>219</v>
      </c>
      <c r="L1964">
        <v>37</v>
      </c>
      <c r="M1964">
        <v>333</v>
      </c>
      <c r="N1964">
        <v>219</v>
      </c>
      <c r="O1964">
        <v>38</v>
      </c>
      <c r="P1964">
        <v>341</v>
      </c>
      <c r="Q1964">
        <v>211</v>
      </c>
      <c r="R1964">
        <v>356</v>
      </c>
      <c r="S1964">
        <v>325</v>
      </c>
      <c r="T1964" t="s">
        <v>31</v>
      </c>
      <c r="U1964" t="s">
        <v>31</v>
      </c>
      <c r="V1964" t="s">
        <v>31</v>
      </c>
      <c r="W1964" t="s">
        <v>31</v>
      </c>
      <c r="X1964" t="s">
        <v>31</v>
      </c>
      <c r="Y1964" t="s">
        <v>31</v>
      </c>
    </row>
    <row r="1965" spans="1:25" hidden="1">
      <c r="A1965" t="s">
        <v>25</v>
      </c>
      <c r="B1965" t="s">
        <v>26</v>
      </c>
      <c r="C1965" t="s">
        <v>58</v>
      </c>
      <c r="D1965" s="1">
        <v>44969</v>
      </c>
      <c r="E1965" s="2">
        <v>0.5625</v>
      </c>
      <c r="F1965" t="s">
        <v>45</v>
      </c>
      <c r="G1965" t="s">
        <v>50</v>
      </c>
      <c r="H1965">
        <v>0</v>
      </c>
      <c r="I1965">
        <v>1</v>
      </c>
      <c r="J1965" t="s">
        <v>30</v>
      </c>
      <c r="K1965">
        <v>597</v>
      </c>
      <c r="L1965">
        <v>455</v>
      </c>
      <c r="M1965">
        <v>155</v>
      </c>
      <c r="N1965">
        <v>65</v>
      </c>
      <c r="O1965">
        <v>455</v>
      </c>
      <c r="P1965">
        <v>162</v>
      </c>
      <c r="Q1965">
        <v>557</v>
      </c>
      <c r="R1965">
        <v>424</v>
      </c>
      <c r="S1965">
        <v>155</v>
      </c>
      <c r="T1965" t="s">
        <v>31</v>
      </c>
      <c r="U1965" t="s">
        <v>31</v>
      </c>
      <c r="V1965" t="s">
        <v>31</v>
      </c>
      <c r="W1965" t="s">
        <v>31</v>
      </c>
      <c r="X1965" t="s">
        <v>31</v>
      </c>
      <c r="Y1965" t="s">
        <v>31</v>
      </c>
    </row>
    <row r="1966" spans="1:25" hidden="1">
      <c r="A1966" t="s">
        <v>25</v>
      </c>
      <c r="B1966" t="s">
        <v>26</v>
      </c>
      <c r="C1966" t="s">
        <v>58</v>
      </c>
      <c r="D1966" s="1">
        <v>44969</v>
      </c>
      <c r="E1966" s="2">
        <v>0.5625</v>
      </c>
      <c r="F1966" t="s">
        <v>38</v>
      </c>
      <c r="G1966" t="s">
        <v>52</v>
      </c>
      <c r="H1966">
        <v>0</v>
      </c>
      <c r="I1966">
        <v>1</v>
      </c>
      <c r="J1966" t="s">
        <v>30</v>
      </c>
      <c r="K1966">
        <v>238</v>
      </c>
      <c r="L1966">
        <v>354</v>
      </c>
      <c r="M1966">
        <v>307</v>
      </c>
      <c r="N1966">
        <v>242</v>
      </c>
      <c r="O1966">
        <v>369</v>
      </c>
      <c r="P1966">
        <v>33</v>
      </c>
      <c r="Q1966">
        <v>232</v>
      </c>
      <c r="R1966">
        <v>345</v>
      </c>
      <c r="S1966">
        <v>294</v>
      </c>
      <c r="T1966" t="s">
        <v>31</v>
      </c>
      <c r="U1966" t="s">
        <v>31</v>
      </c>
      <c r="V1966" t="s">
        <v>31</v>
      </c>
      <c r="W1966" t="s">
        <v>31</v>
      </c>
      <c r="X1966" t="s">
        <v>31</v>
      </c>
      <c r="Y1966" t="s">
        <v>31</v>
      </c>
    </row>
    <row r="1967" spans="1:25" hidden="1">
      <c r="A1967" t="s">
        <v>25</v>
      </c>
      <c r="B1967" t="s">
        <v>26</v>
      </c>
      <c r="C1967" t="s">
        <v>58</v>
      </c>
      <c r="D1967" s="1">
        <v>44969</v>
      </c>
      <c r="E1967" s="2">
        <v>0.66666666666666663</v>
      </c>
      <c r="F1967" t="s">
        <v>40</v>
      </c>
      <c r="G1967" t="s">
        <v>56</v>
      </c>
      <c r="H1967">
        <v>3</v>
      </c>
      <c r="I1967">
        <v>1</v>
      </c>
      <c r="J1967" t="s">
        <v>34</v>
      </c>
      <c r="K1967">
        <v>208</v>
      </c>
      <c r="L1967">
        <v>373</v>
      </c>
      <c r="M1967">
        <v>358</v>
      </c>
      <c r="N1967">
        <v>211</v>
      </c>
      <c r="O1967">
        <v>391</v>
      </c>
      <c r="P1967">
        <v>367</v>
      </c>
      <c r="Q1967">
        <v>201</v>
      </c>
      <c r="R1967">
        <v>367</v>
      </c>
      <c r="S1967">
        <v>343</v>
      </c>
      <c r="T1967" t="s">
        <v>31</v>
      </c>
      <c r="U1967" t="s">
        <v>31</v>
      </c>
      <c r="V1967" t="s">
        <v>31</v>
      </c>
      <c r="W1967" t="s">
        <v>31</v>
      </c>
      <c r="X1967" t="s">
        <v>31</v>
      </c>
      <c r="Y1967" t="s">
        <v>31</v>
      </c>
    </row>
    <row r="1968" spans="1:25" hidden="1">
      <c r="A1968" t="s">
        <v>25</v>
      </c>
      <c r="B1968" t="s">
        <v>26</v>
      </c>
      <c r="C1968" t="s">
        <v>58</v>
      </c>
      <c r="D1968" s="1">
        <v>44975</v>
      </c>
      <c r="E1968" s="2">
        <v>0.66666666666666663</v>
      </c>
      <c r="F1968" t="s">
        <v>56</v>
      </c>
      <c r="G1968" t="s">
        <v>39</v>
      </c>
      <c r="H1968">
        <v>0</v>
      </c>
      <c r="I1968">
        <v>3</v>
      </c>
      <c r="J1968" t="s">
        <v>30</v>
      </c>
      <c r="K1968">
        <v>26</v>
      </c>
      <c r="L1968">
        <v>345</v>
      </c>
      <c r="M1968">
        <v>284</v>
      </c>
      <c r="N1968">
        <v>261</v>
      </c>
      <c r="O1968">
        <v>357</v>
      </c>
      <c r="P1968">
        <v>284</v>
      </c>
      <c r="Q1968">
        <v>252</v>
      </c>
      <c r="R1968">
        <v>337</v>
      </c>
      <c r="S1968">
        <v>272</v>
      </c>
      <c r="T1968" t="s">
        <v>31</v>
      </c>
      <c r="U1968" t="s">
        <v>31</v>
      </c>
      <c r="V1968" t="s">
        <v>31</v>
      </c>
      <c r="W1968" t="s">
        <v>31</v>
      </c>
      <c r="X1968" t="s">
        <v>31</v>
      </c>
      <c r="Y1968" t="s">
        <v>31</v>
      </c>
    </row>
    <row r="1969" spans="1:25" hidden="1">
      <c r="A1969" t="s">
        <v>25</v>
      </c>
      <c r="B1969" t="s">
        <v>26</v>
      </c>
      <c r="C1969" t="s">
        <v>58</v>
      </c>
      <c r="D1969" s="1">
        <v>44975</v>
      </c>
      <c r="E1969" s="2">
        <v>0.66666666666666663</v>
      </c>
      <c r="F1969" t="s">
        <v>52</v>
      </c>
      <c r="G1969" t="s">
        <v>28</v>
      </c>
      <c r="H1969">
        <v>1</v>
      </c>
      <c r="I1969">
        <v>2</v>
      </c>
      <c r="J1969" t="s">
        <v>30</v>
      </c>
      <c r="K1969">
        <v>539</v>
      </c>
      <c r="L1969">
        <v>432</v>
      </c>
      <c r="M1969">
        <v>163</v>
      </c>
      <c r="N1969">
        <v>561</v>
      </c>
      <c r="O1969">
        <v>433</v>
      </c>
      <c r="P1969">
        <v>164</v>
      </c>
      <c r="Q1969">
        <v>52</v>
      </c>
      <c r="R1969">
        <v>415</v>
      </c>
      <c r="S1969">
        <v>159</v>
      </c>
      <c r="T1969" t="s">
        <v>31</v>
      </c>
      <c r="U1969" t="s">
        <v>31</v>
      </c>
      <c r="V1969" t="s">
        <v>31</v>
      </c>
      <c r="W1969" t="s">
        <v>31</v>
      </c>
      <c r="X1969" t="s">
        <v>31</v>
      </c>
      <c r="Y1969" t="s">
        <v>31</v>
      </c>
    </row>
    <row r="1970" spans="1:25" hidden="1">
      <c r="A1970" t="s">
        <v>25</v>
      </c>
      <c r="B1970" t="s">
        <v>26</v>
      </c>
      <c r="C1970" t="s">
        <v>58</v>
      </c>
      <c r="D1970" s="1">
        <v>44975</v>
      </c>
      <c r="E1970" s="2">
        <v>0.66666666666666663</v>
      </c>
      <c r="F1970" t="s">
        <v>38</v>
      </c>
      <c r="G1970" t="s">
        <v>50</v>
      </c>
      <c r="H1970">
        <v>1</v>
      </c>
      <c r="I1970">
        <v>1</v>
      </c>
      <c r="J1970" t="s">
        <v>41</v>
      </c>
      <c r="K1970">
        <v>543</v>
      </c>
      <c r="L1970">
        <v>432</v>
      </c>
      <c r="M1970">
        <v>163</v>
      </c>
      <c r="N1970">
        <v>575</v>
      </c>
      <c r="O1970">
        <v>432</v>
      </c>
      <c r="P1970">
        <v>164</v>
      </c>
      <c r="Q1970">
        <v>526</v>
      </c>
      <c r="R1970">
        <v>407</v>
      </c>
      <c r="S1970">
        <v>16</v>
      </c>
      <c r="T1970" t="s">
        <v>31</v>
      </c>
      <c r="U1970" t="s">
        <v>31</v>
      </c>
      <c r="V1970" t="s">
        <v>31</v>
      </c>
      <c r="W1970" t="s">
        <v>31</v>
      </c>
      <c r="X1970" t="s">
        <v>31</v>
      </c>
      <c r="Y1970" t="s">
        <v>31</v>
      </c>
    </row>
    <row r="1971" spans="1:25" hidden="1">
      <c r="A1971" t="s">
        <v>25</v>
      </c>
      <c r="B1971" t="s">
        <v>26</v>
      </c>
      <c r="C1971" t="s">
        <v>58</v>
      </c>
      <c r="D1971" s="1">
        <v>44976</v>
      </c>
      <c r="E1971" s="2">
        <v>0.5625</v>
      </c>
      <c r="F1971" t="s">
        <v>59</v>
      </c>
      <c r="G1971" t="s">
        <v>40</v>
      </c>
      <c r="H1971">
        <v>1</v>
      </c>
      <c r="I1971">
        <v>0</v>
      </c>
      <c r="J1971" t="s">
        <v>34</v>
      </c>
      <c r="K1971">
        <v>419</v>
      </c>
      <c r="L1971">
        <v>373</v>
      </c>
      <c r="M1971">
        <v>191</v>
      </c>
      <c r="N1971">
        <v>428</v>
      </c>
      <c r="O1971">
        <v>385</v>
      </c>
      <c r="P1971">
        <v>194</v>
      </c>
      <c r="Q1971">
        <v>389</v>
      </c>
      <c r="R1971">
        <v>364</v>
      </c>
      <c r="S1971">
        <v>189</v>
      </c>
      <c r="T1971" t="s">
        <v>31</v>
      </c>
      <c r="U1971" t="s">
        <v>31</v>
      </c>
      <c r="V1971" t="s">
        <v>31</v>
      </c>
      <c r="W1971" t="s">
        <v>31</v>
      </c>
      <c r="X1971" t="s">
        <v>31</v>
      </c>
      <c r="Y1971" t="s">
        <v>31</v>
      </c>
    </row>
    <row r="1972" spans="1:25" hidden="1">
      <c r="A1972" t="s">
        <v>25</v>
      </c>
      <c r="B1972" t="s">
        <v>26</v>
      </c>
      <c r="C1972" t="s">
        <v>58</v>
      </c>
      <c r="D1972" s="1">
        <v>44976</v>
      </c>
      <c r="E1972" s="2">
        <v>0.5625</v>
      </c>
      <c r="F1972" t="s">
        <v>54</v>
      </c>
      <c r="G1972" t="s">
        <v>29</v>
      </c>
      <c r="H1972">
        <v>1</v>
      </c>
      <c r="I1972">
        <v>3</v>
      </c>
      <c r="J1972" t="s">
        <v>30</v>
      </c>
      <c r="K1972">
        <v>652</v>
      </c>
      <c r="L1972">
        <v>468</v>
      </c>
      <c r="M1972">
        <v>151</v>
      </c>
      <c r="N1972">
        <v>725</v>
      </c>
      <c r="O1972">
        <v>49</v>
      </c>
      <c r="P1972">
        <v>154</v>
      </c>
      <c r="Q1972">
        <v>601</v>
      </c>
      <c r="R1972">
        <v>448</v>
      </c>
      <c r="S1972">
        <v>149</v>
      </c>
      <c r="T1972" t="s">
        <v>31</v>
      </c>
      <c r="U1972" t="s">
        <v>31</v>
      </c>
      <c r="V1972" t="s">
        <v>31</v>
      </c>
      <c r="W1972" t="s">
        <v>31</v>
      </c>
      <c r="X1972" t="s">
        <v>31</v>
      </c>
      <c r="Y1972" t="s">
        <v>31</v>
      </c>
    </row>
    <row r="1973" spans="1:25" hidden="1">
      <c r="A1973" t="s">
        <v>25</v>
      </c>
      <c r="B1973" t="s">
        <v>26</v>
      </c>
      <c r="C1973" t="s">
        <v>58</v>
      </c>
      <c r="D1973" s="1">
        <v>44976</v>
      </c>
      <c r="E1973" s="2">
        <v>0.66666666666666663</v>
      </c>
      <c r="F1973" t="s">
        <v>35</v>
      </c>
      <c r="G1973" t="s">
        <v>45</v>
      </c>
      <c r="H1973">
        <v>3</v>
      </c>
      <c r="I1973">
        <v>0</v>
      </c>
      <c r="J1973" t="s">
        <v>34</v>
      </c>
      <c r="K1973">
        <v>144</v>
      </c>
      <c r="L1973">
        <v>498</v>
      </c>
      <c r="M1973">
        <v>72</v>
      </c>
      <c r="N1973">
        <v>147</v>
      </c>
      <c r="O1973">
        <v>5</v>
      </c>
      <c r="P1973">
        <v>766</v>
      </c>
      <c r="Q1973">
        <v>142</v>
      </c>
      <c r="R1973">
        <v>468</v>
      </c>
      <c r="S1973">
        <v>699</v>
      </c>
      <c r="T1973" t="s">
        <v>31</v>
      </c>
      <c r="U1973" t="s">
        <v>31</v>
      </c>
      <c r="V1973" t="s">
        <v>31</v>
      </c>
      <c r="W1973" t="s">
        <v>31</v>
      </c>
      <c r="X1973" t="s">
        <v>31</v>
      </c>
      <c r="Y1973" t="s">
        <v>31</v>
      </c>
    </row>
    <row r="1974" spans="1:25" hidden="1">
      <c r="A1974" t="s">
        <v>25</v>
      </c>
      <c r="B1974" t="s">
        <v>26</v>
      </c>
      <c r="C1974" t="s">
        <v>58</v>
      </c>
      <c r="D1974" s="1">
        <v>44981</v>
      </c>
      <c r="E1974" s="2">
        <v>0.8125</v>
      </c>
      <c r="F1974" t="s">
        <v>50</v>
      </c>
      <c r="G1974" t="s">
        <v>59</v>
      </c>
      <c r="H1974">
        <v>1</v>
      </c>
      <c r="I1974">
        <v>0</v>
      </c>
      <c r="J1974" t="s">
        <v>34</v>
      </c>
      <c r="K1974">
        <v>143</v>
      </c>
      <c r="L1974">
        <v>523</v>
      </c>
      <c r="M1974">
        <v>718</v>
      </c>
      <c r="N1974">
        <v>145</v>
      </c>
      <c r="O1974">
        <v>53</v>
      </c>
      <c r="P1974">
        <v>8</v>
      </c>
      <c r="Q1974">
        <v>14</v>
      </c>
      <c r="R1974">
        <v>496</v>
      </c>
      <c r="S1974">
        <v>7</v>
      </c>
      <c r="T1974" t="s">
        <v>31</v>
      </c>
      <c r="U1974" t="s">
        <v>31</v>
      </c>
      <c r="V1974" t="s">
        <v>31</v>
      </c>
      <c r="W1974" t="s">
        <v>31</v>
      </c>
      <c r="X1974" t="s">
        <v>31</v>
      </c>
      <c r="Y1974" t="s">
        <v>31</v>
      </c>
    </row>
    <row r="1975" spans="1:25" hidden="1">
      <c r="A1975" t="s">
        <v>25</v>
      </c>
      <c r="B1975" t="s">
        <v>26</v>
      </c>
      <c r="C1975" t="s">
        <v>58</v>
      </c>
      <c r="D1975" s="1">
        <v>44982</v>
      </c>
      <c r="E1975" s="2">
        <v>0.66666666666666663</v>
      </c>
      <c r="F1975" t="s">
        <v>40</v>
      </c>
      <c r="G1975" t="s">
        <v>52</v>
      </c>
      <c r="H1975">
        <v>3</v>
      </c>
      <c r="I1975">
        <v>0</v>
      </c>
      <c r="J1975" t="s">
        <v>34</v>
      </c>
      <c r="K1975">
        <v>163</v>
      </c>
      <c r="L1975">
        <v>413</v>
      </c>
      <c r="M1975">
        <v>576</v>
      </c>
      <c r="N1975">
        <v>163</v>
      </c>
      <c r="O1975">
        <v>42</v>
      </c>
      <c r="P1975">
        <v>611</v>
      </c>
      <c r="Q1975">
        <v>158</v>
      </c>
      <c r="R1975">
        <v>399</v>
      </c>
      <c r="S1975">
        <v>557</v>
      </c>
      <c r="T1975" t="s">
        <v>31</v>
      </c>
      <c r="U1975" t="s">
        <v>31</v>
      </c>
      <c r="V1975" t="s">
        <v>31</v>
      </c>
      <c r="W1975" t="s">
        <v>31</v>
      </c>
      <c r="X1975" t="s">
        <v>31</v>
      </c>
      <c r="Y1975" t="s">
        <v>31</v>
      </c>
    </row>
    <row r="1976" spans="1:25" hidden="1">
      <c r="A1976" t="s">
        <v>25</v>
      </c>
      <c r="B1976" t="s">
        <v>26</v>
      </c>
      <c r="C1976" t="s">
        <v>58</v>
      </c>
      <c r="D1976" s="1">
        <v>44982</v>
      </c>
      <c r="E1976" s="2">
        <v>0.66666666666666663</v>
      </c>
      <c r="F1976" t="s">
        <v>28</v>
      </c>
      <c r="G1976" t="s">
        <v>56</v>
      </c>
      <c r="H1976">
        <v>1</v>
      </c>
      <c r="I1976">
        <v>2</v>
      </c>
      <c r="J1976" t="s">
        <v>30</v>
      </c>
      <c r="K1976">
        <v>15</v>
      </c>
      <c r="L1976">
        <v>48</v>
      </c>
      <c r="M1976">
        <v>644</v>
      </c>
      <c r="N1976">
        <v>153</v>
      </c>
      <c r="O1976">
        <v>48</v>
      </c>
      <c r="P1976">
        <v>7</v>
      </c>
      <c r="Q1976">
        <v>148</v>
      </c>
      <c r="R1976">
        <v>451</v>
      </c>
      <c r="S1976">
        <v>616</v>
      </c>
      <c r="T1976" t="s">
        <v>31</v>
      </c>
      <c r="U1976" t="s">
        <v>31</v>
      </c>
      <c r="V1976" t="s">
        <v>31</v>
      </c>
      <c r="W1976" t="s">
        <v>31</v>
      </c>
      <c r="X1976" t="s">
        <v>31</v>
      </c>
      <c r="Y1976" t="s">
        <v>31</v>
      </c>
    </row>
    <row r="1977" spans="1:25" hidden="1">
      <c r="A1977" t="s">
        <v>25</v>
      </c>
      <c r="B1977" t="s">
        <v>26</v>
      </c>
      <c r="C1977" t="s">
        <v>58</v>
      </c>
      <c r="D1977" s="1">
        <v>44983</v>
      </c>
      <c r="E1977" s="2">
        <v>0.5625</v>
      </c>
      <c r="F1977" t="s">
        <v>45</v>
      </c>
      <c r="G1977" t="s">
        <v>54</v>
      </c>
      <c r="H1977">
        <v>0</v>
      </c>
      <c r="I1977">
        <v>0</v>
      </c>
      <c r="J1977" t="s">
        <v>41</v>
      </c>
      <c r="K1977">
        <v>33</v>
      </c>
      <c r="L1977">
        <v>375</v>
      </c>
      <c r="M1977">
        <v>218</v>
      </c>
      <c r="N1977">
        <v>33</v>
      </c>
      <c r="O1977">
        <v>386</v>
      </c>
      <c r="P1977">
        <v>226</v>
      </c>
      <c r="Q1977">
        <v>311</v>
      </c>
      <c r="R1977">
        <v>363</v>
      </c>
      <c r="S1977">
        <v>216</v>
      </c>
      <c r="T1977" t="s">
        <v>31</v>
      </c>
      <c r="U1977" t="s">
        <v>31</v>
      </c>
      <c r="V1977" t="s">
        <v>31</v>
      </c>
      <c r="W1977" t="s">
        <v>31</v>
      </c>
      <c r="X1977" t="s">
        <v>31</v>
      </c>
      <c r="Y1977" t="s">
        <v>31</v>
      </c>
    </row>
    <row r="1978" spans="1:25" hidden="1">
      <c r="A1978" t="s">
        <v>25</v>
      </c>
      <c r="B1978" t="s">
        <v>26</v>
      </c>
      <c r="C1978" t="s">
        <v>58</v>
      </c>
      <c r="D1978" s="1">
        <v>44983</v>
      </c>
      <c r="E1978" s="2">
        <v>0.5625</v>
      </c>
      <c r="F1978" t="s">
        <v>39</v>
      </c>
      <c r="G1978" t="s">
        <v>35</v>
      </c>
      <c r="H1978">
        <v>1</v>
      </c>
      <c r="I1978">
        <v>2</v>
      </c>
      <c r="J1978" t="s">
        <v>30</v>
      </c>
      <c r="K1978">
        <v>335</v>
      </c>
      <c r="L1978">
        <v>358</v>
      </c>
      <c r="M1978">
        <v>222</v>
      </c>
      <c r="N1978">
        <v>335</v>
      </c>
      <c r="O1978">
        <v>369</v>
      </c>
      <c r="P1978">
        <v>224</v>
      </c>
      <c r="Q1978">
        <v>319</v>
      </c>
      <c r="R1978">
        <v>351</v>
      </c>
      <c r="S1978">
        <v>217</v>
      </c>
      <c r="T1978" t="s">
        <v>31</v>
      </c>
      <c r="U1978" t="s">
        <v>31</v>
      </c>
      <c r="V1978" t="s">
        <v>31</v>
      </c>
      <c r="W1978" t="s">
        <v>31</v>
      </c>
      <c r="X1978" t="s">
        <v>31</v>
      </c>
      <c r="Y1978" t="s">
        <v>31</v>
      </c>
    </row>
    <row r="1979" spans="1:25" hidden="1">
      <c r="A1979" t="s">
        <v>25</v>
      </c>
      <c r="B1979" t="s">
        <v>26</v>
      </c>
      <c r="C1979" t="s">
        <v>58</v>
      </c>
      <c r="D1979" s="1">
        <v>44983</v>
      </c>
      <c r="E1979" s="2">
        <v>0.66666666666666663</v>
      </c>
      <c r="F1979" t="s">
        <v>29</v>
      </c>
      <c r="G1979" t="s">
        <v>38</v>
      </c>
      <c r="H1979">
        <v>2</v>
      </c>
      <c r="I1979">
        <v>0</v>
      </c>
      <c r="J1979" t="s">
        <v>34</v>
      </c>
      <c r="K1979">
        <v>121</v>
      </c>
      <c r="L1979">
        <v>714</v>
      </c>
      <c r="M1979">
        <v>1507</v>
      </c>
      <c r="N1979">
        <v>122</v>
      </c>
      <c r="O1979">
        <v>72</v>
      </c>
      <c r="P1979">
        <v>153</v>
      </c>
      <c r="Q1979">
        <v>119</v>
      </c>
      <c r="R1979">
        <v>664</v>
      </c>
      <c r="S1979">
        <v>1371</v>
      </c>
      <c r="T1979" t="s">
        <v>31</v>
      </c>
      <c r="U1979" t="s">
        <v>31</v>
      </c>
      <c r="V1979" t="s">
        <v>31</v>
      </c>
      <c r="W1979" t="s">
        <v>31</v>
      </c>
      <c r="X1979" t="s">
        <v>31</v>
      </c>
      <c r="Y1979" t="s">
        <v>31</v>
      </c>
    </row>
    <row r="1980" spans="1:25" hidden="1">
      <c r="A1980" t="s">
        <v>25</v>
      </c>
      <c r="B1980" t="s">
        <v>26</v>
      </c>
      <c r="C1980" t="s">
        <v>58</v>
      </c>
      <c r="D1980" s="1">
        <v>44989</v>
      </c>
      <c r="E1980" s="2">
        <v>0.66666666666666663</v>
      </c>
      <c r="F1980" t="s">
        <v>59</v>
      </c>
      <c r="G1980" t="s">
        <v>28</v>
      </c>
      <c r="H1980">
        <v>0</v>
      </c>
      <c r="I1980">
        <v>2</v>
      </c>
      <c r="J1980" t="s">
        <v>30</v>
      </c>
      <c r="K1980">
        <v>679</v>
      </c>
      <c r="L1980">
        <v>424</v>
      </c>
      <c r="M1980">
        <v>154</v>
      </c>
      <c r="N1980">
        <v>71</v>
      </c>
      <c r="O1980">
        <v>434</v>
      </c>
      <c r="P1980">
        <v>154</v>
      </c>
      <c r="Q1980">
        <v>63</v>
      </c>
      <c r="R1980">
        <v>417</v>
      </c>
      <c r="S1980">
        <v>15</v>
      </c>
      <c r="T1980" t="s">
        <v>31</v>
      </c>
      <c r="U1980" t="s">
        <v>31</v>
      </c>
      <c r="V1980" t="s">
        <v>31</v>
      </c>
      <c r="W1980" t="s">
        <v>31</v>
      </c>
      <c r="X1980" t="s">
        <v>31</v>
      </c>
      <c r="Y1980" t="s">
        <v>31</v>
      </c>
    </row>
    <row r="1981" spans="1:25" hidden="1">
      <c r="A1981" t="s">
        <v>25</v>
      </c>
      <c r="B1981" t="s">
        <v>26</v>
      </c>
      <c r="C1981" t="s">
        <v>58</v>
      </c>
      <c r="D1981" s="1">
        <v>44989</v>
      </c>
      <c r="E1981" s="2">
        <v>0.66666666666666663</v>
      </c>
      <c r="F1981" t="s">
        <v>52</v>
      </c>
      <c r="G1981" t="s">
        <v>39</v>
      </c>
      <c r="H1981">
        <v>2</v>
      </c>
      <c r="I1981">
        <v>1</v>
      </c>
      <c r="J1981" t="s">
        <v>34</v>
      </c>
      <c r="K1981">
        <v>3</v>
      </c>
      <c r="L1981">
        <v>369</v>
      </c>
      <c r="M1981">
        <v>238</v>
      </c>
      <c r="N1981">
        <v>303</v>
      </c>
      <c r="O1981">
        <v>369</v>
      </c>
      <c r="P1981">
        <v>238</v>
      </c>
      <c r="Q1981">
        <v>293</v>
      </c>
      <c r="R1981">
        <v>348</v>
      </c>
      <c r="S1981">
        <v>23</v>
      </c>
      <c r="T1981" t="s">
        <v>31</v>
      </c>
      <c r="U1981" t="s">
        <v>31</v>
      </c>
      <c r="V1981" t="s">
        <v>31</v>
      </c>
      <c r="W1981" t="s">
        <v>31</v>
      </c>
      <c r="X1981" t="s">
        <v>31</v>
      </c>
      <c r="Y1981" t="s">
        <v>31</v>
      </c>
    </row>
    <row r="1982" spans="1:25" hidden="1">
      <c r="A1982" t="s">
        <v>25</v>
      </c>
      <c r="B1982" t="s">
        <v>26</v>
      </c>
      <c r="C1982" t="s">
        <v>58</v>
      </c>
      <c r="D1982" s="1">
        <v>44989</v>
      </c>
      <c r="E1982" s="2">
        <v>0.66666666666666663</v>
      </c>
      <c r="F1982" t="s">
        <v>38</v>
      </c>
      <c r="G1982" t="s">
        <v>40</v>
      </c>
      <c r="H1982">
        <v>1</v>
      </c>
      <c r="I1982">
        <v>3</v>
      </c>
      <c r="J1982" t="s">
        <v>30</v>
      </c>
      <c r="K1982">
        <v>388</v>
      </c>
      <c r="L1982">
        <v>355</v>
      </c>
      <c r="M1982">
        <v>204</v>
      </c>
      <c r="N1982">
        <v>388</v>
      </c>
      <c r="O1982">
        <v>369</v>
      </c>
      <c r="P1982">
        <v>207</v>
      </c>
      <c r="Q1982">
        <v>358</v>
      </c>
      <c r="R1982">
        <v>349</v>
      </c>
      <c r="S1982">
        <v>201</v>
      </c>
      <c r="T1982" t="s">
        <v>31</v>
      </c>
      <c r="U1982" t="s">
        <v>31</v>
      </c>
      <c r="V1982" t="s">
        <v>31</v>
      </c>
      <c r="W1982" t="s">
        <v>31</v>
      </c>
      <c r="X1982" t="s">
        <v>31</v>
      </c>
      <c r="Y1982" t="s">
        <v>31</v>
      </c>
    </row>
    <row r="1983" spans="1:25" hidden="1">
      <c r="A1983" t="s">
        <v>25</v>
      </c>
      <c r="B1983" t="s">
        <v>26</v>
      </c>
      <c r="C1983" t="s">
        <v>58</v>
      </c>
      <c r="D1983" s="1">
        <v>44990</v>
      </c>
      <c r="E1983" s="2">
        <v>0.5625</v>
      </c>
      <c r="F1983" t="s">
        <v>56</v>
      </c>
      <c r="G1983" t="s">
        <v>45</v>
      </c>
      <c r="H1983">
        <v>3</v>
      </c>
      <c r="I1983">
        <v>0</v>
      </c>
      <c r="J1983" t="s">
        <v>34</v>
      </c>
      <c r="K1983">
        <v>196</v>
      </c>
      <c r="L1983">
        <v>381</v>
      </c>
      <c r="M1983">
        <v>388</v>
      </c>
      <c r="N1983">
        <v>198</v>
      </c>
      <c r="O1983">
        <v>386</v>
      </c>
      <c r="P1983">
        <v>422</v>
      </c>
      <c r="Q1983">
        <v>191</v>
      </c>
      <c r="R1983">
        <v>364</v>
      </c>
      <c r="S1983">
        <v>378</v>
      </c>
      <c r="T1983" t="s">
        <v>31</v>
      </c>
      <c r="U1983" t="s">
        <v>31</v>
      </c>
      <c r="V1983" t="s">
        <v>31</v>
      </c>
      <c r="W1983" t="s">
        <v>31</v>
      </c>
      <c r="X1983" t="s">
        <v>31</v>
      </c>
      <c r="Y1983" t="s">
        <v>31</v>
      </c>
    </row>
    <row r="1984" spans="1:25" hidden="1">
      <c r="A1984" t="s">
        <v>25</v>
      </c>
      <c r="B1984" t="s">
        <v>26</v>
      </c>
      <c r="C1984" t="s">
        <v>58</v>
      </c>
      <c r="D1984" s="1">
        <v>44990</v>
      </c>
      <c r="E1984" s="2">
        <v>0.5625</v>
      </c>
      <c r="F1984" t="s">
        <v>54</v>
      </c>
      <c r="G1984" t="s">
        <v>50</v>
      </c>
      <c r="H1984">
        <v>2</v>
      </c>
      <c r="I1984">
        <v>3</v>
      </c>
      <c r="J1984" t="s">
        <v>30</v>
      </c>
      <c r="K1984">
        <v>398</v>
      </c>
      <c r="L1984">
        <v>387</v>
      </c>
      <c r="M1984">
        <v>193</v>
      </c>
      <c r="N1984">
        <v>398</v>
      </c>
      <c r="O1984">
        <v>387</v>
      </c>
      <c r="P1984">
        <v>199</v>
      </c>
      <c r="Q1984">
        <v>362</v>
      </c>
      <c r="R1984">
        <v>366</v>
      </c>
      <c r="S1984">
        <v>194</v>
      </c>
      <c r="T1984" t="s">
        <v>31</v>
      </c>
      <c r="U1984" t="s">
        <v>31</v>
      </c>
      <c r="V1984" t="s">
        <v>31</v>
      </c>
      <c r="W1984" t="s">
        <v>31</v>
      </c>
      <c r="X1984" t="s">
        <v>31</v>
      </c>
      <c r="Y1984" t="s">
        <v>31</v>
      </c>
    </row>
    <row r="1985" spans="1:25" hidden="1">
      <c r="A1985" t="s">
        <v>25</v>
      </c>
      <c r="B1985" t="s">
        <v>26</v>
      </c>
      <c r="C1985" t="s">
        <v>58</v>
      </c>
      <c r="D1985" s="1">
        <v>44990</v>
      </c>
      <c r="E1985" s="2">
        <v>0.66666666666666663</v>
      </c>
      <c r="F1985" t="s">
        <v>35</v>
      </c>
      <c r="G1985" t="s">
        <v>29</v>
      </c>
      <c r="H1985">
        <v>2</v>
      </c>
      <c r="I1985">
        <v>4</v>
      </c>
      <c r="J1985" t="s">
        <v>30</v>
      </c>
      <c r="K1985">
        <v>418</v>
      </c>
      <c r="L1985">
        <v>355</v>
      </c>
      <c r="M1985">
        <v>197</v>
      </c>
      <c r="N1985">
        <v>444</v>
      </c>
      <c r="O1985">
        <v>387</v>
      </c>
      <c r="P1985">
        <v>206</v>
      </c>
      <c r="Q1985">
        <v>382</v>
      </c>
      <c r="R1985">
        <v>353</v>
      </c>
      <c r="S1985">
        <v>193</v>
      </c>
      <c r="T1985" t="s">
        <v>31</v>
      </c>
      <c r="U1985" t="s">
        <v>31</v>
      </c>
      <c r="V1985" t="s">
        <v>31</v>
      </c>
      <c r="W1985" t="s">
        <v>31</v>
      </c>
      <c r="X1985" t="s">
        <v>31</v>
      </c>
      <c r="Y1985" t="s">
        <v>31</v>
      </c>
    </row>
    <row r="1986" spans="1:25" hidden="1">
      <c r="A1986" t="s">
        <v>25</v>
      </c>
      <c r="B1986" t="s">
        <v>26</v>
      </c>
      <c r="C1986" t="s">
        <v>58</v>
      </c>
      <c r="D1986" s="1">
        <v>44997</v>
      </c>
      <c r="E1986" s="2">
        <v>0.66666666666666663</v>
      </c>
      <c r="F1986" t="s">
        <v>56</v>
      </c>
      <c r="G1986" t="s">
        <v>52</v>
      </c>
      <c r="H1986">
        <v>1</v>
      </c>
      <c r="I1986">
        <v>0</v>
      </c>
      <c r="J1986" t="s">
        <v>34</v>
      </c>
      <c r="K1986">
        <v>218</v>
      </c>
      <c r="L1986">
        <v>364</v>
      </c>
      <c r="M1986">
        <v>338</v>
      </c>
      <c r="N1986">
        <v>221</v>
      </c>
      <c r="O1986">
        <v>367</v>
      </c>
      <c r="P1986">
        <v>342</v>
      </c>
      <c r="Q1986">
        <v>212</v>
      </c>
      <c r="R1986">
        <v>349</v>
      </c>
      <c r="S1986">
        <v>327</v>
      </c>
      <c r="T1986" t="s">
        <v>31</v>
      </c>
      <c r="U1986" t="s">
        <v>31</v>
      </c>
      <c r="V1986" t="s">
        <v>31</v>
      </c>
      <c r="W1986" t="s">
        <v>31</v>
      </c>
      <c r="X1986" t="s">
        <v>31</v>
      </c>
      <c r="Y1986" t="s">
        <v>31</v>
      </c>
    </row>
    <row r="1987" spans="1:25" hidden="1">
      <c r="A1987" t="s">
        <v>25</v>
      </c>
      <c r="B1987" t="s">
        <v>26</v>
      </c>
      <c r="C1987" t="s">
        <v>58</v>
      </c>
      <c r="D1987" s="1">
        <v>44997</v>
      </c>
      <c r="E1987" s="2">
        <v>0.66666666666666663</v>
      </c>
      <c r="F1987" t="s">
        <v>45</v>
      </c>
      <c r="G1987" t="s">
        <v>38</v>
      </c>
      <c r="H1987">
        <v>1</v>
      </c>
      <c r="I1987">
        <v>2</v>
      </c>
      <c r="J1987" t="s">
        <v>30</v>
      </c>
      <c r="K1987">
        <v>242</v>
      </c>
      <c r="L1987">
        <v>342</v>
      </c>
      <c r="M1987">
        <v>31</v>
      </c>
      <c r="N1987">
        <v>244</v>
      </c>
      <c r="O1987">
        <v>348</v>
      </c>
      <c r="P1987">
        <v>312</v>
      </c>
      <c r="Q1987">
        <v>235</v>
      </c>
      <c r="R1987">
        <v>331</v>
      </c>
      <c r="S1987">
        <v>296</v>
      </c>
      <c r="T1987" t="s">
        <v>31</v>
      </c>
      <c r="U1987" t="s">
        <v>31</v>
      </c>
      <c r="V1987" t="s">
        <v>31</v>
      </c>
      <c r="W1987" t="s">
        <v>31</v>
      </c>
      <c r="X1987" t="s">
        <v>31</v>
      </c>
      <c r="Y1987" t="s">
        <v>31</v>
      </c>
    </row>
    <row r="1988" spans="1:25" hidden="1">
      <c r="A1988" t="s">
        <v>25</v>
      </c>
      <c r="B1988" t="s">
        <v>26</v>
      </c>
      <c r="C1988" t="s">
        <v>58</v>
      </c>
      <c r="D1988" s="1">
        <v>44997</v>
      </c>
      <c r="E1988" s="2">
        <v>0.66666666666666663</v>
      </c>
      <c r="F1988" t="s">
        <v>50</v>
      </c>
      <c r="G1988" t="s">
        <v>29</v>
      </c>
      <c r="H1988">
        <v>0</v>
      </c>
      <c r="I1988">
        <v>2</v>
      </c>
      <c r="J1988" t="s">
        <v>30</v>
      </c>
      <c r="K1988">
        <v>422</v>
      </c>
      <c r="L1988">
        <v>378</v>
      </c>
      <c r="M1988">
        <v>189</v>
      </c>
      <c r="N1988">
        <v>428</v>
      </c>
      <c r="O1988">
        <v>378</v>
      </c>
      <c r="P1988">
        <v>193</v>
      </c>
      <c r="Q1988">
        <v>393</v>
      </c>
      <c r="R1988">
        <v>363</v>
      </c>
      <c r="S1988">
        <v>187</v>
      </c>
      <c r="T1988" t="s">
        <v>31</v>
      </c>
      <c r="U1988" t="s">
        <v>31</v>
      </c>
      <c r="V1988" t="s">
        <v>31</v>
      </c>
      <c r="W1988" t="s">
        <v>31</v>
      </c>
      <c r="X1988" t="s">
        <v>31</v>
      </c>
      <c r="Y1988" t="s">
        <v>31</v>
      </c>
    </row>
    <row r="1989" spans="1:25" hidden="1">
      <c r="A1989" t="s">
        <v>25</v>
      </c>
      <c r="B1989" t="s">
        <v>26</v>
      </c>
      <c r="C1989" t="s">
        <v>58</v>
      </c>
      <c r="D1989" s="1">
        <v>44997</v>
      </c>
      <c r="E1989" s="2">
        <v>0.66666666666666663</v>
      </c>
      <c r="F1989" t="s">
        <v>35</v>
      </c>
      <c r="G1989" t="s">
        <v>54</v>
      </c>
      <c r="H1989">
        <v>2</v>
      </c>
      <c r="I1989">
        <v>0</v>
      </c>
      <c r="J1989" t="s">
        <v>34</v>
      </c>
      <c r="K1989">
        <v>161</v>
      </c>
      <c r="L1989">
        <v>443</v>
      </c>
      <c r="M1989">
        <v>547</v>
      </c>
      <c r="N1989">
        <v>162</v>
      </c>
      <c r="O1989">
        <v>445</v>
      </c>
      <c r="P1989">
        <v>59</v>
      </c>
      <c r="Q1989">
        <v>158</v>
      </c>
      <c r="R1989">
        <v>415</v>
      </c>
      <c r="S1989">
        <v>524</v>
      </c>
      <c r="T1989" t="s">
        <v>31</v>
      </c>
      <c r="U1989" t="s">
        <v>31</v>
      </c>
      <c r="V1989" t="s">
        <v>31</v>
      </c>
      <c r="W1989" t="s">
        <v>31</v>
      </c>
      <c r="X1989" t="s">
        <v>31</v>
      </c>
      <c r="Y1989" t="s">
        <v>31</v>
      </c>
    </row>
    <row r="1990" spans="1:25" hidden="1">
      <c r="A1990" t="s">
        <v>25</v>
      </c>
      <c r="B1990" t="s">
        <v>26</v>
      </c>
      <c r="C1990" t="s">
        <v>58</v>
      </c>
      <c r="D1990" s="1">
        <v>44997</v>
      </c>
      <c r="E1990" s="2">
        <v>0.66666666666666663</v>
      </c>
      <c r="F1990" t="s">
        <v>28</v>
      </c>
      <c r="G1990" t="s">
        <v>40</v>
      </c>
      <c r="H1990">
        <v>3</v>
      </c>
      <c r="I1990">
        <v>1</v>
      </c>
      <c r="J1990" t="s">
        <v>34</v>
      </c>
      <c r="K1990">
        <v>178</v>
      </c>
      <c r="L1990">
        <v>375</v>
      </c>
      <c r="M1990">
        <v>497</v>
      </c>
      <c r="N1990">
        <v>181</v>
      </c>
      <c r="O1990">
        <v>38</v>
      </c>
      <c r="P1990">
        <v>5</v>
      </c>
      <c r="Q1990">
        <v>175</v>
      </c>
      <c r="R1990">
        <v>365</v>
      </c>
      <c r="S1990">
        <v>453</v>
      </c>
      <c r="T1990" t="s">
        <v>31</v>
      </c>
      <c r="U1990" t="s">
        <v>31</v>
      </c>
      <c r="V1990" t="s">
        <v>31</v>
      </c>
      <c r="W1990" t="s">
        <v>31</v>
      </c>
      <c r="X1990" t="s">
        <v>31</v>
      </c>
      <c r="Y1990" t="s">
        <v>31</v>
      </c>
    </row>
    <row r="1991" spans="1:25" hidden="1">
      <c r="A1991" t="s">
        <v>25</v>
      </c>
      <c r="B1991" t="s">
        <v>26</v>
      </c>
      <c r="C1991" t="s">
        <v>58</v>
      </c>
      <c r="D1991" s="1">
        <v>44997</v>
      </c>
      <c r="E1991" s="2">
        <v>0.66666666666666663</v>
      </c>
      <c r="F1991" t="s">
        <v>39</v>
      </c>
      <c r="G1991" t="s">
        <v>59</v>
      </c>
      <c r="H1991">
        <v>0</v>
      </c>
      <c r="I1991">
        <v>1</v>
      </c>
      <c r="J1991" t="s">
        <v>30</v>
      </c>
      <c r="K1991">
        <v>169</v>
      </c>
      <c r="L1991">
        <v>411</v>
      </c>
      <c r="M1991">
        <v>507</v>
      </c>
      <c r="N1991">
        <v>173</v>
      </c>
      <c r="O1991">
        <v>411</v>
      </c>
      <c r="P1991">
        <v>528</v>
      </c>
      <c r="Q1991">
        <v>169</v>
      </c>
      <c r="R1991">
        <v>388</v>
      </c>
      <c r="S1991">
        <v>471</v>
      </c>
      <c r="T1991" t="s">
        <v>31</v>
      </c>
      <c r="U1991" t="s">
        <v>31</v>
      </c>
      <c r="V1991" t="s">
        <v>31</v>
      </c>
      <c r="W1991" t="s">
        <v>31</v>
      </c>
      <c r="X1991" t="s">
        <v>31</v>
      </c>
      <c r="Y1991" t="s">
        <v>31</v>
      </c>
    </row>
    <row r="1992" spans="1:25" hidden="1">
      <c r="A1992" t="s">
        <v>25</v>
      </c>
      <c r="B1992" t="s">
        <v>26</v>
      </c>
      <c r="C1992" t="s">
        <v>58</v>
      </c>
      <c r="D1992" s="1">
        <v>45004</v>
      </c>
      <c r="E1992" s="2">
        <v>0.66666666666666663</v>
      </c>
      <c r="F1992" t="s">
        <v>59</v>
      </c>
      <c r="G1992" t="s">
        <v>56</v>
      </c>
      <c r="H1992">
        <v>4</v>
      </c>
      <c r="I1992">
        <v>2</v>
      </c>
      <c r="J1992" t="s">
        <v>34</v>
      </c>
      <c r="K1992">
        <v>337</v>
      </c>
      <c r="L1992">
        <v>366</v>
      </c>
      <c r="M1992">
        <v>218</v>
      </c>
      <c r="N1992">
        <v>337</v>
      </c>
      <c r="O1992">
        <v>366</v>
      </c>
      <c r="P1992">
        <v>225</v>
      </c>
      <c r="Q1992">
        <v>313</v>
      </c>
      <c r="R1992">
        <v>349</v>
      </c>
      <c r="S1992">
        <v>218</v>
      </c>
      <c r="T1992" t="s">
        <v>31</v>
      </c>
      <c r="U1992" t="s">
        <v>31</v>
      </c>
      <c r="V1992" t="s">
        <v>31</v>
      </c>
      <c r="W1992" t="s">
        <v>31</v>
      </c>
      <c r="X1992" t="s">
        <v>31</v>
      </c>
      <c r="Y1992" t="s">
        <v>31</v>
      </c>
    </row>
    <row r="1993" spans="1:25" hidden="1">
      <c r="A1993" t="s">
        <v>25</v>
      </c>
      <c r="B1993" t="s">
        <v>26</v>
      </c>
      <c r="C1993" t="s">
        <v>58</v>
      </c>
      <c r="D1993" s="1">
        <v>45004</v>
      </c>
      <c r="E1993" s="2">
        <v>0.66666666666666663</v>
      </c>
      <c r="F1993" t="s">
        <v>40</v>
      </c>
      <c r="G1993" t="s">
        <v>35</v>
      </c>
      <c r="H1993">
        <v>2</v>
      </c>
      <c r="I1993">
        <v>0</v>
      </c>
      <c r="J1993" t="s">
        <v>34</v>
      </c>
      <c r="K1993">
        <v>332</v>
      </c>
      <c r="L1993">
        <v>344</v>
      </c>
      <c r="M1993">
        <v>229</v>
      </c>
      <c r="N1993">
        <v>333</v>
      </c>
      <c r="O1993">
        <v>348</v>
      </c>
      <c r="P1993">
        <v>255</v>
      </c>
      <c r="Q1993">
        <v>311</v>
      </c>
      <c r="R1993">
        <v>33</v>
      </c>
      <c r="S1993">
        <v>227</v>
      </c>
      <c r="T1993" t="s">
        <v>31</v>
      </c>
      <c r="U1993" t="s">
        <v>31</v>
      </c>
      <c r="V1993" t="s">
        <v>31</v>
      </c>
      <c r="W1993" t="s">
        <v>31</v>
      </c>
      <c r="X1993" t="s">
        <v>31</v>
      </c>
      <c r="Y1993" t="s">
        <v>31</v>
      </c>
    </row>
    <row r="1994" spans="1:25" hidden="1">
      <c r="A1994" t="s">
        <v>25</v>
      </c>
      <c r="B1994" t="s">
        <v>26</v>
      </c>
      <c r="C1994" t="s">
        <v>58</v>
      </c>
      <c r="D1994" s="1">
        <v>45004</v>
      </c>
      <c r="E1994" s="2">
        <v>0.66666666666666663</v>
      </c>
      <c r="F1994" t="s">
        <v>52</v>
      </c>
      <c r="G1994" t="s">
        <v>50</v>
      </c>
      <c r="H1994">
        <v>2</v>
      </c>
      <c r="I1994">
        <v>2</v>
      </c>
      <c r="J1994" t="s">
        <v>41</v>
      </c>
      <c r="K1994">
        <v>413</v>
      </c>
      <c r="L1994">
        <v>373</v>
      </c>
      <c r="M1994">
        <v>193</v>
      </c>
      <c r="N1994">
        <v>433</v>
      </c>
      <c r="O1994">
        <v>377</v>
      </c>
      <c r="P1994">
        <v>198</v>
      </c>
      <c r="Q1994">
        <v>393</v>
      </c>
      <c r="R1994">
        <v>356</v>
      </c>
      <c r="S1994">
        <v>189</v>
      </c>
      <c r="T1994" t="s">
        <v>31</v>
      </c>
      <c r="U1994" t="s">
        <v>31</v>
      </c>
      <c r="V1994" t="s">
        <v>31</v>
      </c>
      <c r="W1994" t="s">
        <v>31</v>
      </c>
      <c r="X1994" t="s">
        <v>31</v>
      </c>
      <c r="Y1994" t="s">
        <v>31</v>
      </c>
    </row>
    <row r="1995" spans="1:25" hidden="1">
      <c r="A1995" t="s">
        <v>25</v>
      </c>
      <c r="B1995" t="s">
        <v>26</v>
      </c>
      <c r="C1995" t="s">
        <v>58</v>
      </c>
      <c r="D1995" s="1">
        <v>45004</v>
      </c>
      <c r="E1995" s="2">
        <v>0.66666666666666663</v>
      </c>
      <c r="F1995" t="s">
        <v>38</v>
      </c>
      <c r="G1995" t="s">
        <v>39</v>
      </c>
      <c r="H1995">
        <v>0</v>
      </c>
      <c r="I1995">
        <v>0</v>
      </c>
      <c r="J1995" t="s">
        <v>41</v>
      </c>
      <c r="K1995">
        <v>275</v>
      </c>
      <c r="L1995">
        <v>365</v>
      </c>
      <c r="M1995">
        <v>256</v>
      </c>
      <c r="N1995">
        <v>28</v>
      </c>
      <c r="O1995">
        <v>365</v>
      </c>
      <c r="P1995">
        <v>264</v>
      </c>
      <c r="Q1995">
        <v>266</v>
      </c>
      <c r="R1995">
        <v>342</v>
      </c>
      <c r="S1995">
        <v>252</v>
      </c>
      <c r="T1995" t="s">
        <v>31</v>
      </c>
      <c r="U1995" t="s">
        <v>31</v>
      </c>
      <c r="V1995" t="s">
        <v>31</v>
      </c>
      <c r="W1995" t="s">
        <v>31</v>
      </c>
      <c r="X1995" t="s">
        <v>31</v>
      </c>
      <c r="Y1995" t="s">
        <v>31</v>
      </c>
    </row>
    <row r="1996" spans="1:25" hidden="1">
      <c r="A1996" t="s">
        <v>25</v>
      </c>
      <c r="B1996" t="s">
        <v>26</v>
      </c>
      <c r="C1996" t="s">
        <v>58</v>
      </c>
      <c r="D1996" s="1">
        <v>45004</v>
      </c>
      <c r="E1996" s="2">
        <v>0.66666666666666663</v>
      </c>
      <c r="F1996" t="s">
        <v>29</v>
      </c>
      <c r="G1996" t="s">
        <v>45</v>
      </c>
      <c r="H1996">
        <v>1</v>
      </c>
      <c r="I1996">
        <v>1</v>
      </c>
      <c r="J1996" t="s">
        <v>41</v>
      </c>
      <c r="K1996">
        <v>116</v>
      </c>
      <c r="L1996">
        <v>835</v>
      </c>
      <c r="M1996">
        <v>1809</v>
      </c>
      <c r="N1996">
        <v>118</v>
      </c>
      <c r="O1996">
        <v>85</v>
      </c>
      <c r="P1996">
        <v>19</v>
      </c>
      <c r="Q1996">
        <v>116</v>
      </c>
      <c r="R1996">
        <v>746</v>
      </c>
      <c r="S1996">
        <v>1579</v>
      </c>
      <c r="T1996" t="s">
        <v>31</v>
      </c>
      <c r="U1996" t="s">
        <v>31</v>
      </c>
      <c r="V1996" t="s">
        <v>31</v>
      </c>
      <c r="W1996" t="s">
        <v>31</v>
      </c>
      <c r="X1996" t="s">
        <v>31</v>
      </c>
      <c r="Y1996" t="s">
        <v>31</v>
      </c>
    </row>
    <row r="1997" spans="1:25" hidden="1">
      <c r="A1997" t="s">
        <v>25</v>
      </c>
      <c r="B1997" t="s">
        <v>26</v>
      </c>
      <c r="C1997" t="s">
        <v>58</v>
      </c>
      <c r="D1997" s="1">
        <v>45004</v>
      </c>
      <c r="E1997" s="2">
        <v>0.66666666666666663</v>
      </c>
      <c r="F1997" t="s">
        <v>54</v>
      </c>
      <c r="G1997" t="s">
        <v>28</v>
      </c>
      <c r="H1997">
        <v>0</v>
      </c>
      <c r="I1997">
        <v>2</v>
      </c>
      <c r="J1997" t="s">
        <v>30</v>
      </c>
      <c r="K1997">
        <v>663</v>
      </c>
      <c r="L1997">
        <v>472</v>
      </c>
      <c r="M1997">
        <v>15</v>
      </c>
      <c r="N1997">
        <v>7</v>
      </c>
      <c r="O1997">
        <v>473</v>
      </c>
      <c r="P1997">
        <v>156</v>
      </c>
      <c r="Q1997">
        <v>634</v>
      </c>
      <c r="R1997">
        <v>445</v>
      </c>
      <c r="S1997">
        <v>147</v>
      </c>
      <c r="T1997" t="s">
        <v>31</v>
      </c>
      <c r="U1997" t="s">
        <v>31</v>
      </c>
      <c r="V1997" t="s">
        <v>31</v>
      </c>
      <c r="W1997" t="s">
        <v>31</v>
      </c>
      <c r="X1997" t="s">
        <v>31</v>
      </c>
      <c r="Y1997" t="s">
        <v>31</v>
      </c>
    </row>
    <row r="1998" spans="1:25" hidden="1">
      <c r="A1998" t="s">
        <v>25</v>
      </c>
      <c r="B1998" t="s">
        <v>26</v>
      </c>
      <c r="C1998" t="s">
        <v>58</v>
      </c>
      <c r="D1998" s="1">
        <v>45016</v>
      </c>
      <c r="E1998" s="2">
        <v>0.77083333333333337</v>
      </c>
      <c r="F1998" t="s">
        <v>52</v>
      </c>
      <c r="G1998" t="s">
        <v>59</v>
      </c>
      <c r="H1998">
        <v>0</v>
      </c>
      <c r="I1998">
        <v>1</v>
      </c>
      <c r="J1998" t="s">
        <v>30</v>
      </c>
      <c r="K1998">
        <v>215</v>
      </c>
      <c r="L1998">
        <v>35</v>
      </c>
      <c r="M1998">
        <v>359</v>
      </c>
      <c r="N1998">
        <v>217</v>
      </c>
      <c r="O1998">
        <v>362</v>
      </c>
      <c r="P1998">
        <v>362</v>
      </c>
      <c r="Q1998">
        <v>208</v>
      </c>
      <c r="R1998">
        <v>343</v>
      </c>
      <c r="S1998">
        <v>34</v>
      </c>
      <c r="T1998" t="s">
        <v>31</v>
      </c>
      <c r="U1998" t="s">
        <v>31</v>
      </c>
      <c r="V1998" t="s">
        <v>31</v>
      </c>
      <c r="W1998" t="s">
        <v>31</v>
      </c>
      <c r="X1998" t="s">
        <v>31</v>
      </c>
      <c r="Y1998" t="s">
        <v>31</v>
      </c>
    </row>
    <row r="1999" spans="1:25" hidden="1">
      <c r="A1999" t="s">
        <v>25</v>
      </c>
      <c r="B1999" t="s">
        <v>26</v>
      </c>
      <c r="C1999" t="s">
        <v>58</v>
      </c>
      <c r="D1999" s="1">
        <v>45017</v>
      </c>
      <c r="E1999" s="2">
        <v>0.66666666666666663</v>
      </c>
      <c r="F1999" t="s">
        <v>45</v>
      </c>
      <c r="G1999" t="s">
        <v>54</v>
      </c>
      <c r="H1999">
        <v>1</v>
      </c>
      <c r="I1999">
        <v>0</v>
      </c>
      <c r="J1999" t="s">
        <v>34</v>
      </c>
      <c r="K1999">
        <v>313</v>
      </c>
      <c r="L1999">
        <v>346</v>
      </c>
      <c r="M1999">
        <v>239</v>
      </c>
      <c r="N1999">
        <v>313</v>
      </c>
      <c r="O1999">
        <v>346</v>
      </c>
      <c r="P1999">
        <v>257</v>
      </c>
      <c r="Q1999">
        <v>284</v>
      </c>
      <c r="R1999">
        <v>334</v>
      </c>
      <c r="S1999">
        <v>24</v>
      </c>
      <c r="T1999" t="s">
        <v>31</v>
      </c>
      <c r="U1999" t="s">
        <v>31</v>
      </c>
      <c r="V1999" t="s">
        <v>31</v>
      </c>
      <c r="W1999" t="s">
        <v>31</v>
      </c>
      <c r="X1999" t="s">
        <v>31</v>
      </c>
      <c r="Y1999" t="s">
        <v>31</v>
      </c>
    </row>
    <row r="2000" spans="1:25" hidden="1">
      <c r="A2000" t="s">
        <v>25</v>
      </c>
      <c r="B2000" t="s">
        <v>26</v>
      </c>
      <c r="C2000" t="s">
        <v>58</v>
      </c>
      <c r="D2000" s="1">
        <v>45017</v>
      </c>
      <c r="E2000" s="2">
        <v>0.66666666666666663</v>
      </c>
      <c r="F2000" t="s">
        <v>39</v>
      </c>
      <c r="G2000" t="s">
        <v>38</v>
      </c>
      <c r="H2000">
        <v>1</v>
      </c>
      <c r="I2000">
        <v>0</v>
      </c>
      <c r="J2000" t="s">
        <v>34</v>
      </c>
      <c r="K2000">
        <v>19</v>
      </c>
      <c r="L2000">
        <v>377</v>
      </c>
      <c r="M2000">
        <v>422</v>
      </c>
      <c r="N2000">
        <v>191</v>
      </c>
      <c r="O2000">
        <v>392</v>
      </c>
      <c r="P2000">
        <v>44</v>
      </c>
      <c r="Q2000">
        <v>185</v>
      </c>
      <c r="R2000">
        <v>363</v>
      </c>
      <c r="S2000">
        <v>4</v>
      </c>
      <c r="T2000" t="s">
        <v>31</v>
      </c>
      <c r="U2000" t="s">
        <v>31</v>
      </c>
      <c r="V2000" t="s">
        <v>31</v>
      </c>
      <c r="W2000" t="s">
        <v>31</v>
      </c>
      <c r="X2000" t="s">
        <v>31</v>
      </c>
      <c r="Y2000" t="s">
        <v>31</v>
      </c>
    </row>
    <row r="2001" spans="1:25" hidden="1">
      <c r="A2001" t="s">
        <v>25</v>
      </c>
      <c r="B2001" t="s">
        <v>26</v>
      </c>
      <c r="C2001" t="s">
        <v>58</v>
      </c>
      <c r="D2001" s="1">
        <v>45018</v>
      </c>
      <c r="E2001" s="2">
        <v>0.5625</v>
      </c>
      <c r="F2001" t="s">
        <v>56</v>
      </c>
      <c r="G2001" t="s">
        <v>29</v>
      </c>
      <c r="H2001">
        <v>0</v>
      </c>
      <c r="I2001">
        <v>3</v>
      </c>
      <c r="J2001" t="s">
        <v>30</v>
      </c>
      <c r="K2001">
        <v>1259</v>
      </c>
      <c r="L2001">
        <v>653</v>
      </c>
      <c r="M2001">
        <v>124</v>
      </c>
      <c r="N2001">
        <v>136</v>
      </c>
      <c r="O2001">
        <v>68</v>
      </c>
      <c r="P2001">
        <v>143</v>
      </c>
      <c r="Q2001">
        <v>1213</v>
      </c>
      <c r="R2001">
        <v>622</v>
      </c>
      <c r="S2001">
        <v>122</v>
      </c>
      <c r="T2001" t="s">
        <v>31</v>
      </c>
      <c r="U2001" t="s">
        <v>31</v>
      </c>
      <c r="V2001" t="s">
        <v>31</v>
      </c>
      <c r="W2001" t="s">
        <v>31</v>
      </c>
      <c r="X2001" t="s">
        <v>31</v>
      </c>
      <c r="Y2001" t="s">
        <v>31</v>
      </c>
    </row>
    <row r="2002" spans="1:25" hidden="1">
      <c r="A2002" t="s">
        <v>25</v>
      </c>
      <c r="B2002" t="s">
        <v>26</v>
      </c>
      <c r="C2002" t="s">
        <v>58</v>
      </c>
      <c r="D2002" s="1">
        <v>45018</v>
      </c>
      <c r="E2002" s="2">
        <v>0.5625</v>
      </c>
      <c r="F2002" t="s">
        <v>40</v>
      </c>
      <c r="G2002" t="s">
        <v>50</v>
      </c>
      <c r="H2002">
        <v>2</v>
      </c>
      <c r="I2002">
        <v>2</v>
      </c>
      <c r="J2002" t="s">
        <v>41</v>
      </c>
      <c r="K2002">
        <v>266</v>
      </c>
      <c r="L2002">
        <v>345</v>
      </c>
      <c r="M2002">
        <v>276</v>
      </c>
      <c r="N2002">
        <v>266</v>
      </c>
      <c r="O2002">
        <v>355</v>
      </c>
      <c r="P2002">
        <v>276</v>
      </c>
      <c r="Q2002">
        <v>256</v>
      </c>
      <c r="R2002">
        <v>338</v>
      </c>
      <c r="S2002">
        <v>264</v>
      </c>
      <c r="T2002" t="s">
        <v>31</v>
      </c>
      <c r="U2002" t="s">
        <v>31</v>
      </c>
      <c r="V2002" t="s">
        <v>31</v>
      </c>
      <c r="W2002" t="s">
        <v>31</v>
      </c>
      <c r="X2002" t="s">
        <v>31</v>
      </c>
      <c r="Y2002" t="s">
        <v>31</v>
      </c>
    </row>
    <row r="2003" spans="1:25" hidden="1">
      <c r="A2003" t="s">
        <v>25</v>
      </c>
      <c r="B2003" t="s">
        <v>26</v>
      </c>
      <c r="C2003" t="s">
        <v>58</v>
      </c>
      <c r="D2003" s="1">
        <v>45018</v>
      </c>
      <c r="E2003" s="2">
        <v>0.66666666666666663</v>
      </c>
      <c r="F2003" t="s">
        <v>28</v>
      </c>
      <c r="G2003" t="s">
        <v>35</v>
      </c>
      <c r="H2003">
        <v>3</v>
      </c>
      <c r="I2003">
        <v>1</v>
      </c>
      <c r="J2003" t="s">
        <v>34</v>
      </c>
      <c r="K2003">
        <v>181</v>
      </c>
      <c r="L2003">
        <v>383</v>
      </c>
      <c r="M2003">
        <v>466</v>
      </c>
      <c r="N2003">
        <v>189</v>
      </c>
      <c r="O2003">
        <v>383</v>
      </c>
      <c r="P2003">
        <v>466</v>
      </c>
      <c r="Q2003">
        <v>178</v>
      </c>
      <c r="R2003">
        <v>365</v>
      </c>
      <c r="S2003">
        <v>434</v>
      </c>
      <c r="T2003" t="s">
        <v>31</v>
      </c>
      <c r="U2003" t="s">
        <v>31</v>
      </c>
      <c r="V2003" t="s">
        <v>31</v>
      </c>
      <c r="W2003" t="s">
        <v>31</v>
      </c>
      <c r="X2003" t="s">
        <v>31</v>
      </c>
      <c r="Y2003" t="s">
        <v>31</v>
      </c>
    </row>
    <row r="2004" spans="1:25" hidden="1">
      <c r="A2004" t="s">
        <v>25</v>
      </c>
      <c r="B2004" t="s">
        <v>26</v>
      </c>
      <c r="C2004" t="s">
        <v>58</v>
      </c>
      <c r="D2004" s="1">
        <v>45023</v>
      </c>
      <c r="E2004" s="2">
        <v>0.77083333333333337</v>
      </c>
      <c r="F2004" t="s">
        <v>54</v>
      </c>
      <c r="G2004" t="s">
        <v>39</v>
      </c>
      <c r="H2004">
        <v>4</v>
      </c>
      <c r="I2004">
        <v>0</v>
      </c>
      <c r="J2004" t="s">
        <v>34</v>
      </c>
      <c r="K2004">
        <v>281</v>
      </c>
      <c r="L2004">
        <v>373</v>
      </c>
      <c r="M2004">
        <v>248</v>
      </c>
      <c r="N2004">
        <v>282</v>
      </c>
      <c r="O2004">
        <v>373</v>
      </c>
      <c r="P2004">
        <v>258</v>
      </c>
      <c r="Q2004">
        <v>269</v>
      </c>
      <c r="R2004">
        <v>353</v>
      </c>
      <c r="S2004">
        <v>243</v>
      </c>
      <c r="T2004" t="s">
        <v>31</v>
      </c>
      <c r="U2004" t="s">
        <v>31</v>
      </c>
      <c r="V2004" t="s">
        <v>31</v>
      </c>
      <c r="W2004" t="s">
        <v>31</v>
      </c>
      <c r="X2004" t="s">
        <v>31</v>
      </c>
      <c r="Y2004" t="s">
        <v>31</v>
      </c>
    </row>
    <row r="2005" spans="1:25" hidden="1">
      <c r="A2005" t="s">
        <v>25</v>
      </c>
      <c r="B2005" t="s">
        <v>26</v>
      </c>
      <c r="C2005" t="s">
        <v>58</v>
      </c>
      <c r="D2005" s="1">
        <v>45024</v>
      </c>
      <c r="E2005" s="2">
        <v>0.66666666666666663</v>
      </c>
      <c r="F2005" t="s">
        <v>59</v>
      </c>
      <c r="G2005" t="s">
        <v>45</v>
      </c>
      <c r="H2005">
        <v>1</v>
      </c>
      <c r="I2005">
        <v>0</v>
      </c>
      <c r="J2005" t="s">
        <v>34</v>
      </c>
      <c r="K2005">
        <v>257</v>
      </c>
      <c r="L2005">
        <v>343</v>
      </c>
      <c r="M2005">
        <v>288</v>
      </c>
      <c r="N2005">
        <v>257</v>
      </c>
      <c r="O2005">
        <v>349</v>
      </c>
      <c r="P2005">
        <v>297</v>
      </c>
      <c r="Q2005">
        <v>244</v>
      </c>
      <c r="R2005">
        <v>333</v>
      </c>
      <c r="S2005">
        <v>279</v>
      </c>
      <c r="T2005" t="s">
        <v>31</v>
      </c>
      <c r="U2005" t="s">
        <v>31</v>
      </c>
      <c r="V2005" t="s">
        <v>31</v>
      </c>
      <c r="W2005" t="s">
        <v>31</v>
      </c>
      <c r="X2005" t="s">
        <v>31</v>
      </c>
      <c r="Y2005" t="s">
        <v>31</v>
      </c>
    </row>
    <row r="2006" spans="1:25" hidden="1">
      <c r="A2006" t="s">
        <v>25</v>
      </c>
      <c r="B2006" t="s">
        <v>26</v>
      </c>
      <c r="C2006" t="s">
        <v>58</v>
      </c>
      <c r="D2006" s="1">
        <v>45024</v>
      </c>
      <c r="E2006" s="2">
        <v>0.66666666666666663</v>
      </c>
      <c r="F2006" t="s">
        <v>38</v>
      </c>
      <c r="G2006" t="s">
        <v>52</v>
      </c>
      <c r="H2006">
        <v>1</v>
      </c>
      <c r="I2006">
        <v>3</v>
      </c>
      <c r="J2006" t="s">
        <v>30</v>
      </c>
      <c r="K2006">
        <v>24</v>
      </c>
      <c r="L2006">
        <v>328</v>
      </c>
      <c r="M2006">
        <v>326</v>
      </c>
      <c r="N2006">
        <v>244</v>
      </c>
      <c r="O2006">
        <v>337</v>
      </c>
      <c r="P2006">
        <v>326</v>
      </c>
      <c r="Q2006">
        <v>237</v>
      </c>
      <c r="R2006">
        <v>32</v>
      </c>
      <c r="S2006">
        <v>303</v>
      </c>
      <c r="T2006" t="s">
        <v>31</v>
      </c>
      <c r="U2006" t="s">
        <v>31</v>
      </c>
      <c r="V2006" t="s">
        <v>31</v>
      </c>
      <c r="W2006" t="s">
        <v>31</v>
      </c>
      <c r="X2006" t="s">
        <v>31</v>
      </c>
      <c r="Y2006" t="s">
        <v>31</v>
      </c>
    </row>
    <row r="2007" spans="1:25" hidden="1">
      <c r="A2007" t="s">
        <v>25</v>
      </c>
      <c r="B2007" t="s">
        <v>26</v>
      </c>
      <c r="C2007" t="s">
        <v>58</v>
      </c>
      <c r="D2007" s="1">
        <v>45025</v>
      </c>
      <c r="E2007" s="2">
        <v>0.5625</v>
      </c>
      <c r="F2007" t="s">
        <v>35</v>
      </c>
      <c r="G2007" t="s">
        <v>56</v>
      </c>
      <c r="H2007">
        <v>3</v>
      </c>
      <c r="I2007">
        <v>1</v>
      </c>
      <c r="J2007" t="s">
        <v>34</v>
      </c>
      <c r="K2007">
        <v>149</v>
      </c>
      <c r="L2007">
        <v>472</v>
      </c>
      <c r="M2007">
        <v>676</v>
      </c>
      <c r="N2007">
        <v>149</v>
      </c>
      <c r="O2007">
        <v>475</v>
      </c>
      <c r="P2007">
        <v>71</v>
      </c>
      <c r="Q2007">
        <v>145</v>
      </c>
      <c r="R2007">
        <v>45</v>
      </c>
      <c r="S2007">
        <v>659</v>
      </c>
      <c r="T2007" t="s">
        <v>31</v>
      </c>
      <c r="U2007" t="s">
        <v>31</v>
      </c>
      <c r="V2007" t="s">
        <v>31</v>
      </c>
      <c r="W2007" t="s">
        <v>31</v>
      </c>
      <c r="X2007" t="s">
        <v>31</v>
      </c>
      <c r="Y2007" t="s">
        <v>31</v>
      </c>
    </row>
    <row r="2008" spans="1:25" hidden="1">
      <c r="A2008" t="s">
        <v>25</v>
      </c>
      <c r="B2008" t="s">
        <v>26</v>
      </c>
      <c r="C2008" t="s">
        <v>58</v>
      </c>
      <c r="D2008" s="1">
        <v>45025</v>
      </c>
      <c r="E2008" s="2">
        <v>0.5625</v>
      </c>
      <c r="F2008" t="s">
        <v>29</v>
      </c>
      <c r="G2008" t="s">
        <v>40</v>
      </c>
      <c r="H2008">
        <v>3</v>
      </c>
      <c r="I2008">
        <v>3</v>
      </c>
      <c r="J2008" t="s">
        <v>41</v>
      </c>
      <c r="K2008">
        <v>135</v>
      </c>
      <c r="L2008">
        <v>547</v>
      </c>
      <c r="M2008">
        <v>912</v>
      </c>
      <c r="N2008">
        <v>14</v>
      </c>
      <c r="O2008">
        <v>566</v>
      </c>
      <c r="P2008">
        <v>986</v>
      </c>
      <c r="Q2008">
        <v>134</v>
      </c>
      <c r="R2008">
        <v>512</v>
      </c>
      <c r="S2008">
        <v>834</v>
      </c>
      <c r="T2008" t="s">
        <v>31</v>
      </c>
      <c r="U2008" t="s">
        <v>31</v>
      </c>
      <c r="V2008" t="s">
        <v>31</v>
      </c>
      <c r="W2008" t="s">
        <v>31</v>
      </c>
      <c r="X2008" t="s">
        <v>31</v>
      </c>
      <c r="Y2008" t="s">
        <v>31</v>
      </c>
    </row>
    <row r="2009" spans="1:25" hidden="1">
      <c r="A2009" t="s">
        <v>25</v>
      </c>
      <c r="B2009" t="s">
        <v>26</v>
      </c>
      <c r="C2009" t="s">
        <v>58</v>
      </c>
      <c r="D2009" s="1">
        <v>45025</v>
      </c>
      <c r="E2009" s="2">
        <v>0.66666666666666663</v>
      </c>
      <c r="F2009" t="s">
        <v>50</v>
      </c>
      <c r="G2009" t="s">
        <v>28</v>
      </c>
      <c r="H2009">
        <v>2</v>
      </c>
      <c r="I2009">
        <v>1</v>
      </c>
      <c r="J2009" t="s">
        <v>34</v>
      </c>
      <c r="K2009">
        <v>286</v>
      </c>
      <c r="L2009">
        <v>361</v>
      </c>
      <c r="M2009">
        <v>25</v>
      </c>
      <c r="N2009">
        <v>335</v>
      </c>
      <c r="O2009">
        <v>364</v>
      </c>
      <c r="P2009">
        <v>256</v>
      </c>
      <c r="Q2009">
        <v>288</v>
      </c>
      <c r="R2009">
        <v>345</v>
      </c>
      <c r="S2009">
        <v>234</v>
      </c>
      <c r="T2009" t="s">
        <v>31</v>
      </c>
      <c r="U2009" t="s">
        <v>31</v>
      </c>
      <c r="V2009" t="s">
        <v>31</v>
      </c>
      <c r="W2009" t="s">
        <v>31</v>
      </c>
      <c r="X2009" t="s">
        <v>31</v>
      </c>
      <c r="Y2009" t="s">
        <v>31</v>
      </c>
    </row>
    <row r="2010" spans="1:25" hidden="1">
      <c r="A2010" t="s">
        <v>25</v>
      </c>
      <c r="B2010" t="s">
        <v>26</v>
      </c>
      <c r="C2010" t="s">
        <v>58</v>
      </c>
      <c r="D2010" s="1">
        <v>45030</v>
      </c>
      <c r="E2010" s="2">
        <v>0.77083333333333337</v>
      </c>
      <c r="F2010" t="s">
        <v>38</v>
      </c>
      <c r="G2010" t="s">
        <v>54</v>
      </c>
      <c r="H2010">
        <v>1</v>
      </c>
      <c r="I2010">
        <v>1</v>
      </c>
      <c r="J2010" t="s">
        <v>41</v>
      </c>
      <c r="K2010">
        <v>271</v>
      </c>
      <c r="L2010">
        <v>358</v>
      </c>
      <c r="M2010">
        <v>263</v>
      </c>
      <c r="N2010">
        <v>284</v>
      </c>
      <c r="O2010">
        <v>36</v>
      </c>
      <c r="P2010">
        <v>267</v>
      </c>
      <c r="Q2010">
        <v>264</v>
      </c>
      <c r="R2010">
        <v>342</v>
      </c>
      <c r="S2010">
        <v>254</v>
      </c>
      <c r="T2010" t="s">
        <v>31</v>
      </c>
      <c r="U2010" t="s">
        <v>31</v>
      </c>
      <c r="V2010" t="s">
        <v>31</v>
      </c>
      <c r="W2010" t="s">
        <v>31</v>
      </c>
      <c r="X2010" t="s">
        <v>31</v>
      </c>
      <c r="Y2010" t="s">
        <v>31</v>
      </c>
    </row>
    <row r="2011" spans="1:25" hidden="1">
      <c r="A2011" t="s">
        <v>25</v>
      </c>
      <c r="B2011" t="s">
        <v>26</v>
      </c>
      <c r="C2011" t="s">
        <v>58</v>
      </c>
      <c r="D2011" s="1">
        <v>45031</v>
      </c>
      <c r="E2011" s="2">
        <v>0.66666666666666663</v>
      </c>
      <c r="F2011" t="s">
        <v>59</v>
      </c>
      <c r="G2011" t="s">
        <v>39</v>
      </c>
      <c r="H2011">
        <v>1</v>
      </c>
      <c r="I2011">
        <v>3</v>
      </c>
      <c r="J2011" t="s">
        <v>30</v>
      </c>
      <c r="K2011">
        <v>281</v>
      </c>
      <c r="L2011">
        <v>342</v>
      </c>
      <c r="M2011">
        <v>264</v>
      </c>
      <c r="N2011">
        <v>29</v>
      </c>
      <c r="O2011">
        <v>356</v>
      </c>
      <c r="P2011">
        <v>264</v>
      </c>
      <c r="Q2011">
        <v>271</v>
      </c>
      <c r="R2011">
        <v>34</v>
      </c>
      <c r="S2011">
        <v>249</v>
      </c>
      <c r="T2011" t="s">
        <v>31</v>
      </c>
      <c r="U2011" t="s">
        <v>31</v>
      </c>
      <c r="V2011" t="s">
        <v>31</v>
      </c>
      <c r="W2011" t="s">
        <v>31</v>
      </c>
      <c r="X2011" t="s">
        <v>31</v>
      </c>
      <c r="Y2011" t="s">
        <v>31</v>
      </c>
    </row>
    <row r="2012" spans="1:25" hidden="1">
      <c r="A2012" t="s">
        <v>25</v>
      </c>
      <c r="B2012" t="s">
        <v>26</v>
      </c>
      <c r="C2012" t="s">
        <v>58</v>
      </c>
      <c r="D2012" s="1">
        <v>45031</v>
      </c>
      <c r="E2012" s="2">
        <v>0.66666666666666663</v>
      </c>
      <c r="F2012" t="s">
        <v>52</v>
      </c>
      <c r="G2012" t="s">
        <v>45</v>
      </c>
      <c r="H2012">
        <v>2</v>
      </c>
      <c r="I2012">
        <v>2</v>
      </c>
      <c r="J2012" t="s">
        <v>41</v>
      </c>
      <c r="K2012">
        <v>207</v>
      </c>
      <c r="L2012">
        <v>348</v>
      </c>
      <c r="M2012">
        <v>389</v>
      </c>
      <c r="N2012">
        <v>213</v>
      </c>
      <c r="O2012">
        <v>355</v>
      </c>
      <c r="P2012">
        <v>391</v>
      </c>
      <c r="Q2012">
        <v>204</v>
      </c>
      <c r="R2012">
        <v>338</v>
      </c>
      <c r="S2012">
        <v>361</v>
      </c>
      <c r="T2012" t="s">
        <v>31</v>
      </c>
      <c r="U2012" t="s">
        <v>31</v>
      </c>
      <c r="V2012" t="s">
        <v>31</v>
      </c>
      <c r="W2012" t="s">
        <v>31</v>
      </c>
      <c r="X2012" t="s">
        <v>31</v>
      </c>
      <c r="Y2012" t="s">
        <v>31</v>
      </c>
    </row>
    <row r="2013" spans="1:25" hidden="1">
      <c r="A2013" t="s">
        <v>25</v>
      </c>
      <c r="B2013" t="s">
        <v>26</v>
      </c>
      <c r="C2013" t="s">
        <v>58</v>
      </c>
      <c r="D2013" s="1">
        <v>45032</v>
      </c>
      <c r="E2013" s="2">
        <v>0.5625</v>
      </c>
      <c r="F2013" t="s">
        <v>56</v>
      </c>
      <c r="G2013" t="s">
        <v>28</v>
      </c>
      <c r="H2013">
        <v>0</v>
      </c>
      <c r="I2013">
        <v>2</v>
      </c>
      <c r="J2013" t="s">
        <v>30</v>
      </c>
      <c r="K2013">
        <v>724</v>
      </c>
      <c r="L2013">
        <v>496</v>
      </c>
      <c r="M2013">
        <v>144</v>
      </c>
      <c r="N2013">
        <v>8</v>
      </c>
      <c r="O2013">
        <v>496</v>
      </c>
      <c r="P2013">
        <v>147</v>
      </c>
      <c r="Q2013">
        <v>702</v>
      </c>
      <c r="R2013">
        <v>46</v>
      </c>
      <c r="S2013">
        <v>142</v>
      </c>
      <c r="T2013" t="s">
        <v>31</v>
      </c>
      <c r="U2013" t="s">
        <v>31</v>
      </c>
      <c r="V2013" t="s">
        <v>31</v>
      </c>
      <c r="W2013" t="s">
        <v>31</v>
      </c>
      <c r="X2013" t="s">
        <v>31</v>
      </c>
      <c r="Y2013" t="s">
        <v>31</v>
      </c>
    </row>
    <row r="2014" spans="1:25" hidden="1">
      <c r="A2014" t="s">
        <v>25</v>
      </c>
      <c r="B2014" t="s">
        <v>26</v>
      </c>
      <c r="C2014" t="s">
        <v>58</v>
      </c>
      <c r="D2014" s="1">
        <v>45032</v>
      </c>
      <c r="E2014" s="2">
        <v>0.5625</v>
      </c>
      <c r="F2014" t="s">
        <v>29</v>
      </c>
      <c r="G2014" t="s">
        <v>50</v>
      </c>
      <c r="H2014">
        <v>0</v>
      </c>
      <c r="I2014">
        <v>0</v>
      </c>
      <c r="J2014" t="s">
        <v>41</v>
      </c>
      <c r="K2014">
        <v>149</v>
      </c>
      <c r="L2014">
        <v>491</v>
      </c>
      <c r="M2014">
        <v>641</v>
      </c>
      <c r="N2014">
        <v>153</v>
      </c>
      <c r="O2014">
        <v>491</v>
      </c>
      <c r="P2014">
        <v>7</v>
      </c>
      <c r="Q2014">
        <v>147</v>
      </c>
      <c r="R2014">
        <v>455</v>
      </c>
      <c r="S2014">
        <v>615</v>
      </c>
      <c r="T2014" t="s">
        <v>31</v>
      </c>
      <c r="U2014" t="s">
        <v>31</v>
      </c>
      <c r="V2014" t="s">
        <v>31</v>
      </c>
      <c r="W2014" t="s">
        <v>31</v>
      </c>
      <c r="X2014" t="s">
        <v>31</v>
      </c>
      <c r="Y2014" t="s">
        <v>31</v>
      </c>
    </row>
    <row r="2015" spans="1:25" hidden="1">
      <c r="A2015" t="s">
        <v>25</v>
      </c>
      <c r="B2015" t="s">
        <v>26</v>
      </c>
      <c r="C2015" t="s">
        <v>58</v>
      </c>
      <c r="D2015" s="1">
        <v>45032</v>
      </c>
      <c r="E2015" s="2">
        <v>0.66666666666666663</v>
      </c>
      <c r="F2015" t="s">
        <v>35</v>
      </c>
      <c r="G2015" t="s">
        <v>40</v>
      </c>
      <c r="H2015">
        <v>3</v>
      </c>
      <c r="I2015">
        <v>3</v>
      </c>
      <c r="J2015" t="s">
        <v>41</v>
      </c>
      <c r="K2015">
        <v>213</v>
      </c>
      <c r="L2015">
        <v>375</v>
      </c>
      <c r="M2015">
        <v>345</v>
      </c>
      <c r="N2015">
        <v>22</v>
      </c>
      <c r="O2015">
        <v>376</v>
      </c>
      <c r="P2015">
        <v>381</v>
      </c>
      <c r="Q2015">
        <v>208</v>
      </c>
      <c r="R2015">
        <v>358</v>
      </c>
      <c r="S2015">
        <v>331</v>
      </c>
      <c r="T2015" t="s">
        <v>31</v>
      </c>
      <c r="U2015" t="s">
        <v>31</v>
      </c>
      <c r="V2015" t="s">
        <v>31</v>
      </c>
      <c r="W2015" t="s">
        <v>31</v>
      </c>
      <c r="X2015" t="s">
        <v>31</v>
      </c>
      <c r="Y2015" t="s">
        <v>31</v>
      </c>
    </row>
    <row r="2016" spans="1:25" hidden="1">
      <c r="A2016" t="s">
        <v>25</v>
      </c>
      <c r="B2016" t="s">
        <v>26</v>
      </c>
      <c r="C2016" t="s">
        <v>58</v>
      </c>
      <c r="D2016" s="1">
        <v>45037</v>
      </c>
      <c r="E2016" s="2">
        <v>0.77083333333333337</v>
      </c>
      <c r="F2016" t="s">
        <v>39</v>
      </c>
      <c r="G2016" t="s">
        <v>52</v>
      </c>
      <c r="H2016">
        <v>2</v>
      </c>
      <c r="I2016">
        <v>2</v>
      </c>
      <c r="J2016" t="s">
        <v>41</v>
      </c>
      <c r="K2016">
        <v>245</v>
      </c>
      <c r="L2016">
        <v>353</v>
      </c>
      <c r="M2016">
        <v>298</v>
      </c>
      <c r="N2016">
        <v>246</v>
      </c>
      <c r="O2016">
        <v>365</v>
      </c>
      <c r="P2016">
        <v>375</v>
      </c>
      <c r="Q2016">
        <v>232</v>
      </c>
      <c r="R2016">
        <v>342</v>
      </c>
      <c r="S2016">
        <v>294</v>
      </c>
      <c r="T2016" t="s">
        <v>31</v>
      </c>
      <c r="U2016" t="s">
        <v>31</v>
      </c>
      <c r="V2016" t="s">
        <v>31</v>
      </c>
      <c r="W2016" t="s">
        <v>31</v>
      </c>
      <c r="X2016" t="s">
        <v>31</v>
      </c>
      <c r="Y2016" t="s">
        <v>31</v>
      </c>
    </row>
    <row r="2017" spans="1:25" hidden="1">
      <c r="A2017" t="s">
        <v>25</v>
      </c>
      <c r="B2017" t="s">
        <v>26</v>
      </c>
      <c r="C2017" t="s">
        <v>58</v>
      </c>
      <c r="D2017" s="1">
        <v>45038</v>
      </c>
      <c r="E2017" s="2">
        <v>0.66666666666666663</v>
      </c>
      <c r="F2017" t="s">
        <v>45</v>
      </c>
      <c r="G2017" t="s">
        <v>38</v>
      </c>
      <c r="H2017">
        <v>1</v>
      </c>
      <c r="I2017">
        <v>1</v>
      </c>
      <c r="J2017" t="s">
        <v>41</v>
      </c>
      <c r="K2017">
        <v>265</v>
      </c>
      <c r="L2017">
        <v>335</v>
      </c>
      <c r="M2017">
        <v>285</v>
      </c>
      <c r="N2017">
        <v>265</v>
      </c>
      <c r="O2017">
        <v>341</v>
      </c>
      <c r="P2017">
        <v>292</v>
      </c>
      <c r="Q2017">
        <v>252</v>
      </c>
      <c r="R2017">
        <v>327</v>
      </c>
      <c r="S2017">
        <v>277</v>
      </c>
      <c r="T2017" t="s">
        <v>31</v>
      </c>
      <c r="U2017" t="s">
        <v>31</v>
      </c>
      <c r="V2017" t="s">
        <v>31</v>
      </c>
      <c r="W2017" t="s">
        <v>31</v>
      </c>
      <c r="X2017" t="s">
        <v>31</v>
      </c>
      <c r="Y2017" t="s">
        <v>31</v>
      </c>
    </row>
    <row r="2018" spans="1:25" hidden="1">
      <c r="A2018" t="s">
        <v>25</v>
      </c>
      <c r="B2018" t="s">
        <v>26</v>
      </c>
      <c r="C2018" t="s">
        <v>58</v>
      </c>
      <c r="D2018" s="1">
        <v>45038</v>
      </c>
      <c r="E2018" s="2">
        <v>0.66666666666666663</v>
      </c>
      <c r="F2018" t="s">
        <v>54</v>
      </c>
      <c r="G2018" t="s">
        <v>59</v>
      </c>
      <c r="H2018">
        <v>0</v>
      </c>
      <c r="I2018">
        <v>2</v>
      </c>
      <c r="J2018" t="s">
        <v>30</v>
      </c>
      <c r="K2018">
        <v>188</v>
      </c>
      <c r="L2018">
        <v>393</v>
      </c>
      <c r="M2018">
        <v>414</v>
      </c>
      <c r="N2018">
        <v>19</v>
      </c>
      <c r="O2018">
        <v>4</v>
      </c>
      <c r="P2018">
        <v>43</v>
      </c>
      <c r="Q2018">
        <v>182</v>
      </c>
      <c r="R2018">
        <v>378</v>
      </c>
      <c r="S2018">
        <v>396</v>
      </c>
      <c r="T2018" t="s">
        <v>31</v>
      </c>
      <c r="U2018" t="s">
        <v>31</v>
      </c>
      <c r="V2018" t="s">
        <v>31</v>
      </c>
      <c r="W2018" t="s">
        <v>31</v>
      </c>
      <c r="X2018" t="s">
        <v>31</v>
      </c>
      <c r="Y2018" t="s">
        <v>31</v>
      </c>
    </row>
    <row r="2019" spans="1:25" hidden="1">
      <c r="A2019" t="s">
        <v>25</v>
      </c>
      <c r="B2019" t="s">
        <v>26</v>
      </c>
      <c r="C2019" t="s">
        <v>58</v>
      </c>
      <c r="D2019" s="1">
        <v>45039</v>
      </c>
      <c r="E2019" s="2">
        <v>0.5625</v>
      </c>
      <c r="F2019" t="s">
        <v>40</v>
      </c>
      <c r="G2019" t="s">
        <v>56</v>
      </c>
      <c r="H2019">
        <v>1</v>
      </c>
      <c r="I2019">
        <v>2</v>
      </c>
      <c r="J2019" t="s">
        <v>30</v>
      </c>
      <c r="K2019">
        <v>159</v>
      </c>
      <c r="L2019">
        <v>441</v>
      </c>
      <c r="M2019">
        <v>569</v>
      </c>
      <c r="N2019">
        <v>16</v>
      </c>
      <c r="O2019">
        <v>45</v>
      </c>
      <c r="P2019">
        <v>612</v>
      </c>
      <c r="Q2019">
        <v>155</v>
      </c>
      <c r="R2019">
        <v>425</v>
      </c>
      <c r="S2019">
        <v>551</v>
      </c>
      <c r="T2019" t="s">
        <v>31</v>
      </c>
      <c r="U2019" t="s">
        <v>31</v>
      </c>
      <c r="V2019" t="s">
        <v>31</v>
      </c>
      <c r="W2019" t="s">
        <v>31</v>
      </c>
      <c r="X2019" t="s">
        <v>31</v>
      </c>
      <c r="Y2019" t="s">
        <v>31</v>
      </c>
    </row>
    <row r="2020" spans="1:25" hidden="1">
      <c r="A2020" t="s">
        <v>25</v>
      </c>
      <c r="B2020" t="s">
        <v>26</v>
      </c>
      <c r="C2020" t="s">
        <v>58</v>
      </c>
      <c r="D2020" s="1">
        <v>45039</v>
      </c>
      <c r="E2020" s="2">
        <v>0.5625</v>
      </c>
      <c r="F2020" t="s">
        <v>50</v>
      </c>
      <c r="G2020" t="s">
        <v>35</v>
      </c>
      <c r="H2020">
        <v>3</v>
      </c>
      <c r="I2020">
        <v>1</v>
      </c>
      <c r="J2020" t="s">
        <v>34</v>
      </c>
      <c r="K2020">
        <v>215</v>
      </c>
      <c r="L2020">
        <v>364</v>
      </c>
      <c r="M2020">
        <v>347</v>
      </c>
      <c r="N2020">
        <v>224</v>
      </c>
      <c r="O2020">
        <v>364</v>
      </c>
      <c r="P2020">
        <v>347</v>
      </c>
      <c r="Q2020">
        <v>21</v>
      </c>
      <c r="R2020">
        <v>351</v>
      </c>
      <c r="S2020">
        <v>33</v>
      </c>
      <c r="T2020" t="s">
        <v>31</v>
      </c>
      <c r="U2020" t="s">
        <v>31</v>
      </c>
      <c r="V2020" t="s">
        <v>31</v>
      </c>
      <c r="W2020" t="s">
        <v>31</v>
      </c>
      <c r="X2020" t="s">
        <v>31</v>
      </c>
      <c r="Y2020" t="s">
        <v>31</v>
      </c>
    </row>
    <row r="2021" spans="1:25" hidden="1">
      <c r="A2021" t="s">
        <v>25</v>
      </c>
      <c r="B2021" t="s">
        <v>26</v>
      </c>
      <c r="C2021" t="s">
        <v>58</v>
      </c>
      <c r="D2021" s="1">
        <v>45039</v>
      </c>
      <c r="E2021" s="2">
        <v>0.66666666666666663</v>
      </c>
      <c r="F2021" t="s">
        <v>28</v>
      </c>
      <c r="G2021" t="s">
        <v>29</v>
      </c>
      <c r="H2021">
        <v>0</v>
      </c>
      <c r="I2021">
        <v>2</v>
      </c>
      <c r="J2021" t="s">
        <v>30</v>
      </c>
      <c r="K2021">
        <v>257</v>
      </c>
      <c r="L2021">
        <v>35</v>
      </c>
      <c r="M2021">
        <v>283</v>
      </c>
      <c r="N2021">
        <v>285</v>
      </c>
      <c r="O2021">
        <v>352</v>
      </c>
      <c r="P2021">
        <v>283</v>
      </c>
      <c r="Q2021">
        <v>257</v>
      </c>
      <c r="R2021">
        <v>335</v>
      </c>
      <c r="S2021">
        <v>265</v>
      </c>
      <c r="T2021" t="s">
        <v>31</v>
      </c>
      <c r="U2021" t="s">
        <v>31</v>
      </c>
      <c r="V2021" t="s">
        <v>31</v>
      </c>
      <c r="W2021" t="s">
        <v>31</v>
      </c>
      <c r="X2021" t="s">
        <v>31</v>
      </c>
      <c r="Y2021" t="s">
        <v>31</v>
      </c>
    </row>
    <row r="2022" spans="1:25" hidden="1">
      <c r="A2022" t="s">
        <v>25</v>
      </c>
      <c r="B2022" t="s">
        <v>26</v>
      </c>
      <c r="C2022" t="s">
        <v>58</v>
      </c>
      <c r="D2022" s="1">
        <v>45042</v>
      </c>
      <c r="E2022" s="2">
        <v>0.72916666666666663</v>
      </c>
      <c r="F2022" t="s">
        <v>28</v>
      </c>
      <c r="G2022" t="s">
        <v>40</v>
      </c>
      <c r="H2022">
        <v>3</v>
      </c>
      <c r="I2022">
        <v>2</v>
      </c>
      <c r="J2022" t="s">
        <v>34</v>
      </c>
      <c r="K2022">
        <v>163</v>
      </c>
      <c r="L2022">
        <v>432</v>
      </c>
      <c r="M2022">
        <v>536</v>
      </c>
      <c r="N2022">
        <v>167</v>
      </c>
      <c r="O2022">
        <v>44</v>
      </c>
      <c r="P2022">
        <v>575</v>
      </c>
      <c r="Q2022">
        <v>159</v>
      </c>
      <c r="R2022">
        <v>415</v>
      </c>
      <c r="S2022">
        <v>517</v>
      </c>
      <c r="T2022" t="s">
        <v>31</v>
      </c>
      <c r="U2022" t="s">
        <v>31</v>
      </c>
      <c r="V2022" t="s">
        <v>31</v>
      </c>
      <c r="W2022" t="s">
        <v>31</v>
      </c>
      <c r="X2022" t="s">
        <v>31</v>
      </c>
      <c r="Y2022" t="s">
        <v>31</v>
      </c>
    </row>
    <row r="2023" spans="1:25" hidden="1">
      <c r="A2023" t="s">
        <v>25</v>
      </c>
      <c r="B2023" t="s">
        <v>26</v>
      </c>
      <c r="C2023" t="s">
        <v>58</v>
      </c>
      <c r="D2023" s="1">
        <v>45042</v>
      </c>
      <c r="E2023" s="2">
        <v>0.8125</v>
      </c>
      <c r="F2023" t="s">
        <v>35</v>
      </c>
      <c r="G2023" t="s">
        <v>29</v>
      </c>
      <c r="H2023">
        <v>1</v>
      </c>
      <c r="I2023">
        <v>1</v>
      </c>
      <c r="J2023" t="s">
        <v>41</v>
      </c>
      <c r="K2023">
        <v>424</v>
      </c>
      <c r="L2023">
        <v>393</v>
      </c>
      <c r="M2023">
        <v>185</v>
      </c>
      <c r="N2023">
        <v>49</v>
      </c>
      <c r="O2023">
        <v>41</v>
      </c>
      <c r="P2023">
        <v>185</v>
      </c>
      <c r="Q2023">
        <v>415</v>
      </c>
      <c r="R2023">
        <v>386</v>
      </c>
      <c r="S2023">
        <v>177</v>
      </c>
      <c r="T2023" t="s">
        <v>31</v>
      </c>
      <c r="U2023" t="s">
        <v>31</v>
      </c>
      <c r="V2023" t="s">
        <v>31</v>
      </c>
      <c r="W2023" t="s">
        <v>31</v>
      </c>
      <c r="X2023" t="s">
        <v>31</v>
      </c>
      <c r="Y2023" t="s">
        <v>31</v>
      </c>
    </row>
    <row r="2024" spans="1:25" hidden="1">
      <c r="A2024" t="s">
        <v>25</v>
      </c>
      <c r="B2024" t="s">
        <v>26</v>
      </c>
      <c r="C2024" t="s">
        <v>58</v>
      </c>
      <c r="D2024" s="1">
        <v>45044</v>
      </c>
      <c r="E2024" s="2">
        <v>0.77083333333333337</v>
      </c>
      <c r="F2024" t="s">
        <v>45</v>
      </c>
      <c r="G2024" t="s">
        <v>39</v>
      </c>
      <c r="H2024">
        <v>0</v>
      </c>
      <c r="I2024">
        <v>2</v>
      </c>
      <c r="J2024" t="s">
        <v>30</v>
      </c>
      <c r="K2024">
        <v>306</v>
      </c>
      <c r="L2024">
        <v>337</v>
      </c>
      <c r="M2024">
        <v>248</v>
      </c>
      <c r="N2024">
        <v>309</v>
      </c>
      <c r="O2024">
        <v>348</v>
      </c>
      <c r="P2024">
        <v>25</v>
      </c>
      <c r="Q2024">
        <v>295</v>
      </c>
      <c r="R2024">
        <v>33</v>
      </c>
      <c r="S2024">
        <v>237</v>
      </c>
      <c r="T2024" t="s">
        <v>31</v>
      </c>
      <c r="U2024" t="s">
        <v>31</v>
      </c>
      <c r="V2024" t="s">
        <v>31</v>
      </c>
      <c r="W2024" t="s">
        <v>31</v>
      </c>
      <c r="X2024" t="s">
        <v>31</v>
      </c>
      <c r="Y2024" t="s">
        <v>31</v>
      </c>
    </row>
    <row r="2025" spans="1:25" hidden="1">
      <c r="A2025" t="s">
        <v>25</v>
      </c>
      <c r="B2025" t="s">
        <v>26</v>
      </c>
      <c r="C2025" t="s">
        <v>58</v>
      </c>
      <c r="D2025" s="1">
        <v>45045</v>
      </c>
      <c r="E2025" s="2">
        <v>0.66666666666666663</v>
      </c>
      <c r="F2025" t="s">
        <v>38</v>
      </c>
      <c r="G2025" t="s">
        <v>59</v>
      </c>
      <c r="H2025">
        <v>4</v>
      </c>
      <c r="I2025">
        <v>4</v>
      </c>
      <c r="J2025" t="s">
        <v>41</v>
      </c>
      <c r="K2025">
        <v>229</v>
      </c>
      <c r="L2025">
        <v>345</v>
      </c>
      <c r="M2025">
        <v>331</v>
      </c>
      <c r="N2025">
        <v>229</v>
      </c>
      <c r="O2025">
        <v>359</v>
      </c>
      <c r="P2025">
        <v>341</v>
      </c>
      <c r="Q2025">
        <v>218</v>
      </c>
      <c r="R2025">
        <v>337</v>
      </c>
      <c r="S2025">
        <v>322</v>
      </c>
      <c r="T2025" t="s">
        <v>31</v>
      </c>
      <c r="U2025" t="s">
        <v>31</v>
      </c>
      <c r="V2025" t="s">
        <v>31</v>
      </c>
      <c r="W2025" t="s">
        <v>31</v>
      </c>
      <c r="X2025" t="s">
        <v>31</v>
      </c>
      <c r="Y2025" t="s">
        <v>31</v>
      </c>
    </row>
    <row r="2026" spans="1:25" hidden="1">
      <c r="A2026" t="s">
        <v>25</v>
      </c>
      <c r="B2026" t="s">
        <v>26</v>
      </c>
      <c r="C2026" t="s">
        <v>58</v>
      </c>
      <c r="D2026" s="1">
        <v>45045</v>
      </c>
      <c r="E2026" s="2">
        <v>0.66666666666666663</v>
      </c>
      <c r="F2026" t="s">
        <v>54</v>
      </c>
      <c r="G2026" t="s">
        <v>52</v>
      </c>
      <c r="H2026">
        <v>1</v>
      </c>
      <c r="I2026">
        <v>1</v>
      </c>
      <c r="J2026" t="s">
        <v>41</v>
      </c>
      <c r="K2026">
        <v>232</v>
      </c>
      <c r="L2026">
        <v>382</v>
      </c>
      <c r="M2026">
        <v>299</v>
      </c>
      <c r="N2026">
        <v>24</v>
      </c>
      <c r="O2026">
        <v>382</v>
      </c>
      <c r="P2026">
        <v>315</v>
      </c>
      <c r="Q2026">
        <v>228</v>
      </c>
      <c r="R2026">
        <v>355</v>
      </c>
      <c r="S2026">
        <v>288</v>
      </c>
      <c r="T2026" t="s">
        <v>31</v>
      </c>
      <c r="U2026" t="s">
        <v>31</v>
      </c>
      <c r="V2026" t="s">
        <v>31</v>
      </c>
      <c r="W2026" t="s">
        <v>31</v>
      </c>
      <c r="X2026" t="s">
        <v>31</v>
      </c>
      <c r="Y2026" t="s">
        <v>31</v>
      </c>
    </row>
    <row r="2027" spans="1:25" hidden="1">
      <c r="A2027" t="s">
        <v>25</v>
      </c>
      <c r="B2027" t="s">
        <v>26</v>
      </c>
      <c r="C2027" t="s">
        <v>58</v>
      </c>
      <c r="D2027" s="1">
        <v>45046</v>
      </c>
      <c r="E2027" s="2">
        <v>0.66666666666666663</v>
      </c>
      <c r="F2027" t="s">
        <v>50</v>
      </c>
      <c r="G2027" t="s">
        <v>56</v>
      </c>
      <c r="H2027">
        <v>4</v>
      </c>
      <c r="I2027">
        <v>0</v>
      </c>
      <c r="J2027" t="s">
        <v>34</v>
      </c>
      <c r="K2027">
        <v>147</v>
      </c>
      <c r="L2027">
        <v>494</v>
      </c>
      <c r="M2027">
        <v>667</v>
      </c>
      <c r="N2027">
        <v>148</v>
      </c>
      <c r="O2027">
        <v>5</v>
      </c>
      <c r="P2027">
        <v>712</v>
      </c>
      <c r="Q2027">
        <v>144</v>
      </c>
      <c r="R2027">
        <v>465</v>
      </c>
      <c r="S2027">
        <v>647</v>
      </c>
      <c r="T2027" t="s">
        <v>31</v>
      </c>
      <c r="U2027" t="s">
        <v>31</v>
      </c>
      <c r="V2027" t="s">
        <v>31</v>
      </c>
      <c r="W2027" t="s">
        <v>31</v>
      </c>
      <c r="X2027" t="s">
        <v>31</v>
      </c>
      <c r="Y2027" t="s">
        <v>31</v>
      </c>
    </row>
    <row r="2028" spans="1:25" hidden="1">
      <c r="A2028" t="s">
        <v>25</v>
      </c>
      <c r="B2028" t="s">
        <v>26</v>
      </c>
      <c r="C2028" t="s">
        <v>58</v>
      </c>
      <c r="D2028" s="1">
        <v>45051</v>
      </c>
      <c r="E2028" s="2">
        <v>0.77083333333333337</v>
      </c>
      <c r="F2028" t="s">
        <v>39</v>
      </c>
      <c r="G2028" t="s">
        <v>45</v>
      </c>
      <c r="H2028">
        <v>0</v>
      </c>
      <c r="I2028">
        <v>0</v>
      </c>
      <c r="J2028" t="s">
        <v>41</v>
      </c>
      <c r="K2028">
        <v>205</v>
      </c>
      <c r="L2028">
        <v>348</v>
      </c>
      <c r="M2028">
        <v>393</v>
      </c>
      <c r="N2028">
        <v>21</v>
      </c>
      <c r="O2028">
        <v>37</v>
      </c>
      <c r="P2028">
        <v>41</v>
      </c>
      <c r="Q2028">
        <v>2</v>
      </c>
      <c r="R2028">
        <v>347</v>
      </c>
      <c r="S2028">
        <v>362</v>
      </c>
      <c r="T2028" t="s">
        <v>31</v>
      </c>
      <c r="U2028" t="s">
        <v>31</v>
      </c>
      <c r="V2028" t="s">
        <v>31</v>
      </c>
      <c r="W2028" t="s">
        <v>31</v>
      </c>
      <c r="X2028" t="s">
        <v>31</v>
      </c>
      <c r="Y2028" t="s">
        <v>31</v>
      </c>
    </row>
    <row r="2029" spans="1:25" hidden="1">
      <c r="A2029" t="s">
        <v>25</v>
      </c>
      <c r="B2029" t="s">
        <v>26</v>
      </c>
      <c r="C2029" t="s">
        <v>58</v>
      </c>
      <c r="D2029" s="1">
        <v>45052</v>
      </c>
      <c r="E2029" s="2">
        <v>0.66666666666666663</v>
      </c>
      <c r="F2029" t="s">
        <v>59</v>
      </c>
      <c r="G2029" t="s">
        <v>38</v>
      </c>
      <c r="H2029">
        <v>2</v>
      </c>
      <c r="I2029">
        <v>2</v>
      </c>
      <c r="J2029" t="s">
        <v>41</v>
      </c>
      <c r="K2029">
        <v>238</v>
      </c>
      <c r="L2029">
        <v>349</v>
      </c>
      <c r="M2029">
        <v>312</v>
      </c>
      <c r="N2029">
        <v>264</v>
      </c>
      <c r="O2029">
        <v>35</v>
      </c>
      <c r="P2029">
        <v>312</v>
      </c>
      <c r="Q2029">
        <v>233</v>
      </c>
      <c r="R2029">
        <v>338</v>
      </c>
      <c r="S2029">
        <v>294</v>
      </c>
      <c r="T2029" t="s">
        <v>31</v>
      </c>
      <c r="U2029" t="s">
        <v>31</v>
      </c>
      <c r="V2029" t="s">
        <v>31</v>
      </c>
      <c r="W2029" t="s">
        <v>31</v>
      </c>
      <c r="X2029" t="s">
        <v>31</v>
      </c>
      <c r="Y2029" t="s">
        <v>31</v>
      </c>
    </row>
    <row r="2030" spans="1:25" hidden="1">
      <c r="A2030" t="s">
        <v>25</v>
      </c>
      <c r="B2030" t="s">
        <v>26</v>
      </c>
      <c r="C2030" t="s">
        <v>58</v>
      </c>
      <c r="D2030" s="1">
        <v>45052</v>
      </c>
      <c r="E2030" s="2">
        <v>0.66666666666666663</v>
      </c>
      <c r="F2030" t="s">
        <v>52</v>
      </c>
      <c r="G2030" t="s">
        <v>54</v>
      </c>
      <c r="H2030">
        <v>5</v>
      </c>
      <c r="I2030">
        <v>0</v>
      </c>
      <c r="J2030" t="s">
        <v>34</v>
      </c>
      <c r="K2030">
        <v>211</v>
      </c>
      <c r="L2030">
        <v>383</v>
      </c>
      <c r="M2030">
        <v>34</v>
      </c>
      <c r="N2030">
        <v>215</v>
      </c>
      <c r="O2030">
        <v>387</v>
      </c>
      <c r="P2030">
        <v>36</v>
      </c>
      <c r="Q2030">
        <v>205</v>
      </c>
      <c r="R2030">
        <v>369</v>
      </c>
      <c r="S2030">
        <v>327</v>
      </c>
      <c r="T2030" t="s">
        <v>31</v>
      </c>
      <c r="U2030" t="s">
        <v>31</v>
      </c>
      <c r="V2030" t="s">
        <v>31</v>
      </c>
      <c r="W2030" t="s">
        <v>31</v>
      </c>
      <c r="X2030" t="s">
        <v>31</v>
      </c>
      <c r="Y2030" t="s">
        <v>31</v>
      </c>
    </row>
    <row r="2031" spans="1:25" hidden="1">
      <c r="A2031" t="s">
        <v>25</v>
      </c>
      <c r="B2031" t="s">
        <v>26</v>
      </c>
      <c r="C2031" t="s">
        <v>58</v>
      </c>
      <c r="D2031" s="1">
        <v>45053</v>
      </c>
      <c r="E2031" s="2">
        <v>0.5625</v>
      </c>
      <c r="F2031" t="s">
        <v>56</v>
      </c>
      <c r="G2031" t="s">
        <v>50</v>
      </c>
      <c r="H2031">
        <v>1</v>
      </c>
      <c r="I2031">
        <v>1</v>
      </c>
      <c r="J2031" t="s">
        <v>41</v>
      </c>
      <c r="K2031">
        <v>62</v>
      </c>
      <c r="L2031">
        <v>455</v>
      </c>
      <c r="M2031">
        <v>154</v>
      </c>
      <c r="N2031">
        <v>62</v>
      </c>
      <c r="O2031">
        <v>47</v>
      </c>
      <c r="P2031">
        <v>167</v>
      </c>
      <c r="Q2031">
        <v>563</v>
      </c>
      <c r="R2031">
        <v>437</v>
      </c>
      <c r="S2031">
        <v>153</v>
      </c>
      <c r="T2031" t="s">
        <v>31</v>
      </c>
      <c r="U2031" t="s">
        <v>31</v>
      </c>
      <c r="V2031" t="s">
        <v>31</v>
      </c>
      <c r="W2031" t="s">
        <v>31</v>
      </c>
      <c r="X2031" t="s">
        <v>31</v>
      </c>
      <c r="Y2031" t="s">
        <v>31</v>
      </c>
    </row>
    <row r="2032" spans="1:25" hidden="1">
      <c r="A2032" t="s">
        <v>25</v>
      </c>
      <c r="B2032" t="s">
        <v>26</v>
      </c>
      <c r="C2032" t="s">
        <v>58</v>
      </c>
      <c r="D2032" s="1">
        <v>45053</v>
      </c>
      <c r="E2032" s="2">
        <v>0.5625</v>
      </c>
      <c r="F2032" t="s">
        <v>40</v>
      </c>
      <c r="G2032" t="s">
        <v>28</v>
      </c>
      <c r="H2032">
        <v>1</v>
      </c>
      <c r="I2032">
        <v>2</v>
      </c>
      <c r="J2032" t="s">
        <v>30</v>
      </c>
      <c r="K2032">
        <v>401</v>
      </c>
      <c r="L2032">
        <v>407</v>
      </c>
      <c r="M2032">
        <v>187</v>
      </c>
      <c r="N2032">
        <v>416</v>
      </c>
      <c r="O2032">
        <v>412</v>
      </c>
      <c r="P2032">
        <v>189</v>
      </c>
      <c r="Q2032">
        <v>39</v>
      </c>
      <c r="R2032">
        <v>383</v>
      </c>
      <c r="S2032">
        <v>183</v>
      </c>
      <c r="T2032" t="s">
        <v>31</v>
      </c>
      <c r="U2032" t="s">
        <v>31</v>
      </c>
      <c r="V2032" t="s">
        <v>31</v>
      </c>
      <c r="W2032" t="s">
        <v>31</v>
      </c>
      <c r="X2032" t="s">
        <v>31</v>
      </c>
      <c r="Y2032" t="s">
        <v>31</v>
      </c>
    </row>
    <row r="2033" spans="1:25" hidden="1">
      <c r="A2033" t="s">
        <v>25</v>
      </c>
      <c r="B2033" t="s">
        <v>26</v>
      </c>
      <c r="C2033" t="s">
        <v>58</v>
      </c>
      <c r="D2033" s="1">
        <v>45053</v>
      </c>
      <c r="E2033" s="2">
        <v>0.66666666666666663</v>
      </c>
      <c r="F2033" t="s">
        <v>29</v>
      </c>
      <c r="G2033" t="s">
        <v>35</v>
      </c>
      <c r="H2033">
        <v>2</v>
      </c>
      <c r="I2033">
        <v>1</v>
      </c>
      <c r="J2033" t="s">
        <v>34</v>
      </c>
      <c r="K2033">
        <v>147</v>
      </c>
      <c r="L2033">
        <v>486</v>
      </c>
      <c r="M2033">
        <v>684</v>
      </c>
      <c r="N2033">
        <v>15</v>
      </c>
      <c r="O2033">
        <v>49</v>
      </c>
      <c r="P2033">
        <v>684</v>
      </c>
      <c r="Q2033">
        <v>146</v>
      </c>
      <c r="R2033">
        <v>454</v>
      </c>
      <c r="S2033">
        <v>627</v>
      </c>
      <c r="T2033" t="s">
        <v>31</v>
      </c>
      <c r="U2033" t="s">
        <v>31</v>
      </c>
      <c r="V2033" t="s">
        <v>31</v>
      </c>
      <c r="W2033" t="s">
        <v>31</v>
      </c>
      <c r="X2033" t="s">
        <v>31</v>
      </c>
      <c r="Y2033" t="s">
        <v>31</v>
      </c>
    </row>
    <row r="2034" spans="1:25" hidden="1">
      <c r="A2034" t="s">
        <v>25</v>
      </c>
      <c r="B2034" t="s">
        <v>26</v>
      </c>
      <c r="C2034" t="s">
        <v>58</v>
      </c>
      <c r="D2034" s="1">
        <v>45058</v>
      </c>
      <c r="E2034" s="2">
        <v>0.77083333333333337</v>
      </c>
      <c r="F2034" t="s">
        <v>54</v>
      </c>
      <c r="G2034" t="s">
        <v>38</v>
      </c>
      <c r="H2034">
        <v>1</v>
      </c>
      <c r="I2034">
        <v>1</v>
      </c>
      <c r="J2034" t="s">
        <v>41</v>
      </c>
      <c r="K2034">
        <v>229</v>
      </c>
      <c r="L2034">
        <v>367</v>
      </c>
      <c r="M2034">
        <v>313</v>
      </c>
      <c r="N2034">
        <v>23</v>
      </c>
      <c r="O2034">
        <v>373</v>
      </c>
      <c r="P2034">
        <v>313</v>
      </c>
      <c r="Q2034">
        <v>225</v>
      </c>
      <c r="R2034">
        <v>353</v>
      </c>
      <c r="S2034">
        <v>297</v>
      </c>
      <c r="T2034" t="s">
        <v>31</v>
      </c>
      <c r="U2034" t="s">
        <v>31</v>
      </c>
      <c r="V2034" t="s">
        <v>31</v>
      </c>
      <c r="W2034" t="s">
        <v>31</v>
      </c>
      <c r="X2034" t="s">
        <v>31</v>
      </c>
      <c r="Y2034" t="s">
        <v>31</v>
      </c>
    </row>
    <row r="2035" spans="1:25" hidden="1">
      <c r="A2035" t="s">
        <v>25</v>
      </c>
      <c r="B2035" t="s">
        <v>26</v>
      </c>
      <c r="C2035" t="s">
        <v>58</v>
      </c>
      <c r="D2035" s="1">
        <v>45059</v>
      </c>
      <c r="E2035" s="2">
        <v>0.66666666666666663</v>
      </c>
      <c r="F2035" t="s">
        <v>45</v>
      </c>
      <c r="G2035" t="s">
        <v>52</v>
      </c>
      <c r="H2035">
        <v>0</v>
      </c>
      <c r="I2035">
        <v>1</v>
      </c>
      <c r="J2035" t="s">
        <v>30</v>
      </c>
      <c r="K2035">
        <v>382</v>
      </c>
      <c r="L2035">
        <v>368</v>
      </c>
      <c r="M2035">
        <v>202</v>
      </c>
      <c r="N2035">
        <v>388</v>
      </c>
      <c r="O2035">
        <v>369</v>
      </c>
      <c r="P2035">
        <v>206</v>
      </c>
      <c r="Q2035">
        <v>364</v>
      </c>
      <c r="R2035">
        <v>351</v>
      </c>
      <c r="S2035">
        <v>198</v>
      </c>
      <c r="T2035" t="s">
        <v>31</v>
      </c>
      <c r="U2035" t="s">
        <v>31</v>
      </c>
      <c r="V2035" t="s">
        <v>31</v>
      </c>
      <c r="W2035" t="s">
        <v>31</v>
      </c>
      <c r="X2035" t="s">
        <v>31</v>
      </c>
      <c r="Y2035" t="s">
        <v>31</v>
      </c>
    </row>
    <row r="2036" spans="1:25" hidden="1">
      <c r="A2036" t="s">
        <v>25</v>
      </c>
      <c r="B2036" t="s">
        <v>26</v>
      </c>
      <c r="C2036" t="s">
        <v>58</v>
      </c>
      <c r="D2036" s="1">
        <v>45059</v>
      </c>
      <c r="E2036" s="2">
        <v>0.66666666666666663</v>
      </c>
      <c r="F2036" t="s">
        <v>39</v>
      </c>
      <c r="G2036" t="s">
        <v>59</v>
      </c>
      <c r="H2036">
        <v>2</v>
      </c>
      <c r="I2036">
        <v>2</v>
      </c>
      <c r="J2036" t="s">
        <v>41</v>
      </c>
      <c r="K2036">
        <v>196</v>
      </c>
      <c r="L2036">
        <v>382</v>
      </c>
      <c r="M2036">
        <v>39</v>
      </c>
      <c r="N2036">
        <v>2</v>
      </c>
      <c r="O2036">
        <v>382</v>
      </c>
      <c r="P2036">
        <v>39</v>
      </c>
      <c r="Q2036">
        <v>193</v>
      </c>
      <c r="R2036">
        <v>363</v>
      </c>
      <c r="S2036">
        <v>371</v>
      </c>
      <c r="T2036" t="s">
        <v>31</v>
      </c>
      <c r="U2036" t="s">
        <v>31</v>
      </c>
      <c r="V2036" t="s">
        <v>31</v>
      </c>
      <c r="W2036" t="s">
        <v>31</v>
      </c>
      <c r="X2036" t="s">
        <v>31</v>
      </c>
      <c r="Y2036" t="s">
        <v>31</v>
      </c>
    </row>
    <row r="2037" spans="1:25" hidden="1">
      <c r="A2037" t="s">
        <v>25</v>
      </c>
      <c r="B2037" t="s">
        <v>26</v>
      </c>
      <c r="C2037" t="s">
        <v>58</v>
      </c>
      <c r="D2037" s="1">
        <v>45060</v>
      </c>
      <c r="E2037" s="2">
        <v>0.5625</v>
      </c>
      <c r="F2037" t="s">
        <v>50</v>
      </c>
      <c r="G2037" t="s">
        <v>29</v>
      </c>
      <c r="H2037">
        <v>0</v>
      </c>
      <c r="I2037">
        <v>1</v>
      </c>
      <c r="J2037" t="s">
        <v>30</v>
      </c>
      <c r="K2037">
        <v>375</v>
      </c>
      <c r="L2037">
        <v>385</v>
      </c>
      <c r="M2037">
        <v>199</v>
      </c>
      <c r="N2037">
        <v>38</v>
      </c>
      <c r="O2037">
        <v>387</v>
      </c>
      <c r="P2037">
        <v>203</v>
      </c>
      <c r="Q2037">
        <v>356</v>
      </c>
      <c r="R2037">
        <v>368</v>
      </c>
      <c r="S2037">
        <v>195</v>
      </c>
      <c r="T2037" t="s">
        <v>31</v>
      </c>
      <c r="U2037" t="s">
        <v>31</v>
      </c>
      <c r="V2037" t="s">
        <v>31</v>
      </c>
      <c r="W2037" t="s">
        <v>31</v>
      </c>
      <c r="X2037" t="s">
        <v>31</v>
      </c>
      <c r="Y2037" t="s">
        <v>31</v>
      </c>
    </row>
    <row r="2038" spans="1:25" hidden="1">
      <c r="A2038" t="s">
        <v>25</v>
      </c>
      <c r="B2038" t="s">
        <v>26</v>
      </c>
      <c r="C2038" t="s">
        <v>58</v>
      </c>
      <c r="D2038" s="1">
        <v>45060</v>
      </c>
      <c r="E2038" s="2">
        <v>0.5625</v>
      </c>
      <c r="F2038" t="s">
        <v>28</v>
      </c>
      <c r="G2038" t="s">
        <v>56</v>
      </c>
      <c r="H2038">
        <v>4</v>
      </c>
      <c r="I2038">
        <v>1</v>
      </c>
      <c r="J2038" t="s">
        <v>34</v>
      </c>
      <c r="K2038">
        <v>123</v>
      </c>
      <c r="L2038">
        <v>679</v>
      </c>
      <c r="M2038">
        <v>1268</v>
      </c>
      <c r="N2038">
        <v>125</v>
      </c>
      <c r="O2038">
        <v>7</v>
      </c>
      <c r="P2038">
        <v>13</v>
      </c>
      <c r="Q2038">
        <v>122</v>
      </c>
      <c r="R2038">
        <v>632</v>
      </c>
      <c r="S2038">
        <v>1166</v>
      </c>
      <c r="T2038" t="s">
        <v>31</v>
      </c>
      <c r="U2038" t="s">
        <v>31</v>
      </c>
      <c r="V2038" t="s">
        <v>31</v>
      </c>
      <c r="W2038" t="s">
        <v>31</v>
      </c>
      <c r="X2038" t="s">
        <v>31</v>
      </c>
      <c r="Y2038" t="s">
        <v>31</v>
      </c>
    </row>
    <row r="2039" spans="1:25" hidden="1">
      <c r="A2039" t="s">
        <v>25</v>
      </c>
      <c r="B2039" t="s">
        <v>26</v>
      </c>
      <c r="C2039" t="s">
        <v>58</v>
      </c>
      <c r="D2039" s="1">
        <v>45060</v>
      </c>
      <c r="E2039" s="2">
        <v>0.66666666666666663</v>
      </c>
      <c r="F2039" t="s">
        <v>40</v>
      </c>
      <c r="G2039" t="s">
        <v>35</v>
      </c>
      <c r="H2039">
        <v>3</v>
      </c>
      <c r="I2039">
        <v>1</v>
      </c>
      <c r="J2039" t="s">
        <v>34</v>
      </c>
      <c r="K2039">
        <v>257</v>
      </c>
      <c r="L2039">
        <v>377</v>
      </c>
      <c r="M2039">
        <v>268</v>
      </c>
      <c r="N2039">
        <v>265</v>
      </c>
      <c r="O2039">
        <v>377</v>
      </c>
      <c r="P2039">
        <v>291</v>
      </c>
      <c r="Q2039">
        <v>25</v>
      </c>
      <c r="R2039">
        <v>352</v>
      </c>
      <c r="S2039">
        <v>265</v>
      </c>
      <c r="T2039" t="s">
        <v>31</v>
      </c>
      <c r="U2039" t="s">
        <v>31</v>
      </c>
      <c r="V2039" t="s">
        <v>31</v>
      </c>
      <c r="W2039" t="s">
        <v>31</v>
      </c>
      <c r="X2039" t="s">
        <v>31</v>
      </c>
      <c r="Y2039" t="s">
        <v>31</v>
      </c>
    </row>
    <row r="2040" spans="1:25" hidden="1">
      <c r="A2040" t="s">
        <v>25</v>
      </c>
      <c r="B2040" t="s">
        <v>26</v>
      </c>
      <c r="C2040" t="s">
        <v>58</v>
      </c>
      <c r="D2040" s="1">
        <v>45065</v>
      </c>
      <c r="E2040" s="2">
        <v>0.77083333333333337</v>
      </c>
      <c r="F2040" t="s">
        <v>38</v>
      </c>
      <c r="G2040" t="s">
        <v>45</v>
      </c>
      <c r="H2040">
        <v>0</v>
      </c>
      <c r="I2040">
        <v>1</v>
      </c>
      <c r="J2040" t="s">
        <v>30</v>
      </c>
      <c r="K2040">
        <v>192</v>
      </c>
      <c r="L2040">
        <v>367</v>
      </c>
      <c r="M2040">
        <v>423</v>
      </c>
      <c r="N2040">
        <v>2</v>
      </c>
      <c r="O2040">
        <v>381</v>
      </c>
      <c r="P2040">
        <v>423</v>
      </c>
      <c r="Q2040">
        <v>19</v>
      </c>
      <c r="R2040">
        <v>359</v>
      </c>
      <c r="S2040">
        <v>39</v>
      </c>
      <c r="T2040" t="s">
        <v>31</v>
      </c>
      <c r="U2040" t="s">
        <v>31</v>
      </c>
      <c r="V2040" t="s">
        <v>31</v>
      </c>
      <c r="W2040" t="s">
        <v>31</v>
      </c>
      <c r="X2040" t="s">
        <v>31</v>
      </c>
      <c r="Y2040" t="s">
        <v>31</v>
      </c>
    </row>
    <row r="2041" spans="1:25" hidden="1">
      <c r="A2041" t="s">
        <v>25</v>
      </c>
      <c r="B2041" t="s">
        <v>26</v>
      </c>
      <c r="C2041" t="s">
        <v>58</v>
      </c>
      <c r="D2041" s="1">
        <v>45066</v>
      </c>
      <c r="E2041" s="2">
        <v>0.66666666666666663</v>
      </c>
      <c r="F2041" t="s">
        <v>59</v>
      </c>
      <c r="G2041" t="s">
        <v>54</v>
      </c>
      <c r="H2041">
        <v>2</v>
      </c>
      <c r="I2041">
        <v>4</v>
      </c>
      <c r="J2041" t="s">
        <v>30</v>
      </c>
      <c r="K2041">
        <v>293</v>
      </c>
      <c r="L2041">
        <v>367</v>
      </c>
      <c r="M2041">
        <v>241</v>
      </c>
      <c r="N2041">
        <v>297</v>
      </c>
      <c r="O2041">
        <v>371</v>
      </c>
      <c r="P2041">
        <v>265</v>
      </c>
      <c r="Q2041">
        <v>275</v>
      </c>
      <c r="R2041">
        <v>353</v>
      </c>
      <c r="S2041">
        <v>241</v>
      </c>
      <c r="T2041" t="s">
        <v>31</v>
      </c>
      <c r="U2041" t="s">
        <v>31</v>
      </c>
      <c r="V2041" t="s">
        <v>31</v>
      </c>
      <c r="W2041" t="s">
        <v>31</v>
      </c>
      <c r="X2041" t="s">
        <v>31</v>
      </c>
      <c r="Y2041" t="s">
        <v>31</v>
      </c>
    </row>
    <row r="2042" spans="1:25" hidden="1">
      <c r="A2042" t="s">
        <v>25</v>
      </c>
      <c r="B2042" t="s">
        <v>26</v>
      </c>
      <c r="C2042" t="s">
        <v>58</v>
      </c>
      <c r="D2042" s="1">
        <v>45066</v>
      </c>
      <c r="E2042" s="2">
        <v>0.66666666666666663</v>
      </c>
      <c r="F2042" t="s">
        <v>52</v>
      </c>
      <c r="G2042" t="s">
        <v>39</v>
      </c>
      <c r="H2042">
        <v>0</v>
      </c>
      <c r="I2042">
        <v>2</v>
      </c>
      <c r="J2042" t="s">
        <v>30</v>
      </c>
      <c r="K2042">
        <v>193</v>
      </c>
      <c r="L2042">
        <v>373</v>
      </c>
      <c r="M2042">
        <v>413</v>
      </c>
      <c r="N2042">
        <v>205</v>
      </c>
      <c r="O2042">
        <v>387</v>
      </c>
      <c r="P2042">
        <v>413</v>
      </c>
      <c r="Q2042">
        <v>191</v>
      </c>
      <c r="R2042">
        <v>37</v>
      </c>
      <c r="S2042">
        <v>373</v>
      </c>
      <c r="T2042" t="s">
        <v>31</v>
      </c>
      <c r="U2042" t="s">
        <v>31</v>
      </c>
      <c r="V2042" t="s">
        <v>31</v>
      </c>
      <c r="W2042" t="s">
        <v>31</v>
      </c>
      <c r="X2042" t="s">
        <v>31</v>
      </c>
      <c r="Y2042" t="s">
        <v>31</v>
      </c>
    </row>
    <row r="2043" spans="1:25" hidden="1">
      <c r="A2043" t="s">
        <v>25</v>
      </c>
      <c r="B2043" t="s">
        <v>26</v>
      </c>
      <c r="C2043" t="s">
        <v>58</v>
      </c>
      <c r="D2043" s="1">
        <v>45067</v>
      </c>
      <c r="E2043" s="2">
        <v>0.5625</v>
      </c>
      <c r="F2043" t="s">
        <v>56</v>
      </c>
      <c r="G2043" t="s">
        <v>40</v>
      </c>
      <c r="H2043">
        <v>1</v>
      </c>
      <c r="I2043">
        <v>1</v>
      </c>
      <c r="J2043" t="s">
        <v>41</v>
      </c>
      <c r="K2043">
        <v>52</v>
      </c>
      <c r="L2043">
        <v>457</v>
      </c>
      <c r="M2043">
        <v>161</v>
      </c>
      <c r="N2043">
        <v>525</v>
      </c>
      <c r="O2043">
        <v>46</v>
      </c>
      <c r="P2043">
        <v>162</v>
      </c>
      <c r="Q2043">
        <v>494</v>
      </c>
      <c r="R2043">
        <v>437</v>
      </c>
      <c r="S2043">
        <v>158</v>
      </c>
      <c r="T2043" t="s">
        <v>31</v>
      </c>
      <c r="U2043" t="s">
        <v>31</v>
      </c>
      <c r="V2043" t="s">
        <v>31</v>
      </c>
      <c r="W2043" t="s">
        <v>31</v>
      </c>
      <c r="X2043" t="s">
        <v>31</v>
      </c>
      <c r="Y2043" t="s">
        <v>31</v>
      </c>
    </row>
    <row r="2044" spans="1:25" hidden="1">
      <c r="A2044" t="s">
        <v>25</v>
      </c>
      <c r="B2044" t="s">
        <v>26</v>
      </c>
      <c r="C2044" t="s">
        <v>58</v>
      </c>
      <c r="D2044" s="1">
        <v>45067</v>
      </c>
      <c r="E2044" s="2">
        <v>0.5625</v>
      </c>
      <c r="F2044" t="s">
        <v>35</v>
      </c>
      <c r="G2044" t="s">
        <v>50</v>
      </c>
      <c r="H2044">
        <v>1</v>
      </c>
      <c r="I2044">
        <v>1</v>
      </c>
      <c r="J2044" t="s">
        <v>41</v>
      </c>
      <c r="K2044">
        <v>27</v>
      </c>
      <c r="L2044">
        <v>378</v>
      </c>
      <c r="M2044">
        <v>255</v>
      </c>
      <c r="N2044">
        <v>27</v>
      </c>
      <c r="O2044">
        <v>378</v>
      </c>
      <c r="P2044">
        <v>266</v>
      </c>
      <c r="Q2044">
        <v>257</v>
      </c>
      <c r="R2044">
        <v>357</v>
      </c>
      <c r="S2044">
        <v>254</v>
      </c>
      <c r="T2044" t="s">
        <v>31</v>
      </c>
      <c r="U2044" t="s">
        <v>31</v>
      </c>
      <c r="V2044" t="s">
        <v>31</v>
      </c>
      <c r="W2044" t="s">
        <v>31</v>
      </c>
      <c r="X2044" t="s">
        <v>31</v>
      </c>
      <c r="Y2044" t="s">
        <v>31</v>
      </c>
    </row>
    <row r="2045" spans="1:25" hidden="1">
      <c r="A2045" t="s">
        <v>25</v>
      </c>
      <c r="B2045" t="s">
        <v>26</v>
      </c>
      <c r="C2045" t="s">
        <v>58</v>
      </c>
      <c r="D2045" s="1">
        <v>45067</v>
      </c>
      <c r="E2045" s="2">
        <v>0.66666666666666663</v>
      </c>
      <c r="F2045" t="s">
        <v>29</v>
      </c>
      <c r="G2045" t="s">
        <v>28</v>
      </c>
      <c r="H2045">
        <v>2</v>
      </c>
      <c r="I2045">
        <v>1</v>
      </c>
      <c r="J2045" t="s">
        <v>34</v>
      </c>
      <c r="K2045">
        <v>2</v>
      </c>
      <c r="L2045">
        <v>359</v>
      </c>
      <c r="M2045">
        <v>399</v>
      </c>
      <c r="N2045">
        <v>23</v>
      </c>
      <c r="O2045">
        <v>364</v>
      </c>
      <c r="P2045">
        <v>404</v>
      </c>
      <c r="Q2045">
        <v>204</v>
      </c>
      <c r="R2045">
        <v>342</v>
      </c>
      <c r="S2045">
        <v>357</v>
      </c>
      <c r="T2045" t="s">
        <v>31</v>
      </c>
      <c r="U2045" t="s">
        <v>31</v>
      </c>
      <c r="V2045" t="s">
        <v>31</v>
      </c>
      <c r="W2045" t="s">
        <v>31</v>
      </c>
      <c r="X2045" t="s">
        <v>31</v>
      </c>
      <c r="Y2045" t="s">
        <v>31</v>
      </c>
    </row>
    <row r="2046" spans="1:25" hidden="1">
      <c r="A2046" t="s">
        <v>25</v>
      </c>
      <c r="B2046" t="s">
        <v>26</v>
      </c>
      <c r="C2046" t="s">
        <v>58</v>
      </c>
      <c r="D2046" s="1">
        <v>45073</v>
      </c>
      <c r="E2046" s="2">
        <v>0.66666666666666663</v>
      </c>
      <c r="F2046" t="s">
        <v>45</v>
      </c>
      <c r="G2046" t="s">
        <v>59</v>
      </c>
      <c r="H2046">
        <v>1</v>
      </c>
      <c r="I2046">
        <v>1</v>
      </c>
      <c r="J2046" t="s">
        <v>41</v>
      </c>
      <c r="K2046">
        <v>268</v>
      </c>
      <c r="L2046">
        <v>339</v>
      </c>
      <c r="M2046">
        <v>279</v>
      </c>
      <c r="N2046">
        <v>268</v>
      </c>
      <c r="O2046">
        <v>367</v>
      </c>
      <c r="P2046">
        <v>295</v>
      </c>
      <c r="Q2046">
        <v>255</v>
      </c>
      <c r="R2046">
        <v>331</v>
      </c>
      <c r="S2046">
        <v>27</v>
      </c>
      <c r="T2046" t="s">
        <v>31</v>
      </c>
      <c r="U2046" t="s">
        <v>31</v>
      </c>
      <c r="V2046" t="s">
        <v>31</v>
      </c>
      <c r="W2046" t="s">
        <v>31</v>
      </c>
      <c r="X2046" t="s">
        <v>31</v>
      </c>
      <c r="Y2046" t="s">
        <v>31</v>
      </c>
    </row>
    <row r="2047" spans="1:25" hidden="1">
      <c r="A2047" t="s">
        <v>25</v>
      </c>
      <c r="B2047" t="s">
        <v>26</v>
      </c>
      <c r="C2047" t="s">
        <v>58</v>
      </c>
      <c r="D2047" s="1">
        <v>45073</v>
      </c>
      <c r="E2047" s="2">
        <v>0.66666666666666663</v>
      </c>
      <c r="F2047" t="s">
        <v>52</v>
      </c>
      <c r="G2047" t="s">
        <v>38</v>
      </c>
      <c r="H2047">
        <v>2</v>
      </c>
      <c r="I2047">
        <v>0</v>
      </c>
      <c r="J2047" t="s">
        <v>34</v>
      </c>
      <c r="K2047">
        <v>187</v>
      </c>
      <c r="L2047">
        <v>414</v>
      </c>
      <c r="M2047">
        <v>394</v>
      </c>
      <c r="N2047">
        <v>188</v>
      </c>
      <c r="O2047">
        <v>42</v>
      </c>
      <c r="P2047">
        <v>404</v>
      </c>
      <c r="Q2047">
        <v>182</v>
      </c>
      <c r="R2047">
        <v>394</v>
      </c>
      <c r="S2047">
        <v>384</v>
      </c>
      <c r="T2047" t="s">
        <v>31</v>
      </c>
      <c r="U2047" t="s">
        <v>31</v>
      </c>
      <c r="V2047" t="s">
        <v>31</v>
      </c>
      <c r="W2047" t="s">
        <v>31</v>
      </c>
      <c r="X2047" t="s">
        <v>31</v>
      </c>
      <c r="Y2047" t="s">
        <v>31</v>
      </c>
    </row>
    <row r="2048" spans="1:25" hidden="1">
      <c r="A2048" t="s">
        <v>25</v>
      </c>
      <c r="B2048" t="s">
        <v>26</v>
      </c>
      <c r="C2048" t="s">
        <v>58</v>
      </c>
      <c r="D2048" s="1">
        <v>45073</v>
      </c>
      <c r="E2048" s="2">
        <v>0.66666666666666663</v>
      </c>
      <c r="F2048" t="s">
        <v>39</v>
      </c>
      <c r="G2048" t="s">
        <v>54</v>
      </c>
      <c r="H2048">
        <v>2</v>
      </c>
      <c r="I2048">
        <v>0</v>
      </c>
      <c r="J2048" t="s">
        <v>34</v>
      </c>
      <c r="K2048">
        <v>218</v>
      </c>
      <c r="L2048">
        <v>376</v>
      </c>
      <c r="M2048">
        <v>33</v>
      </c>
      <c r="N2048">
        <v>219</v>
      </c>
      <c r="O2048">
        <v>383</v>
      </c>
      <c r="P2048">
        <v>337</v>
      </c>
      <c r="Q2048">
        <v>211</v>
      </c>
      <c r="R2048">
        <v>362</v>
      </c>
      <c r="S2048">
        <v>315</v>
      </c>
      <c r="T2048" t="s">
        <v>31</v>
      </c>
      <c r="U2048" t="s">
        <v>31</v>
      </c>
      <c r="V2048" t="s">
        <v>31</v>
      </c>
      <c r="W2048" t="s">
        <v>31</v>
      </c>
      <c r="X2048" t="s">
        <v>31</v>
      </c>
      <c r="Y2048" t="s">
        <v>31</v>
      </c>
    </row>
    <row r="2049" spans="1:25" hidden="1">
      <c r="A2049" t="s">
        <v>25</v>
      </c>
      <c r="B2049" t="s">
        <v>26</v>
      </c>
      <c r="C2049" t="s">
        <v>58</v>
      </c>
      <c r="D2049" s="1">
        <v>45074</v>
      </c>
      <c r="E2049" s="2">
        <v>0.66666666666666663</v>
      </c>
      <c r="F2049" t="s">
        <v>50</v>
      </c>
      <c r="G2049" t="s">
        <v>40</v>
      </c>
      <c r="H2049">
        <v>3</v>
      </c>
      <c r="I2049">
        <v>1</v>
      </c>
      <c r="J2049" t="s">
        <v>34</v>
      </c>
      <c r="K2049">
        <v>223</v>
      </c>
      <c r="L2049">
        <v>396</v>
      </c>
      <c r="M2049">
        <v>306</v>
      </c>
      <c r="N2049">
        <v>223</v>
      </c>
      <c r="O2049">
        <v>396</v>
      </c>
      <c r="P2049">
        <v>333</v>
      </c>
      <c r="Q2049">
        <v>215</v>
      </c>
      <c r="R2049">
        <v>377</v>
      </c>
      <c r="S2049">
        <v>301</v>
      </c>
      <c r="T2049" t="s">
        <v>31</v>
      </c>
      <c r="U2049" t="s">
        <v>31</v>
      </c>
      <c r="V2049" t="s">
        <v>31</v>
      </c>
      <c r="W2049" t="s">
        <v>31</v>
      </c>
      <c r="X2049" t="s">
        <v>31</v>
      </c>
      <c r="Y2049" t="s">
        <v>31</v>
      </c>
    </row>
    <row r="2050" spans="1:25" hidden="1">
      <c r="A2050" t="s">
        <v>25</v>
      </c>
      <c r="B2050" t="s">
        <v>26</v>
      </c>
      <c r="C2050" t="s">
        <v>58</v>
      </c>
      <c r="D2050" s="1">
        <v>45074</v>
      </c>
      <c r="E2050" s="2">
        <v>0.66666666666666663</v>
      </c>
      <c r="F2050" t="s">
        <v>35</v>
      </c>
      <c r="G2050" t="s">
        <v>28</v>
      </c>
      <c r="H2050">
        <v>3</v>
      </c>
      <c r="I2050">
        <v>2</v>
      </c>
      <c r="J2050" t="s">
        <v>34</v>
      </c>
      <c r="K2050">
        <v>358</v>
      </c>
      <c r="L2050">
        <v>389</v>
      </c>
      <c r="M2050">
        <v>203</v>
      </c>
      <c r="N2050">
        <v>367</v>
      </c>
      <c r="O2050">
        <v>389</v>
      </c>
      <c r="P2050">
        <v>22</v>
      </c>
      <c r="Q2050">
        <v>337</v>
      </c>
      <c r="R2050">
        <v>367</v>
      </c>
      <c r="S2050">
        <v>202</v>
      </c>
      <c r="T2050" t="s">
        <v>31</v>
      </c>
      <c r="U2050" t="s">
        <v>31</v>
      </c>
      <c r="V2050" t="s">
        <v>31</v>
      </c>
      <c r="W2050" t="s">
        <v>31</v>
      </c>
      <c r="X2050" t="s">
        <v>31</v>
      </c>
      <c r="Y2050" t="s">
        <v>31</v>
      </c>
    </row>
    <row r="2051" spans="1:25" hidden="1">
      <c r="A2051" t="s">
        <v>25</v>
      </c>
      <c r="B2051" t="s">
        <v>26</v>
      </c>
      <c r="C2051" t="s">
        <v>58</v>
      </c>
      <c r="D2051" s="1">
        <v>45074</v>
      </c>
      <c r="E2051" s="2">
        <v>0.66666666666666663</v>
      </c>
      <c r="F2051" t="s">
        <v>29</v>
      </c>
      <c r="G2051" t="s">
        <v>56</v>
      </c>
      <c r="H2051">
        <v>3</v>
      </c>
      <c r="I2051">
        <v>2</v>
      </c>
      <c r="J2051" t="s">
        <v>34</v>
      </c>
      <c r="K2051">
        <v>118</v>
      </c>
      <c r="L2051">
        <v>888</v>
      </c>
      <c r="M2051">
        <v>1363</v>
      </c>
      <c r="N2051">
        <v>122</v>
      </c>
      <c r="O2051">
        <v>89</v>
      </c>
      <c r="P2051">
        <v>17</v>
      </c>
      <c r="Q2051">
        <v>117</v>
      </c>
      <c r="R2051">
        <v>771</v>
      </c>
      <c r="S2051">
        <v>1309</v>
      </c>
      <c r="T2051" t="s">
        <v>31</v>
      </c>
      <c r="U2051" t="s">
        <v>31</v>
      </c>
      <c r="V2051" t="s">
        <v>31</v>
      </c>
      <c r="W2051" t="s">
        <v>31</v>
      </c>
      <c r="X2051" t="s">
        <v>31</v>
      </c>
      <c r="Y2051" t="s">
        <v>31</v>
      </c>
    </row>
    <row r="2052" spans="1:25" hidden="1">
      <c r="A2052" t="s">
        <v>25</v>
      </c>
      <c r="B2052" t="s">
        <v>26</v>
      </c>
      <c r="C2052" t="s">
        <v>58</v>
      </c>
      <c r="D2052" s="1">
        <v>45079</v>
      </c>
      <c r="E2052" s="2">
        <v>0.77083333333333337</v>
      </c>
      <c r="F2052" t="s">
        <v>59</v>
      </c>
      <c r="G2052" t="s">
        <v>52</v>
      </c>
      <c r="H2052">
        <v>5</v>
      </c>
      <c r="I2052">
        <v>1</v>
      </c>
      <c r="J2052" t="s">
        <v>34</v>
      </c>
      <c r="K2052">
        <v>372</v>
      </c>
      <c r="L2052">
        <v>378</v>
      </c>
      <c r="M2052">
        <v>202</v>
      </c>
      <c r="N2052">
        <v>383</v>
      </c>
      <c r="O2052">
        <v>393</v>
      </c>
      <c r="P2052">
        <v>205</v>
      </c>
      <c r="Q2052">
        <v>355</v>
      </c>
      <c r="R2052">
        <v>371</v>
      </c>
      <c r="S2052">
        <v>195</v>
      </c>
      <c r="T2052" t="s">
        <v>31</v>
      </c>
      <c r="U2052" t="s">
        <v>31</v>
      </c>
      <c r="V2052" t="s">
        <v>31</v>
      </c>
      <c r="W2052" t="s">
        <v>31</v>
      </c>
      <c r="X2052" t="s">
        <v>31</v>
      </c>
      <c r="Y2052" t="s">
        <v>31</v>
      </c>
    </row>
    <row r="2053" spans="1:25" hidden="1">
      <c r="A2053" t="s">
        <v>25</v>
      </c>
      <c r="B2053" t="s">
        <v>26</v>
      </c>
      <c r="C2053" t="s">
        <v>58</v>
      </c>
      <c r="D2053" s="1">
        <v>45079</v>
      </c>
      <c r="E2053" s="2">
        <v>0.77083333333333337</v>
      </c>
      <c r="F2053" t="s">
        <v>38</v>
      </c>
      <c r="G2053" t="s">
        <v>39</v>
      </c>
      <c r="H2053">
        <v>1</v>
      </c>
      <c r="I2053">
        <v>2</v>
      </c>
      <c r="J2053" t="s">
        <v>30</v>
      </c>
      <c r="K2053">
        <v>294</v>
      </c>
      <c r="L2053">
        <v>37</v>
      </c>
      <c r="M2053">
        <v>239</v>
      </c>
      <c r="N2053">
        <v>301</v>
      </c>
      <c r="O2053">
        <v>387</v>
      </c>
      <c r="P2053">
        <v>241</v>
      </c>
      <c r="Q2053">
        <v>288</v>
      </c>
      <c r="R2053">
        <v>359</v>
      </c>
      <c r="S2053">
        <v>228</v>
      </c>
      <c r="T2053" t="s">
        <v>31</v>
      </c>
      <c r="U2053" t="s">
        <v>31</v>
      </c>
      <c r="V2053" t="s">
        <v>31</v>
      </c>
      <c r="W2053" t="s">
        <v>31</v>
      </c>
      <c r="X2053" t="s">
        <v>31</v>
      </c>
      <c r="Y2053" t="s">
        <v>31</v>
      </c>
    </row>
    <row r="2054" spans="1:25" hidden="1">
      <c r="A2054" t="s">
        <v>25</v>
      </c>
      <c r="B2054" t="s">
        <v>26</v>
      </c>
      <c r="C2054" t="s">
        <v>58</v>
      </c>
      <c r="D2054" s="1">
        <v>45079</v>
      </c>
      <c r="E2054" s="2">
        <v>0.77083333333333337</v>
      </c>
      <c r="F2054" t="s">
        <v>54</v>
      </c>
      <c r="G2054" t="s">
        <v>45</v>
      </c>
      <c r="H2054">
        <v>1</v>
      </c>
      <c r="I2054">
        <v>1</v>
      </c>
      <c r="J2054" t="s">
        <v>41</v>
      </c>
      <c r="K2054">
        <v>198</v>
      </c>
      <c r="L2054">
        <v>4</v>
      </c>
      <c r="M2054">
        <v>366</v>
      </c>
      <c r="N2054">
        <v>199</v>
      </c>
      <c r="O2054">
        <v>41</v>
      </c>
      <c r="P2054">
        <v>386</v>
      </c>
      <c r="Q2054">
        <v>193</v>
      </c>
      <c r="R2054">
        <v>387</v>
      </c>
      <c r="S2054">
        <v>348</v>
      </c>
      <c r="T2054" t="s">
        <v>31</v>
      </c>
      <c r="U2054" t="s">
        <v>31</v>
      </c>
      <c r="V2054" t="s">
        <v>31</v>
      </c>
      <c r="W2054" t="s">
        <v>31</v>
      </c>
      <c r="X2054" t="s">
        <v>31</v>
      </c>
      <c r="Y2054" t="s">
        <v>31</v>
      </c>
    </row>
    <row r="2055" spans="1:25" hidden="1">
      <c r="A2055" t="s">
        <v>25</v>
      </c>
      <c r="B2055" t="s">
        <v>26</v>
      </c>
      <c r="C2055" t="s">
        <v>58</v>
      </c>
      <c r="D2055" s="1">
        <v>45080</v>
      </c>
      <c r="E2055" s="2">
        <v>0.66666666666666663</v>
      </c>
      <c r="F2055" t="s">
        <v>56</v>
      </c>
      <c r="G2055" t="s">
        <v>35</v>
      </c>
      <c r="H2055">
        <v>2</v>
      </c>
      <c r="I2055">
        <v>1</v>
      </c>
      <c r="J2055" t="s">
        <v>34</v>
      </c>
      <c r="K2055">
        <v>463</v>
      </c>
      <c r="L2055">
        <v>411</v>
      </c>
      <c r="M2055">
        <v>175</v>
      </c>
      <c r="N2055">
        <v>475</v>
      </c>
      <c r="O2055">
        <v>429</v>
      </c>
      <c r="P2055">
        <v>182</v>
      </c>
      <c r="Q2055">
        <v>412</v>
      </c>
      <c r="R2055">
        <v>397</v>
      </c>
      <c r="S2055">
        <v>176</v>
      </c>
      <c r="T2055" t="s">
        <v>31</v>
      </c>
      <c r="U2055" t="s">
        <v>31</v>
      </c>
      <c r="V2055" t="s">
        <v>31</v>
      </c>
      <c r="W2055" t="s">
        <v>31</v>
      </c>
      <c r="X2055" t="s">
        <v>31</v>
      </c>
      <c r="Y2055" t="s">
        <v>31</v>
      </c>
    </row>
    <row r="2056" spans="1:25" hidden="1">
      <c r="A2056" t="s">
        <v>25</v>
      </c>
      <c r="B2056" t="s">
        <v>26</v>
      </c>
      <c r="C2056" t="s">
        <v>58</v>
      </c>
      <c r="D2056" s="1">
        <v>45080</v>
      </c>
      <c r="E2056" s="2">
        <v>0.66666666666666663</v>
      </c>
      <c r="F2056" t="s">
        <v>40</v>
      </c>
      <c r="G2056" t="s">
        <v>29</v>
      </c>
      <c r="H2056">
        <v>1</v>
      </c>
      <c r="I2056">
        <v>1</v>
      </c>
      <c r="J2056" t="s">
        <v>41</v>
      </c>
      <c r="K2056">
        <v>346</v>
      </c>
      <c r="L2056">
        <v>395</v>
      </c>
      <c r="M2056">
        <v>206</v>
      </c>
      <c r="N2056">
        <v>412</v>
      </c>
      <c r="O2056">
        <v>421</v>
      </c>
      <c r="P2056">
        <v>206</v>
      </c>
      <c r="Q2056">
        <v>348</v>
      </c>
      <c r="R2056">
        <v>387</v>
      </c>
      <c r="S2056">
        <v>193</v>
      </c>
      <c r="T2056" t="s">
        <v>31</v>
      </c>
      <c r="U2056" t="s">
        <v>31</v>
      </c>
      <c r="V2056" t="s">
        <v>31</v>
      </c>
      <c r="W2056" t="s">
        <v>31</v>
      </c>
      <c r="X2056" t="s">
        <v>31</v>
      </c>
      <c r="Y2056" t="s">
        <v>31</v>
      </c>
    </row>
    <row r="2057" spans="1:25" hidden="1">
      <c r="A2057" t="s">
        <v>25</v>
      </c>
      <c r="B2057" t="s">
        <v>26</v>
      </c>
      <c r="C2057" t="s">
        <v>58</v>
      </c>
      <c r="D2057" s="1">
        <v>45080</v>
      </c>
      <c r="E2057" s="2">
        <v>0.66666666666666663</v>
      </c>
      <c r="F2057" t="s">
        <v>28</v>
      </c>
      <c r="G2057" t="s">
        <v>50</v>
      </c>
      <c r="H2057">
        <v>2</v>
      </c>
      <c r="I2057">
        <v>0</v>
      </c>
      <c r="J2057" t="s">
        <v>34</v>
      </c>
      <c r="K2057">
        <v>174</v>
      </c>
      <c r="L2057">
        <v>447</v>
      </c>
      <c r="M2057">
        <v>434</v>
      </c>
      <c r="N2057">
        <v>181</v>
      </c>
      <c r="O2057">
        <v>46</v>
      </c>
      <c r="P2057">
        <v>454</v>
      </c>
      <c r="Q2057">
        <v>17</v>
      </c>
      <c r="R2057">
        <v>424</v>
      </c>
      <c r="S2057">
        <v>415</v>
      </c>
      <c r="T2057" t="s">
        <v>31</v>
      </c>
      <c r="U2057" t="s">
        <v>31</v>
      </c>
      <c r="V2057" t="s">
        <v>31</v>
      </c>
      <c r="W2057" t="s">
        <v>31</v>
      </c>
      <c r="X2057" t="s">
        <v>31</v>
      </c>
      <c r="Y2057" t="s">
        <v>31</v>
      </c>
    </row>
    <row r="2058" spans="1:25" hidden="1">
      <c r="A2058" t="s">
        <v>25</v>
      </c>
      <c r="B2058" t="s">
        <v>26</v>
      </c>
      <c r="C2058" t="s">
        <v>58</v>
      </c>
      <c r="D2058" s="1">
        <v>45082</v>
      </c>
      <c r="E2058" s="2">
        <v>0.75</v>
      </c>
      <c r="F2058" t="s">
        <v>39</v>
      </c>
      <c r="G2058" t="s">
        <v>59</v>
      </c>
      <c r="H2058">
        <v>1</v>
      </c>
      <c r="I2058">
        <v>2</v>
      </c>
      <c r="J2058" t="s">
        <v>30</v>
      </c>
      <c r="K2058">
        <v>208</v>
      </c>
      <c r="L2058">
        <v>374</v>
      </c>
      <c r="M2058">
        <v>357</v>
      </c>
      <c r="N2058">
        <v>213</v>
      </c>
      <c r="O2058">
        <v>378</v>
      </c>
      <c r="P2058">
        <v>4</v>
      </c>
      <c r="Q2058">
        <v>2</v>
      </c>
      <c r="R2058">
        <v>356</v>
      </c>
      <c r="S2058">
        <v>352</v>
      </c>
      <c r="T2058" t="s">
        <v>31</v>
      </c>
      <c r="U2058" t="s">
        <v>31</v>
      </c>
      <c r="V2058" t="s">
        <v>31</v>
      </c>
      <c r="W2058" t="s">
        <v>31</v>
      </c>
      <c r="X2058" t="s">
        <v>31</v>
      </c>
      <c r="Y2058" t="s">
        <v>31</v>
      </c>
    </row>
    <row r="2059" spans="1:25" hidden="1">
      <c r="A2059" t="s">
        <v>25</v>
      </c>
      <c r="B2059" t="s">
        <v>26</v>
      </c>
      <c r="C2059" t="s">
        <v>58</v>
      </c>
      <c r="D2059" s="1">
        <v>45085</v>
      </c>
      <c r="E2059" s="2">
        <v>0.66666666666666663</v>
      </c>
      <c r="F2059" t="s">
        <v>59</v>
      </c>
      <c r="G2059" t="s">
        <v>40</v>
      </c>
      <c r="H2059">
        <v>1</v>
      </c>
      <c r="I2059">
        <v>1</v>
      </c>
      <c r="J2059" t="s">
        <v>41</v>
      </c>
      <c r="K2059">
        <v>449</v>
      </c>
      <c r="L2059">
        <v>405</v>
      </c>
      <c r="M2059">
        <v>179</v>
      </c>
      <c r="N2059">
        <v>449</v>
      </c>
      <c r="O2059">
        <v>564</v>
      </c>
      <c r="P2059">
        <v>183</v>
      </c>
      <c r="Q2059">
        <v>412</v>
      </c>
      <c r="R2059">
        <v>4</v>
      </c>
      <c r="S2059">
        <v>175</v>
      </c>
      <c r="T2059" t="s">
        <v>31</v>
      </c>
      <c r="U2059" t="s">
        <v>31</v>
      </c>
      <c r="V2059" t="s">
        <v>31</v>
      </c>
      <c r="W2059" t="s">
        <v>31</v>
      </c>
      <c r="X2059" t="s">
        <v>31</v>
      </c>
      <c r="Y2059" t="s">
        <v>31</v>
      </c>
    </row>
    <row r="2060" spans="1:25" hidden="1">
      <c r="A2060" t="s">
        <v>25</v>
      </c>
      <c r="B2060" t="s">
        <v>26</v>
      </c>
      <c r="C2060" t="s">
        <v>58</v>
      </c>
      <c r="D2060" s="1">
        <v>45088</v>
      </c>
      <c r="E2060" s="2">
        <v>0.66666666666666663</v>
      </c>
      <c r="F2060" t="s">
        <v>40</v>
      </c>
      <c r="G2060" t="s">
        <v>59</v>
      </c>
      <c r="H2060">
        <v>5</v>
      </c>
      <c r="I2060">
        <v>0</v>
      </c>
      <c r="J2060" t="s">
        <v>34</v>
      </c>
      <c r="K2060">
        <v>154</v>
      </c>
      <c r="L2060">
        <v>466</v>
      </c>
      <c r="M2060">
        <v>593</v>
      </c>
      <c r="N2060">
        <v>154</v>
      </c>
      <c r="O2060">
        <v>482</v>
      </c>
      <c r="P2060">
        <v>652</v>
      </c>
      <c r="Q2060">
        <v>149</v>
      </c>
      <c r="R2060">
        <v>445</v>
      </c>
      <c r="S2060">
        <v>583</v>
      </c>
      <c r="T2060" t="s">
        <v>31</v>
      </c>
      <c r="U2060" t="s">
        <v>31</v>
      </c>
      <c r="V2060" t="s">
        <v>31</v>
      </c>
      <c r="W2060" t="s">
        <v>31</v>
      </c>
      <c r="X2060" t="s">
        <v>31</v>
      </c>
      <c r="Y2060" t="s">
        <v>31</v>
      </c>
    </row>
    <row r="2061" spans="1:25" hidden="1">
      <c r="A2061" t="s">
        <v>25</v>
      </c>
      <c r="B2061" t="s">
        <v>26</v>
      </c>
      <c r="C2061" t="s">
        <v>60</v>
      </c>
      <c r="D2061" s="1">
        <v>45135</v>
      </c>
      <c r="E2061" s="2">
        <v>0.8125</v>
      </c>
      <c r="F2061" t="s">
        <v>50</v>
      </c>
      <c r="G2061" t="s">
        <v>35</v>
      </c>
      <c r="H2061">
        <v>1</v>
      </c>
      <c r="I2061">
        <v>1</v>
      </c>
      <c r="J2061" t="s">
        <v>41</v>
      </c>
      <c r="K2061">
        <v>187</v>
      </c>
      <c r="L2061">
        <v>4</v>
      </c>
      <c r="M2061">
        <v>409</v>
      </c>
      <c r="N2061">
        <v>204</v>
      </c>
      <c r="O2061">
        <v>405</v>
      </c>
      <c r="P2061">
        <v>434</v>
      </c>
      <c r="Q2061">
        <v>188</v>
      </c>
      <c r="R2061">
        <v>38</v>
      </c>
      <c r="S2061">
        <v>375</v>
      </c>
      <c r="T2061" t="s">
        <v>31</v>
      </c>
      <c r="U2061" t="s">
        <v>31</v>
      </c>
      <c r="V2061" t="s">
        <v>31</v>
      </c>
      <c r="W2061" t="s">
        <v>31</v>
      </c>
      <c r="X2061" t="s">
        <v>31</v>
      </c>
      <c r="Y2061" t="s">
        <v>31</v>
      </c>
    </row>
    <row r="2062" spans="1:25" hidden="1">
      <c r="A2062" t="s">
        <v>25</v>
      </c>
      <c r="B2062" t="s">
        <v>26</v>
      </c>
      <c r="C2062" t="s">
        <v>60</v>
      </c>
      <c r="D2062" s="1">
        <v>45136</v>
      </c>
      <c r="E2062" s="2">
        <v>0.66666666666666663</v>
      </c>
      <c r="F2062" t="s">
        <v>52</v>
      </c>
      <c r="G2062" t="s">
        <v>59</v>
      </c>
      <c r="H2062">
        <v>2</v>
      </c>
      <c r="I2062">
        <v>2</v>
      </c>
      <c r="J2062" t="s">
        <v>41</v>
      </c>
      <c r="K2062">
        <v>193</v>
      </c>
      <c r="L2062">
        <v>381</v>
      </c>
      <c r="M2062">
        <v>405</v>
      </c>
      <c r="N2062">
        <v>197</v>
      </c>
      <c r="O2062">
        <v>385</v>
      </c>
      <c r="P2062">
        <v>453</v>
      </c>
      <c r="Q2062">
        <v>187</v>
      </c>
      <c r="R2062">
        <v>37</v>
      </c>
      <c r="S2062">
        <v>387</v>
      </c>
      <c r="T2062" t="s">
        <v>31</v>
      </c>
      <c r="U2062" t="s">
        <v>31</v>
      </c>
      <c r="V2062" t="s">
        <v>31</v>
      </c>
      <c r="W2062" t="s">
        <v>31</v>
      </c>
      <c r="X2062" t="s">
        <v>31</v>
      </c>
      <c r="Y2062" t="s">
        <v>31</v>
      </c>
    </row>
    <row r="2063" spans="1:25" hidden="1">
      <c r="A2063" t="s">
        <v>25</v>
      </c>
      <c r="B2063" t="s">
        <v>26</v>
      </c>
      <c r="C2063" t="s">
        <v>60</v>
      </c>
      <c r="D2063" s="1">
        <v>45136</v>
      </c>
      <c r="E2063" s="2">
        <v>0.66666666666666663</v>
      </c>
      <c r="F2063" t="s">
        <v>54</v>
      </c>
      <c r="G2063" t="s">
        <v>56</v>
      </c>
      <c r="H2063">
        <v>1</v>
      </c>
      <c r="I2063">
        <v>3</v>
      </c>
      <c r="J2063" t="s">
        <v>30</v>
      </c>
      <c r="K2063">
        <v>237</v>
      </c>
      <c r="L2063">
        <v>381</v>
      </c>
      <c r="M2063">
        <v>292</v>
      </c>
      <c r="N2063">
        <v>242</v>
      </c>
      <c r="O2063">
        <v>381</v>
      </c>
      <c r="P2063">
        <v>292</v>
      </c>
      <c r="Q2063">
        <v>233</v>
      </c>
      <c r="R2063">
        <v>36</v>
      </c>
      <c r="S2063">
        <v>279</v>
      </c>
      <c r="T2063" t="s">
        <v>31</v>
      </c>
      <c r="U2063" t="s">
        <v>31</v>
      </c>
      <c r="V2063" t="s">
        <v>31</v>
      </c>
      <c r="W2063" t="s">
        <v>31</v>
      </c>
      <c r="X2063" t="s">
        <v>31</v>
      </c>
      <c r="Y2063" t="s">
        <v>31</v>
      </c>
    </row>
    <row r="2064" spans="1:25" hidden="1">
      <c r="A2064" t="s">
        <v>25</v>
      </c>
      <c r="B2064" t="s">
        <v>26</v>
      </c>
      <c r="C2064" t="s">
        <v>60</v>
      </c>
      <c r="D2064" s="1">
        <v>45136</v>
      </c>
      <c r="E2064" s="2">
        <v>0.66666666666666663</v>
      </c>
      <c r="F2064" t="s">
        <v>39</v>
      </c>
      <c r="G2064" t="s">
        <v>61</v>
      </c>
      <c r="H2064">
        <v>2</v>
      </c>
      <c r="I2064">
        <v>1</v>
      </c>
      <c r="J2064" t="s">
        <v>34</v>
      </c>
      <c r="K2064">
        <v>225</v>
      </c>
      <c r="L2064">
        <v>359</v>
      </c>
      <c r="M2064">
        <v>328</v>
      </c>
      <c r="N2064">
        <v>23</v>
      </c>
      <c r="O2064">
        <v>365</v>
      </c>
      <c r="P2064">
        <v>352</v>
      </c>
      <c r="Q2064">
        <v>223</v>
      </c>
      <c r="R2064">
        <v>34</v>
      </c>
      <c r="S2064">
        <v>31</v>
      </c>
      <c r="T2064" t="s">
        <v>31</v>
      </c>
      <c r="U2064" t="s">
        <v>31</v>
      </c>
      <c r="V2064" t="s">
        <v>31</v>
      </c>
      <c r="W2064" t="s">
        <v>31</v>
      </c>
      <c r="X2064" t="s">
        <v>31</v>
      </c>
      <c r="Y2064" t="s">
        <v>31</v>
      </c>
    </row>
    <row r="2065" spans="1:25" hidden="1">
      <c r="A2065" t="s">
        <v>25</v>
      </c>
      <c r="B2065" t="s">
        <v>26</v>
      </c>
      <c r="C2065" t="s">
        <v>60</v>
      </c>
      <c r="D2065" s="1">
        <v>45136</v>
      </c>
      <c r="E2065" s="2">
        <v>0.77083333333333337</v>
      </c>
      <c r="F2065" t="s">
        <v>45</v>
      </c>
      <c r="G2065" t="s">
        <v>29</v>
      </c>
      <c r="H2065">
        <v>0</v>
      </c>
      <c r="I2065">
        <v>2</v>
      </c>
      <c r="J2065" t="s">
        <v>30</v>
      </c>
      <c r="K2065">
        <v>716</v>
      </c>
      <c r="L2065">
        <v>485</v>
      </c>
      <c r="M2065">
        <v>146</v>
      </c>
      <c r="N2065">
        <v>75</v>
      </c>
      <c r="O2065">
        <v>49</v>
      </c>
      <c r="P2065">
        <v>15</v>
      </c>
      <c r="Q2065">
        <v>668</v>
      </c>
      <c r="R2065">
        <v>459</v>
      </c>
      <c r="S2065">
        <v>143</v>
      </c>
      <c r="T2065" t="s">
        <v>31</v>
      </c>
      <c r="U2065" t="s">
        <v>31</v>
      </c>
      <c r="V2065" t="s">
        <v>31</v>
      </c>
      <c r="W2065" t="s">
        <v>31</v>
      </c>
      <c r="X2065" t="s">
        <v>31</v>
      </c>
      <c r="Y2065" t="s">
        <v>31</v>
      </c>
    </row>
    <row r="2066" spans="1:25" hidden="1">
      <c r="A2066" t="s">
        <v>25</v>
      </c>
      <c r="B2066" t="s">
        <v>26</v>
      </c>
      <c r="C2066" t="s">
        <v>60</v>
      </c>
      <c r="D2066" s="1">
        <v>45137</v>
      </c>
      <c r="E2066" s="2">
        <v>0.66666666666666663</v>
      </c>
      <c r="F2066" t="s">
        <v>40</v>
      </c>
      <c r="G2066" t="s">
        <v>28</v>
      </c>
      <c r="H2066">
        <v>0</v>
      </c>
      <c r="I2066">
        <v>3</v>
      </c>
      <c r="J2066" t="s">
        <v>30</v>
      </c>
      <c r="K2066">
        <v>314</v>
      </c>
      <c r="L2066">
        <v>37</v>
      </c>
      <c r="M2066">
        <v>228</v>
      </c>
      <c r="N2066">
        <v>376</v>
      </c>
      <c r="O2066">
        <v>383</v>
      </c>
      <c r="P2066">
        <v>231</v>
      </c>
      <c r="Q2066">
        <v>308</v>
      </c>
      <c r="R2066">
        <v>359</v>
      </c>
      <c r="S2066">
        <v>218</v>
      </c>
      <c r="T2066" t="s">
        <v>31</v>
      </c>
      <c r="U2066" t="s">
        <v>31</v>
      </c>
      <c r="V2066" t="s">
        <v>31</v>
      </c>
      <c r="W2066" t="s">
        <v>31</v>
      </c>
      <c r="X2066" t="s">
        <v>31</v>
      </c>
      <c r="Y2066" t="s">
        <v>31</v>
      </c>
    </row>
    <row r="2067" spans="1:25" hidden="1">
      <c r="A2067" t="s">
        <v>25</v>
      </c>
      <c r="B2067" t="s">
        <v>26</v>
      </c>
      <c r="C2067" t="s">
        <v>60</v>
      </c>
      <c r="D2067" s="1">
        <v>45143</v>
      </c>
      <c r="E2067" s="2">
        <v>0.66666666666666663</v>
      </c>
      <c r="F2067" t="s">
        <v>35</v>
      </c>
      <c r="G2067" t="s">
        <v>45</v>
      </c>
      <c r="H2067">
        <v>4</v>
      </c>
      <c r="I2067">
        <v>0</v>
      </c>
      <c r="J2067" t="s">
        <v>34</v>
      </c>
      <c r="K2067">
        <v>151</v>
      </c>
      <c r="L2067">
        <v>464</v>
      </c>
      <c r="M2067">
        <v>649</v>
      </c>
      <c r="N2067">
        <v>154</v>
      </c>
      <c r="O2067">
        <v>475</v>
      </c>
      <c r="P2067">
        <v>655</v>
      </c>
      <c r="Q2067">
        <v>15</v>
      </c>
      <c r="R2067">
        <v>441</v>
      </c>
      <c r="S2067">
        <v>587</v>
      </c>
      <c r="T2067" t="s">
        <v>31</v>
      </c>
      <c r="U2067" t="s">
        <v>31</v>
      </c>
      <c r="V2067" t="s">
        <v>31</v>
      </c>
      <c r="W2067" t="s">
        <v>31</v>
      </c>
      <c r="X2067" t="s">
        <v>31</v>
      </c>
      <c r="Y2067" t="s">
        <v>31</v>
      </c>
    </row>
    <row r="2068" spans="1:25" hidden="1">
      <c r="A2068" t="s">
        <v>25</v>
      </c>
      <c r="B2068" t="s">
        <v>26</v>
      </c>
      <c r="C2068" t="s">
        <v>60</v>
      </c>
      <c r="D2068" s="1">
        <v>45143</v>
      </c>
      <c r="E2068" s="2">
        <v>0.77083333333333337</v>
      </c>
      <c r="F2068" t="s">
        <v>28</v>
      </c>
      <c r="G2068" t="s">
        <v>50</v>
      </c>
      <c r="H2068">
        <v>2</v>
      </c>
      <c r="I2068">
        <v>0</v>
      </c>
      <c r="J2068" t="s">
        <v>34</v>
      </c>
      <c r="K2068">
        <v>202</v>
      </c>
      <c r="L2068">
        <v>365</v>
      </c>
      <c r="M2068">
        <v>384</v>
      </c>
      <c r="N2068">
        <v>206</v>
      </c>
      <c r="O2068">
        <v>39</v>
      </c>
      <c r="P2068">
        <v>46</v>
      </c>
      <c r="Q2068">
        <v>193</v>
      </c>
      <c r="R2068">
        <v>368</v>
      </c>
      <c r="S2068">
        <v>364</v>
      </c>
      <c r="T2068" t="s">
        <v>31</v>
      </c>
      <c r="U2068" t="s">
        <v>31</v>
      </c>
      <c r="V2068" t="s">
        <v>31</v>
      </c>
      <c r="W2068" t="s">
        <v>31</v>
      </c>
      <c r="X2068" t="s">
        <v>31</v>
      </c>
      <c r="Y2068" t="s">
        <v>31</v>
      </c>
    </row>
    <row r="2069" spans="1:25" hidden="1">
      <c r="A2069" t="s">
        <v>25</v>
      </c>
      <c r="B2069" t="s">
        <v>26</v>
      </c>
      <c r="C2069" t="s">
        <v>60</v>
      </c>
      <c r="D2069" s="1">
        <v>45144</v>
      </c>
      <c r="E2069" s="2">
        <v>0.66666666666666663</v>
      </c>
      <c r="F2069" t="s">
        <v>59</v>
      </c>
      <c r="G2069" t="s">
        <v>40</v>
      </c>
      <c r="H2069">
        <v>0</v>
      </c>
      <c r="I2069">
        <v>2</v>
      </c>
      <c r="J2069" t="s">
        <v>30</v>
      </c>
      <c r="K2069">
        <v>393</v>
      </c>
      <c r="L2069">
        <v>393</v>
      </c>
      <c r="M2069">
        <v>193</v>
      </c>
      <c r="N2069">
        <v>394</v>
      </c>
      <c r="O2069">
        <v>393</v>
      </c>
      <c r="P2069">
        <v>195</v>
      </c>
      <c r="Q2069">
        <v>368</v>
      </c>
      <c r="R2069">
        <v>376</v>
      </c>
      <c r="S2069">
        <v>189</v>
      </c>
      <c r="T2069" t="s">
        <v>31</v>
      </c>
      <c r="U2069" t="s">
        <v>31</v>
      </c>
      <c r="V2069" t="s">
        <v>31</v>
      </c>
      <c r="W2069" t="s">
        <v>31</v>
      </c>
      <c r="X2069" t="s">
        <v>31</v>
      </c>
      <c r="Y2069" t="s">
        <v>31</v>
      </c>
    </row>
    <row r="2070" spans="1:25" hidden="1">
      <c r="A2070" t="s">
        <v>25</v>
      </c>
      <c r="B2070" t="s">
        <v>26</v>
      </c>
      <c r="C2070" t="s">
        <v>60</v>
      </c>
      <c r="D2070" s="1">
        <v>45144</v>
      </c>
      <c r="E2070" s="2">
        <v>0.66666666666666663</v>
      </c>
      <c r="F2070" t="s">
        <v>61</v>
      </c>
      <c r="G2070" t="s">
        <v>52</v>
      </c>
      <c r="H2070">
        <v>3</v>
      </c>
      <c r="I2070">
        <v>3</v>
      </c>
      <c r="J2070" t="s">
        <v>41</v>
      </c>
      <c r="K2070">
        <v>231</v>
      </c>
      <c r="L2070">
        <v>367</v>
      </c>
      <c r="M2070">
        <v>309</v>
      </c>
      <c r="N2070">
        <v>231</v>
      </c>
      <c r="O2070">
        <v>367</v>
      </c>
      <c r="P2070">
        <v>316</v>
      </c>
      <c r="Q2070">
        <v>223</v>
      </c>
      <c r="R2070">
        <v>352</v>
      </c>
      <c r="S2070">
        <v>3</v>
      </c>
      <c r="T2070" t="s">
        <v>31</v>
      </c>
      <c r="U2070" t="s">
        <v>31</v>
      </c>
      <c r="V2070" t="s">
        <v>31</v>
      </c>
      <c r="W2070" t="s">
        <v>31</v>
      </c>
      <c r="X2070" t="s">
        <v>31</v>
      </c>
      <c r="Y2070" t="s">
        <v>31</v>
      </c>
    </row>
    <row r="2071" spans="1:25" hidden="1">
      <c r="A2071" t="s">
        <v>25</v>
      </c>
      <c r="B2071" t="s">
        <v>26</v>
      </c>
      <c r="C2071" t="s">
        <v>60</v>
      </c>
      <c r="D2071" s="1">
        <v>45144</v>
      </c>
      <c r="E2071" s="2">
        <v>0.66666666666666663</v>
      </c>
      <c r="F2071" t="s">
        <v>29</v>
      </c>
      <c r="G2071" t="s">
        <v>54</v>
      </c>
      <c r="H2071">
        <v>3</v>
      </c>
      <c r="I2071">
        <v>0</v>
      </c>
      <c r="J2071" t="s">
        <v>34</v>
      </c>
      <c r="K2071">
        <v>116</v>
      </c>
      <c r="L2071">
        <v>955</v>
      </c>
      <c r="M2071">
        <v>1416</v>
      </c>
      <c r="N2071">
        <v>12</v>
      </c>
      <c r="O2071">
        <v>955</v>
      </c>
      <c r="P2071">
        <v>17</v>
      </c>
      <c r="Q2071">
        <v>116</v>
      </c>
      <c r="R2071">
        <v>811</v>
      </c>
      <c r="S2071">
        <v>1381</v>
      </c>
      <c r="T2071" t="s">
        <v>31</v>
      </c>
      <c r="U2071" t="s">
        <v>31</v>
      </c>
      <c r="V2071" t="s">
        <v>31</v>
      </c>
      <c r="W2071" t="s">
        <v>31</v>
      </c>
      <c r="X2071" t="s">
        <v>31</v>
      </c>
      <c r="Y2071" t="s">
        <v>31</v>
      </c>
    </row>
    <row r="2072" spans="1:25" hidden="1">
      <c r="A2072" t="s">
        <v>25</v>
      </c>
      <c r="B2072" t="s">
        <v>26</v>
      </c>
      <c r="C2072" t="s">
        <v>60</v>
      </c>
      <c r="D2072" s="1">
        <v>45147</v>
      </c>
      <c r="E2072" s="2">
        <v>0.8125</v>
      </c>
      <c r="F2072" t="s">
        <v>56</v>
      </c>
      <c r="G2072" t="s">
        <v>39</v>
      </c>
      <c r="H2072">
        <v>2</v>
      </c>
      <c r="I2072">
        <v>2</v>
      </c>
      <c r="J2072" t="s">
        <v>41</v>
      </c>
      <c r="K2072">
        <v>26</v>
      </c>
      <c r="L2072">
        <v>353</v>
      </c>
      <c r="M2072">
        <v>278</v>
      </c>
      <c r="N2072">
        <v>265</v>
      </c>
      <c r="O2072">
        <v>36</v>
      </c>
      <c r="P2072">
        <v>295</v>
      </c>
      <c r="Q2072">
        <v>251</v>
      </c>
      <c r="R2072">
        <v>344</v>
      </c>
      <c r="S2072">
        <v>266</v>
      </c>
      <c r="T2072" t="s">
        <v>31</v>
      </c>
      <c r="U2072" t="s">
        <v>31</v>
      </c>
      <c r="V2072" t="s">
        <v>31</v>
      </c>
      <c r="W2072" t="s">
        <v>31</v>
      </c>
      <c r="X2072" t="s">
        <v>31</v>
      </c>
      <c r="Y2072" t="s">
        <v>31</v>
      </c>
    </row>
    <row r="2073" spans="1:25" hidden="1">
      <c r="A2073" t="s">
        <v>25</v>
      </c>
      <c r="B2073" t="s">
        <v>26</v>
      </c>
      <c r="C2073" t="s">
        <v>60</v>
      </c>
      <c r="D2073" s="1">
        <v>45150</v>
      </c>
      <c r="E2073" s="2">
        <v>0.66666666666666663</v>
      </c>
      <c r="F2073" t="s">
        <v>28</v>
      </c>
      <c r="G2073" t="s">
        <v>56</v>
      </c>
      <c r="H2073">
        <v>0</v>
      </c>
      <c r="I2073">
        <v>0</v>
      </c>
      <c r="J2073" t="s">
        <v>41</v>
      </c>
      <c r="K2073">
        <v>14</v>
      </c>
      <c r="L2073">
        <v>564</v>
      </c>
      <c r="M2073">
        <v>707</v>
      </c>
      <c r="N2073">
        <v>143</v>
      </c>
      <c r="O2073">
        <v>564</v>
      </c>
      <c r="P2073">
        <v>8</v>
      </c>
      <c r="Q2073">
        <v>138</v>
      </c>
      <c r="R2073">
        <v>503</v>
      </c>
      <c r="S2073">
        <v>715</v>
      </c>
      <c r="T2073" t="s">
        <v>31</v>
      </c>
      <c r="U2073" t="s">
        <v>31</v>
      </c>
      <c r="V2073" t="s">
        <v>31</v>
      </c>
      <c r="W2073" t="s">
        <v>31</v>
      </c>
      <c r="X2073" t="s">
        <v>31</v>
      </c>
      <c r="Y2073" t="s">
        <v>31</v>
      </c>
    </row>
    <row r="2074" spans="1:25" hidden="1">
      <c r="A2074" t="s">
        <v>25</v>
      </c>
      <c r="B2074" t="s">
        <v>26</v>
      </c>
      <c r="C2074" t="s">
        <v>60</v>
      </c>
      <c r="D2074" s="1">
        <v>45150</v>
      </c>
      <c r="E2074" s="2">
        <v>0.66666666666666663</v>
      </c>
      <c r="F2074" t="s">
        <v>39</v>
      </c>
      <c r="G2074" t="s">
        <v>59</v>
      </c>
      <c r="H2074">
        <v>1</v>
      </c>
      <c r="I2074">
        <v>1</v>
      </c>
      <c r="J2074" t="s">
        <v>41</v>
      </c>
      <c r="K2074">
        <v>181</v>
      </c>
      <c r="L2074">
        <v>411</v>
      </c>
      <c r="M2074">
        <v>426</v>
      </c>
      <c r="N2074">
        <v>182</v>
      </c>
      <c r="O2074">
        <v>411</v>
      </c>
      <c r="P2074">
        <v>456</v>
      </c>
      <c r="Q2074">
        <v>176</v>
      </c>
      <c r="R2074">
        <v>391</v>
      </c>
      <c r="S2074">
        <v>414</v>
      </c>
      <c r="T2074" t="s">
        <v>31</v>
      </c>
      <c r="U2074" t="s">
        <v>31</v>
      </c>
      <c r="V2074" t="s">
        <v>31</v>
      </c>
      <c r="W2074" t="s">
        <v>31</v>
      </c>
      <c r="X2074" t="s">
        <v>31</v>
      </c>
      <c r="Y2074" t="s">
        <v>31</v>
      </c>
    </row>
    <row r="2075" spans="1:25" hidden="1">
      <c r="A2075" t="s">
        <v>25</v>
      </c>
      <c r="B2075" t="s">
        <v>26</v>
      </c>
      <c r="C2075" t="s">
        <v>60</v>
      </c>
      <c r="D2075" s="1">
        <v>45150</v>
      </c>
      <c r="E2075" s="2">
        <v>0.77083333333333337</v>
      </c>
      <c r="F2075" t="s">
        <v>50</v>
      </c>
      <c r="G2075" t="s">
        <v>61</v>
      </c>
      <c r="H2075">
        <v>2</v>
      </c>
      <c r="I2075">
        <v>0</v>
      </c>
      <c r="J2075" t="s">
        <v>34</v>
      </c>
      <c r="K2075">
        <v>157</v>
      </c>
      <c r="L2075">
        <v>457</v>
      </c>
      <c r="M2075">
        <v>572</v>
      </c>
      <c r="N2075">
        <v>159</v>
      </c>
      <c r="O2075">
        <v>46</v>
      </c>
      <c r="P2075">
        <v>572</v>
      </c>
      <c r="Q2075">
        <v>155</v>
      </c>
      <c r="R2075">
        <v>432</v>
      </c>
      <c r="S2075">
        <v>527</v>
      </c>
      <c r="T2075" t="s">
        <v>31</v>
      </c>
      <c r="U2075" t="s">
        <v>31</v>
      </c>
      <c r="V2075" t="s">
        <v>31</v>
      </c>
      <c r="W2075" t="s">
        <v>31</v>
      </c>
      <c r="X2075" t="s">
        <v>31</v>
      </c>
      <c r="Y2075" t="s">
        <v>31</v>
      </c>
    </row>
    <row r="2076" spans="1:25" hidden="1">
      <c r="A2076" t="s">
        <v>25</v>
      </c>
      <c r="B2076" t="s">
        <v>26</v>
      </c>
      <c r="C2076" t="s">
        <v>60</v>
      </c>
      <c r="D2076" s="1">
        <v>45151</v>
      </c>
      <c r="E2076" s="2">
        <v>0.66666666666666663</v>
      </c>
      <c r="F2076" t="s">
        <v>45</v>
      </c>
      <c r="G2076" t="s">
        <v>54</v>
      </c>
      <c r="H2076">
        <v>1</v>
      </c>
      <c r="I2076">
        <v>0</v>
      </c>
      <c r="J2076" t="s">
        <v>34</v>
      </c>
      <c r="K2076">
        <v>243</v>
      </c>
      <c r="L2076">
        <v>363</v>
      </c>
      <c r="M2076">
        <v>293</v>
      </c>
      <c r="N2076">
        <v>248</v>
      </c>
      <c r="O2076">
        <v>363</v>
      </c>
      <c r="P2076">
        <v>304</v>
      </c>
      <c r="Q2076">
        <v>239</v>
      </c>
      <c r="R2076">
        <v>346</v>
      </c>
      <c r="S2076">
        <v>279</v>
      </c>
      <c r="T2076" t="s">
        <v>31</v>
      </c>
      <c r="U2076" t="s">
        <v>31</v>
      </c>
      <c r="V2076" t="s">
        <v>31</v>
      </c>
      <c r="W2076" t="s">
        <v>31</v>
      </c>
      <c r="X2076" t="s">
        <v>31</v>
      </c>
      <c r="Y2076" t="s">
        <v>31</v>
      </c>
    </row>
    <row r="2077" spans="1:25" hidden="1">
      <c r="A2077" t="s">
        <v>25</v>
      </c>
      <c r="B2077" t="s">
        <v>26</v>
      </c>
      <c r="C2077" t="s">
        <v>60</v>
      </c>
      <c r="D2077" s="1">
        <v>45151</v>
      </c>
      <c r="E2077" s="2">
        <v>0.66666666666666663</v>
      </c>
      <c r="F2077" t="s">
        <v>35</v>
      </c>
      <c r="G2077" t="s">
        <v>52</v>
      </c>
      <c r="H2077">
        <v>0</v>
      </c>
      <c r="I2077">
        <v>1</v>
      </c>
      <c r="J2077" t="s">
        <v>30</v>
      </c>
      <c r="K2077">
        <v>193</v>
      </c>
      <c r="L2077">
        <v>386</v>
      </c>
      <c r="M2077">
        <v>399</v>
      </c>
      <c r="N2077">
        <v>195</v>
      </c>
      <c r="O2077">
        <v>39</v>
      </c>
      <c r="P2077">
        <v>411</v>
      </c>
      <c r="Q2077">
        <v>187</v>
      </c>
      <c r="R2077">
        <v>375</v>
      </c>
      <c r="S2077">
        <v>377</v>
      </c>
      <c r="T2077" t="s">
        <v>31</v>
      </c>
      <c r="U2077" t="s">
        <v>31</v>
      </c>
      <c r="V2077" t="s">
        <v>31</v>
      </c>
      <c r="W2077" t="s">
        <v>31</v>
      </c>
      <c r="X2077" t="s">
        <v>31</v>
      </c>
      <c r="Y2077" t="s">
        <v>31</v>
      </c>
    </row>
    <row r="2078" spans="1:25" hidden="1">
      <c r="A2078" t="s">
        <v>25</v>
      </c>
      <c r="B2078" t="s">
        <v>26</v>
      </c>
      <c r="C2078" t="s">
        <v>60</v>
      </c>
      <c r="D2078" s="1">
        <v>45151</v>
      </c>
      <c r="E2078" s="2">
        <v>0.66666666666666663</v>
      </c>
      <c r="F2078" t="s">
        <v>29</v>
      </c>
      <c r="G2078" t="s">
        <v>40</v>
      </c>
      <c r="H2078">
        <v>2</v>
      </c>
      <c r="I2078">
        <v>0</v>
      </c>
      <c r="J2078" t="s">
        <v>34</v>
      </c>
      <c r="K2078">
        <v>154</v>
      </c>
      <c r="L2078">
        <v>487</v>
      </c>
      <c r="M2078">
        <v>57</v>
      </c>
      <c r="N2078">
        <v>155</v>
      </c>
      <c r="O2078">
        <v>49</v>
      </c>
      <c r="P2078">
        <v>641</v>
      </c>
      <c r="Q2078">
        <v>151</v>
      </c>
      <c r="R2078">
        <v>45</v>
      </c>
      <c r="S2078">
        <v>547</v>
      </c>
      <c r="T2078" t="s">
        <v>31</v>
      </c>
      <c r="U2078" t="s">
        <v>31</v>
      </c>
      <c r="V2078" t="s">
        <v>31</v>
      </c>
      <c r="W2078" t="s">
        <v>31</v>
      </c>
      <c r="X2078" t="s">
        <v>31</v>
      </c>
      <c r="Y2078" t="s">
        <v>31</v>
      </c>
    </row>
    <row r="2079" spans="1:25" hidden="1">
      <c r="A2079" t="s">
        <v>25</v>
      </c>
      <c r="B2079" t="s">
        <v>26</v>
      </c>
      <c r="C2079" t="s">
        <v>60</v>
      </c>
      <c r="D2079" s="1">
        <v>45157</v>
      </c>
      <c r="E2079" s="2">
        <v>0.66666666666666663</v>
      </c>
      <c r="F2079" t="s">
        <v>59</v>
      </c>
      <c r="G2079" t="s">
        <v>28</v>
      </c>
      <c r="H2079">
        <v>0</v>
      </c>
      <c r="I2079">
        <v>1</v>
      </c>
      <c r="J2079" t="s">
        <v>30</v>
      </c>
      <c r="K2079">
        <v>808</v>
      </c>
      <c r="L2079">
        <v>537</v>
      </c>
      <c r="M2079">
        <v>138</v>
      </c>
      <c r="N2079">
        <v>87</v>
      </c>
      <c r="O2079">
        <v>54</v>
      </c>
      <c r="P2079">
        <v>144</v>
      </c>
      <c r="Q2079">
        <v>75</v>
      </c>
      <c r="R2079">
        <v>495</v>
      </c>
      <c r="S2079">
        <v>137</v>
      </c>
      <c r="T2079" t="s">
        <v>31</v>
      </c>
      <c r="U2079" t="s">
        <v>31</v>
      </c>
      <c r="V2079" t="s">
        <v>31</v>
      </c>
      <c r="W2079" t="s">
        <v>31</v>
      </c>
      <c r="X2079" t="s">
        <v>31</v>
      </c>
      <c r="Y2079" t="s">
        <v>31</v>
      </c>
    </row>
    <row r="2080" spans="1:25" hidden="1">
      <c r="A2080" t="s">
        <v>25</v>
      </c>
      <c r="B2080" t="s">
        <v>26</v>
      </c>
      <c r="C2080" t="s">
        <v>60</v>
      </c>
      <c r="D2080" s="1">
        <v>45157</v>
      </c>
      <c r="E2080" s="2">
        <v>0.66666666666666663</v>
      </c>
      <c r="F2080" t="s">
        <v>54</v>
      </c>
      <c r="G2080" t="s">
        <v>50</v>
      </c>
      <c r="H2080">
        <v>1</v>
      </c>
      <c r="I2080">
        <v>1</v>
      </c>
      <c r="J2080" t="s">
        <v>41</v>
      </c>
      <c r="K2080">
        <v>589</v>
      </c>
      <c r="L2080">
        <v>489</v>
      </c>
      <c r="M2080">
        <v>152</v>
      </c>
      <c r="N2080">
        <v>65</v>
      </c>
      <c r="O2080">
        <v>49</v>
      </c>
      <c r="P2080">
        <v>154</v>
      </c>
      <c r="Q2080">
        <v>571</v>
      </c>
      <c r="R2080">
        <v>456</v>
      </c>
      <c r="S2080">
        <v>149</v>
      </c>
      <c r="T2080" t="s">
        <v>31</v>
      </c>
      <c r="U2080" t="s">
        <v>31</v>
      </c>
      <c r="V2080" t="s">
        <v>31</v>
      </c>
      <c r="W2080" t="s">
        <v>31</v>
      </c>
      <c r="X2080" t="s">
        <v>31</v>
      </c>
      <c r="Y2080" t="s">
        <v>31</v>
      </c>
    </row>
    <row r="2081" spans="1:25" hidden="1">
      <c r="A2081" t="s">
        <v>25</v>
      </c>
      <c r="B2081" t="s">
        <v>26</v>
      </c>
      <c r="C2081" t="s">
        <v>60</v>
      </c>
      <c r="D2081" s="1">
        <v>45157</v>
      </c>
      <c r="E2081" s="2">
        <v>0.77083333333333337</v>
      </c>
      <c r="F2081" t="s">
        <v>56</v>
      </c>
      <c r="G2081" t="s">
        <v>45</v>
      </c>
      <c r="H2081">
        <v>1</v>
      </c>
      <c r="I2081">
        <v>1</v>
      </c>
      <c r="J2081" t="s">
        <v>41</v>
      </c>
      <c r="K2081">
        <v>203</v>
      </c>
      <c r="L2081">
        <v>35</v>
      </c>
      <c r="M2081">
        <v>398</v>
      </c>
      <c r="N2081">
        <v>208</v>
      </c>
      <c r="O2081">
        <v>362</v>
      </c>
      <c r="P2081">
        <v>4</v>
      </c>
      <c r="Q2081">
        <v>199</v>
      </c>
      <c r="R2081">
        <v>344</v>
      </c>
      <c r="S2081">
        <v>367</v>
      </c>
      <c r="T2081" t="s">
        <v>31</v>
      </c>
      <c r="U2081" t="s">
        <v>31</v>
      </c>
      <c r="V2081" t="s">
        <v>31</v>
      </c>
      <c r="W2081" t="s">
        <v>31</v>
      </c>
      <c r="X2081" t="s">
        <v>31</v>
      </c>
      <c r="Y2081" t="s">
        <v>31</v>
      </c>
    </row>
    <row r="2082" spans="1:25" hidden="1">
      <c r="A2082" t="s">
        <v>25</v>
      </c>
      <c r="B2082" t="s">
        <v>26</v>
      </c>
      <c r="C2082" t="s">
        <v>60</v>
      </c>
      <c r="D2082" s="1">
        <v>45158</v>
      </c>
      <c r="E2082" s="2">
        <v>0.66666666666666663</v>
      </c>
      <c r="F2082" t="s">
        <v>40</v>
      </c>
      <c r="G2082" t="s">
        <v>39</v>
      </c>
      <c r="H2082">
        <v>0</v>
      </c>
      <c r="I2082">
        <v>0</v>
      </c>
      <c r="J2082" t="s">
        <v>41</v>
      </c>
      <c r="K2082">
        <v>206</v>
      </c>
      <c r="L2082">
        <v>376</v>
      </c>
      <c r="M2082">
        <v>361</v>
      </c>
      <c r="N2082">
        <v>208</v>
      </c>
      <c r="O2082">
        <v>387</v>
      </c>
      <c r="P2082">
        <v>372</v>
      </c>
      <c r="Q2082">
        <v>2</v>
      </c>
      <c r="R2082">
        <v>363</v>
      </c>
      <c r="S2082">
        <v>345</v>
      </c>
      <c r="T2082" t="s">
        <v>31</v>
      </c>
      <c r="U2082" t="s">
        <v>31</v>
      </c>
      <c r="V2082" t="s">
        <v>31</v>
      </c>
      <c r="W2082" t="s">
        <v>31</v>
      </c>
      <c r="X2082" t="s">
        <v>31</v>
      </c>
      <c r="Y2082" t="s">
        <v>31</v>
      </c>
    </row>
    <row r="2083" spans="1:25" hidden="1">
      <c r="A2083" t="s">
        <v>25</v>
      </c>
      <c r="B2083" t="s">
        <v>26</v>
      </c>
      <c r="C2083" t="s">
        <v>60</v>
      </c>
      <c r="D2083" s="1">
        <v>45158</v>
      </c>
      <c r="E2083" s="2">
        <v>0.66666666666666663</v>
      </c>
      <c r="F2083" t="s">
        <v>61</v>
      </c>
      <c r="G2083" t="s">
        <v>35</v>
      </c>
      <c r="H2083">
        <v>0</v>
      </c>
      <c r="I2083">
        <v>5</v>
      </c>
      <c r="J2083" t="s">
        <v>30</v>
      </c>
      <c r="K2083">
        <v>374</v>
      </c>
      <c r="L2083">
        <v>395</v>
      </c>
      <c r="M2083">
        <v>197</v>
      </c>
      <c r="N2083">
        <v>375</v>
      </c>
      <c r="O2083">
        <v>396</v>
      </c>
      <c r="P2083">
        <v>206</v>
      </c>
      <c r="Q2083">
        <v>353</v>
      </c>
      <c r="R2083">
        <v>372</v>
      </c>
      <c r="S2083">
        <v>195</v>
      </c>
      <c r="T2083" t="s">
        <v>31</v>
      </c>
      <c r="U2083" t="s">
        <v>31</v>
      </c>
      <c r="V2083" t="s">
        <v>31</v>
      </c>
      <c r="W2083" t="s">
        <v>31</v>
      </c>
      <c r="X2083" t="s">
        <v>31</v>
      </c>
      <c r="Y2083" t="s">
        <v>31</v>
      </c>
    </row>
    <row r="2084" spans="1:25" hidden="1">
      <c r="A2084" t="s">
        <v>25</v>
      </c>
      <c r="B2084" t="s">
        <v>26</v>
      </c>
      <c r="C2084" t="s">
        <v>60</v>
      </c>
      <c r="D2084" s="1">
        <v>45158</v>
      </c>
      <c r="E2084" s="2">
        <v>0.66666666666666663</v>
      </c>
      <c r="F2084" t="s">
        <v>52</v>
      </c>
      <c r="G2084" t="s">
        <v>29</v>
      </c>
      <c r="H2084">
        <v>1</v>
      </c>
      <c r="I2084">
        <v>5</v>
      </c>
      <c r="J2084" t="s">
        <v>30</v>
      </c>
      <c r="K2084">
        <v>502</v>
      </c>
      <c r="L2084">
        <v>463</v>
      </c>
      <c r="M2084">
        <v>163</v>
      </c>
      <c r="N2084">
        <v>587</v>
      </c>
      <c r="O2084">
        <v>48</v>
      </c>
      <c r="P2084">
        <v>165</v>
      </c>
      <c r="Q2084">
        <v>514</v>
      </c>
      <c r="R2084">
        <v>437</v>
      </c>
      <c r="S2084">
        <v>156</v>
      </c>
      <c r="T2084" t="s">
        <v>31</v>
      </c>
      <c r="U2084" t="s">
        <v>31</v>
      </c>
      <c r="V2084" t="s">
        <v>31</v>
      </c>
      <c r="W2084" t="s">
        <v>31</v>
      </c>
      <c r="X2084" t="s">
        <v>31</v>
      </c>
      <c r="Y2084" t="s">
        <v>31</v>
      </c>
    </row>
    <row r="2085" spans="1:25" hidden="1">
      <c r="A2085" t="s">
        <v>25</v>
      </c>
      <c r="B2085" t="s">
        <v>26</v>
      </c>
      <c r="C2085" t="s">
        <v>60</v>
      </c>
      <c r="D2085" s="1">
        <v>45164</v>
      </c>
      <c r="E2085" s="2">
        <v>0.66666666666666663</v>
      </c>
      <c r="F2085" t="s">
        <v>28</v>
      </c>
      <c r="G2085" t="s">
        <v>61</v>
      </c>
      <c r="H2085">
        <v>4</v>
      </c>
      <c r="I2085">
        <v>1</v>
      </c>
      <c r="J2085" t="s">
        <v>34</v>
      </c>
      <c r="K2085">
        <v>133</v>
      </c>
      <c r="L2085">
        <v>585</v>
      </c>
      <c r="M2085">
        <v>929</v>
      </c>
      <c r="N2085">
        <v>136</v>
      </c>
      <c r="O2085">
        <v>6</v>
      </c>
      <c r="P2085">
        <v>10</v>
      </c>
      <c r="Q2085">
        <v>13</v>
      </c>
      <c r="R2085">
        <v>55</v>
      </c>
      <c r="S2085">
        <v>874</v>
      </c>
      <c r="T2085" t="s">
        <v>31</v>
      </c>
      <c r="U2085" t="s">
        <v>31</v>
      </c>
      <c r="V2085" t="s">
        <v>31</v>
      </c>
      <c r="W2085" t="s">
        <v>31</v>
      </c>
      <c r="X2085" t="s">
        <v>31</v>
      </c>
      <c r="Y2085" t="s">
        <v>31</v>
      </c>
    </row>
    <row r="2086" spans="1:25" hidden="1">
      <c r="A2086" t="s">
        <v>25</v>
      </c>
      <c r="B2086" t="s">
        <v>26</v>
      </c>
      <c r="C2086" t="s">
        <v>60</v>
      </c>
      <c r="D2086" s="1">
        <v>45164</v>
      </c>
      <c r="E2086" s="2">
        <v>0.66666666666666663</v>
      </c>
      <c r="F2086" t="s">
        <v>39</v>
      </c>
      <c r="G2086" t="s">
        <v>29</v>
      </c>
      <c r="H2086">
        <v>1</v>
      </c>
      <c r="I2086">
        <v>2</v>
      </c>
      <c r="J2086" t="s">
        <v>30</v>
      </c>
      <c r="K2086">
        <v>642</v>
      </c>
      <c r="L2086">
        <v>443</v>
      </c>
      <c r="M2086">
        <v>154</v>
      </c>
      <c r="N2086">
        <v>642</v>
      </c>
      <c r="O2086">
        <v>475</v>
      </c>
      <c r="P2086">
        <v>155</v>
      </c>
      <c r="Q2086">
        <v>587</v>
      </c>
      <c r="R2086">
        <v>433</v>
      </c>
      <c r="S2086">
        <v>151</v>
      </c>
      <c r="T2086" t="s">
        <v>31</v>
      </c>
      <c r="U2086" t="s">
        <v>31</v>
      </c>
      <c r="V2086" t="s">
        <v>31</v>
      </c>
      <c r="W2086" t="s">
        <v>31</v>
      </c>
      <c r="X2086" t="s">
        <v>31</v>
      </c>
      <c r="Y2086" t="s">
        <v>31</v>
      </c>
    </row>
    <row r="2087" spans="1:25" hidden="1">
      <c r="A2087" t="s">
        <v>25</v>
      </c>
      <c r="B2087" t="s">
        <v>26</v>
      </c>
      <c r="C2087" t="s">
        <v>60</v>
      </c>
      <c r="D2087" s="1">
        <v>45164</v>
      </c>
      <c r="E2087" s="2">
        <v>0.77083333333333337</v>
      </c>
      <c r="F2087" t="s">
        <v>59</v>
      </c>
      <c r="G2087" t="s">
        <v>45</v>
      </c>
      <c r="H2087">
        <v>0</v>
      </c>
      <c r="I2087">
        <v>3</v>
      </c>
      <c r="J2087" t="s">
        <v>30</v>
      </c>
      <c r="K2087">
        <v>308</v>
      </c>
      <c r="L2087">
        <v>344</v>
      </c>
      <c r="M2087">
        <v>243</v>
      </c>
      <c r="N2087">
        <v>308</v>
      </c>
      <c r="O2087">
        <v>356</v>
      </c>
      <c r="P2087">
        <v>26</v>
      </c>
      <c r="Q2087">
        <v>289</v>
      </c>
      <c r="R2087">
        <v>341</v>
      </c>
      <c r="S2087">
        <v>236</v>
      </c>
      <c r="T2087" t="s">
        <v>31</v>
      </c>
      <c r="U2087" t="s">
        <v>31</v>
      </c>
      <c r="V2087" t="s">
        <v>31</v>
      </c>
      <c r="W2087" t="s">
        <v>31</v>
      </c>
      <c r="X2087" t="s">
        <v>31</v>
      </c>
      <c r="Y2087" t="s">
        <v>31</v>
      </c>
    </row>
    <row r="2088" spans="1:25" hidden="1">
      <c r="A2088" t="s">
        <v>25</v>
      </c>
      <c r="B2088" t="s">
        <v>26</v>
      </c>
      <c r="C2088" t="s">
        <v>60</v>
      </c>
      <c r="D2088" s="1">
        <v>45165</v>
      </c>
      <c r="E2088" s="2">
        <v>0.66666666666666663</v>
      </c>
      <c r="F2088" t="s">
        <v>52</v>
      </c>
      <c r="G2088" t="s">
        <v>56</v>
      </c>
      <c r="H2088">
        <v>0</v>
      </c>
      <c r="I2088">
        <v>3</v>
      </c>
      <c r="J2088" t="s">
        <v>30</v>
      </c>
      <c r="K2088">
        <v>212</v>
      </c>
      <c r="L2088">
        <v>372</v>
      </c>
      <c r="M2088">
        <v>346</v>
      </c>
      <c r="N2088">
        <v>216</v>
      </c>
      <c r="O2088">
        <v>373</v>
      </c>
      <c r="P2088">
        <v>36</v>
      </c>
      <c r="Q2088">
        <v>209</v>
      </c>
      <c r="R2088">
        <v>354</v>
      </c>
      <c r="S2088">
        <v>332</v>
      </c>
      <c r="T2088" t="s">
        <v>31</v>
      </c>
      <c r="U2088" t="s">
        <v>31</v>
      </c>
      <c r="V2088" t="s">
        <v>31</v>
      </c>
      <c r="W2088" t="s">
        <v>31</v>
      </c>
      <c r="X2088" t="s">
        <v>31</v>
      </c>
      <c r="Y2088" t="s">
        <v>31</v>
      </c>
    </row>
    <row r="2089" spans="1:25" hidden="1">
      <c r="A2089" t="s">
        <v>25</v>
      </c>
      <c r="B2089" t="s">
        <v>26</v>
      </c>
      <c r="C2089" t="s">
        <v>60</v>
      </c>
      <c r="D2089" s="1">
        <v>45165</v>
      </c>
      <c r="E2089" s="2">
        <v>0.66666666666666663</v>
      </c>
      <c r="F2089" t="s">
        <v>50</v>
      </c>
      <c r="G2089" t="s">
        <v>40</v>
      </c>
      <c r="H2089">
        <v>2</v>
      </c>
      <c r="I2089">
        <v>0</v>
      </c>
      <c r="J2089" t="s">
        <v>34</v>
      </c>
      <c r="K2089">
        <v>19</v>
      </c>
      <c r="L2089">
        <v>409</v>
      </c>
      <c r="M2089">
        <v>387</v>
      </c>
      <c r="N2089">
        <v>195</v>
      </c>
      <c r="O2089">
        <v>41</v>
      </c>
      <c r="P2089">
        <v>407</v>
      </c>
      <c r="Q2089">
        <v>186</v>
      </c>
      <c r="R2089">
        <v>385</v>
      </c>
      <c r="S2089">
        <v>375</v>
      </c>
      <c r="T2089" t="s">
        <v>31</v>
      </c>
      <c r="U2089" t="s">
        <v>31</v>
      </c>
      <c r="V2089" t="s">
        <v>31</v>
      </c>
      <c r="W2089" t="s">
        <v>31</v>
      </c>
      <c r="X2089" t="s">
        <v>31</v>
      </c>
      <c r="Y2089" t="s">
        <v>31</v>
      </c>
    </row>
    <row r="2090" spans="1:25" hidden="1">
      <c r="A2090" t="s">
        <v>25</v>
      </c>
      <c r="B2090" t="s">
        <v>26</v>
      </c>
      <c r="C2090" t="s">
        <v>60</v>
      </c>
      <c r="D2090" s="1">
        <v>45165</v>
      </c>
      <c r="E2090" s="2">
        <v>0.66666666666666663</v>
      </c>
      <c r="F2090" t="s">
        <v>35</v>
      </c>
      <c r="G2090" t="s">
        <v>54</v>
      </c>
      <c r="H2090">
        <v>1</v>
      </c>
      <c r="I2090">
        <v>1</v>
      </c>
      <c r="J2090" t="s">
        <v>41</v>
      </c>
      <c r="K2090">
        <v>14</v>
      </c>
      <c r="L2090">
        <v>555</v>
      </c>
      <c r="M2090">
        <v>728</v>
      </c>
      <c r="N2090">
        <v>144</v>
      </c>
      <c r="O2090">
        <v>57</v>
      </c>
      <c r="P2090">
        <v>8</v>
      </c>
      <c r="Q2090">
        <v>137</v>
      </c>
      <c r="R2090">
        <v>525</v>
      </c>
      <c r="S2090">
        <v>691</v>
      </c>
      <c r="T2090" t="s">
        <v>31</v>
      </c>
      <c r="U2090" t="s">
        <v>31</v>
      </c>
      <c r="V2090" t="s">
        <v>31</v>
      </c>
      <c r="W2090" t="s">
        <v>31</v>
      </c>
      <c r="X2090" t="s">
        <v>31</v>
      </c>
      <c r="Y2090" t="s">
        <v>31</v>
      </c>
    </row>
    <row r="2091" spans="1:25" hidden="1">
      <c r="A2091" t="s">
        <v>25</v>
      </c>
      <c r="B2091" t="s">
        <v>26</v>
      </c>
      <c r="C2091" t="s">
        <v>60</v>
      </c>
      <c r="D2091" s="1">
        <v>45171</v>
      </c>
      <c r="E2091" s="2">
        <v>0.66666666666666663</v>
      </c>
      <c r="F2091" t="s">
        <v>54</v>
      </c>
      <c r="G2091" t="s">
        <v>61</v>
      </c>
      <c r="H2091">
        <v>2</v>
      </c>
      <c r="I2091">
        <v>4</v>
      </c>
      <c r="J2091" t="s">
        <v>30</v>
      </c>
      <c r="K2091">
        <v>277</v>
      </c>
      <c r="L2091">
        <v>373</v>
      </c>
      <c r="M2091">
        <v>251</v>
      </c>
      <c r="N2091">
        <v>277</v>
      </c>
      <c r="O2091">
        <v>378</v>
      </c>
      <c r="P2091">
        <v>26</v>
      </c>
      <c r="Q2091">
        <v>266</v>
      </c>
      <c r="R2091">
        <v>358</v>
      </c>
      <c r="S2091">
        <v>245</v>
      </c>
      <c r="T2091" t="s">
        <v>31</v>
      </c>
      <c r="U2091" t="s">
        <v>31</v>
      </c>
      <c r="V2091" t="s">
        <v>31</v>
      </c>
      <c r="W2091" t="s">
        <v>31</v>
      </c>
      <c r="X2091" t="s">
        <v>31</v>
      </c>
      <c r="Y2091" t="s">
        <v>31</v>
      </c>
    </row>
    <row r="2092" spans="1:25" hidden="1">
      <c r="A2092" t="s">
        <v>25</v>
      </c>
      <c r="B2092" t="s">
        <v>26</v>
      </c>
      <c r="C2092" t="s">
        <v>60</v>
      </c>
      <c r="D2092" s="1">
        <v>45171</v>
      </c>
      <c r="E2092" s="2">
        <v>0.66666666666666663</v>
      </c>
      <c r="F2092" t="s">
        <v>39</v>
      </c>
      <c r="G2092" t="s">
        <v>52</v>
      </c>
      <c r="H2092">
        <v>0</v>
      </c>
      <c r="I2092">
        <v>3</v>
      </c>
      <c r="J2092" t="s">
        <v>30</v>
      </c>
      <c r="K2092">
        <v>241</v>
      </c>
      <c r="L2092">
        <v>343</v>
      </c>
      <c r="M2092">
        <v>311</v>
      </c>
      <c r="N2092">
        <v>241</v>
      </c>
      <c r="O2092">
        <v>353</v>
      </c>
      <c r="P2092">
        <v>311</v>
      </c>
      <c r="Q2092">
        <v>234</v>
      </c>
      <c r="R2092">
        <v>336</v>
      </c>
      <c r="S2092">
        <v>295</v>
      </c>
      <c r="T2092" t="s">
        <v>31</v>
      </c>
      <c r="U2092" t="s">
        <v>31</v>
      </c>
      <c r="V2092" t="s">
        <v>31</v>
      </c>
      <c r="W2092" t="s">
        <v>31</v>
      </c>
      <c r="X2092" t="s">
        <v>31</v>
      </c>
      <c r="Y2092" t="s">
        <v>31</v>
      </c>
    </row>
    <row r="2093" spans="1:25" hidden="1">
      <c r="A2093" t="s">
        <v>25</v>
      </c>
      <c r="B2093" t="s">
        <v>26</v>
      </c>
      <c r="C2093" t="s">
        <v>60</v>
      </c>
      <c r="D2093" s="1">
        <v>45171</v>
      </c>
      <c r="E2093" s="2">
        <v>0.77083333333333337</v>
      </c>
      <c r="F2093" t="s">
        <v>45</v>
      </c>
      <c r="G2093" t="s">
        <v>28</v>
      </c>
      <c r="H2093">
        <v>1</v>
      </c>
      <c r="I2093">
        <v>2</v>
      </c>
      <c r="J2093" t="s">
        <v>30</v>
      </c>
      <c r="K2093">
        <v>606</v>
      </c>
      <c r="L2093">
        <v>43</v>
      </c>
      <c r="M2093">
        <v>158</v>
      </c>
      <c r="N2093">
        <v>606</v>
      </c>
      <c r="O2093">
        <v>433</v>
      </c>
      <c r="P2093">
        <v>163</v>
      </c>
      <c r="Q2093">
        <v>547</v>
      </c>
      <c r="R2093">
        <v>412</v>
      </c>
      <c r="S2093">
        <v>157</v>
      </c>
      <c r="T2093" t="s">
        <v>31</v>
      </c>
      <c r="U2093" t="s">
        <v>31</v>
      </c>
      <c r="V2093" t="s">
        <v>31</v>
      </c>
      <c r="W2093" t="s">
        <v>31</v>
      </c>
      <c r="X2093" t="s">
        <v>31</v>
      </c>
      <c r="Y2093" t="s">
        <v>31</v>
      </c>
    </row>
    <row r="2094" spans="1:25" hidden="1">
      <c r="A2094" t="s">
        <v>25</v>
      </c>
      <c r="B2094" t="s">
        <v>26</v>
      </c>
      <c r="C2094" t="s">
        <v>60</v>
      </c>
      <c r="D2094" s="1">
        <v>45172</v>
      </c>
      <c r="E2094" s="2">
        <v>0.66666666666666663</v>
      </c>
      <c r="F2094" t="s">
        <v>40</v>
      </c>
      <c r="G2094" t="s">
        <v>56</v>
      </c>
      <c r="H2094">
        <v>2</v>
      </c>
      <c r="I2094">
        <v>2</v>
      </c>
      <c r="J2094" t="s">
        <v>41</v>
      </c>
      <c r="K2094">
        <v>188</v>
      </c>
      <c r="L2094">
        <v>401</v>
      </c>
      <c r="M2094">
        <v>4</v>
      </c>
      <c r="N2094">
        <v>195</v>
      </c>
      <c r="O2094">
        <v>41</v>
      </c>
      <c r="P2094">
        <v>41</v>
      </c>
      <c r="Q2094">
        <v>183</v>
      </c>
      <c r="R2094">
        <v>384</v>
      </c>
      <c r="S2094">
        <v>386</v>
      </c>
      <c r="T2094" t="s">
        <v>31</v>
      </c>
      <c r="U2094" t="s">
        <v>31</v>
      </c>
      <c r="V2094" t="s">
        <v>31</v>
      </c>
      <c r="W2094" t="s">
        <v>31</v>
      </c>
      <c r="X2094" t="s">
        <v>31</v>
      </c>
      <c r="Y2094" t="s">
        <v>31</v>
      </c>
    </row>
    <row r="2095" spans="1:25" hidden="1">
      <c r="A2095" t="s">
        <v>25</v>
      </c>
      <c r="B2095" t="s">
        <v>26</v>
      </c>
      <c r="C2095" t="s">
        <v>60</v>
      </c>
      <c r="D2095" s="1">
        <v>45172</v>
      </c>
      <c r="E2095" s="2">
        <v>0.66666666666666663</v>
      </c>
      <c r="F2095" t="s">
        <v>50</v>
      </c>
      <c r="G2095" t="s">
        <v>59</v>
      </c>
      <c r="H2095">
        <v>2</v>
      </c>
      <c r="I2095">
        <v>0</v>
      </c>
      <c r="J2095" t="s">
        <v>34</v>
      </c>
      <c r="K2095">
        <v>135</v>
      </c>
      <c r="L2095">
        <v>573</v>
      </c>
      <c r="M2095">
        <v>849</v>
      </c>
      <c r="N2095">
        <v>135</v>
      </c>
      <c r="O2095">
        <v>58</v>
      </c>
      <c r="P2095">
        <v>9</v>
      </c>
      <c r="Q2095">
        <v>131</v>
      </c>
      <c r="R2095">
        <v>546</v>
      </c>
      <c r="S2095">
        <v>834</v>
      </c>
      <c r="T2095" t="s">
        <v>31</v>
      </c>
      <c r="U2095" t="s">
        <v>31</v>
      </c>
      <c r="V2095" t="s">
        <v>31</v>
      </c>
      <c r="W2095" t="s">
        <v>31</v>
      </c>
      <c r="X2095" t="s">
        <v>31</v>
      </c>
      <c r="Y2095" t="s">
        <v>31</v>
      </c>
    </row>
    <row r="2096" spans="1:25" hidden="1">
      <c r="A2096" t="s">
        <v>25</v>
      </c>
      <c r="B2096" t="s">
        <v>26</v>
      </c>
      <c r="C2096" t="s">
        <v>60</v>
      </c>
      <c r="D2096" s="1">
        <v>45172</v>
      </c>
      <c r="E2096" s="2">
        <v>0.66666666666666663</v>
      </c>
      <c r="F2096" t="s">
        <v>29</v>
      </c>
      <c r="G2096" t="s">
        <v>35</v>
      </c>
      <c r="H2096">
        <v>2</v>
      </c>
      <c r="I2096">
        <v>0</v>
      </c>
      <c r="J2096" t="s">
        <v>34</v>
      </c>
      <c r="K2096">
        <v>154</v>
      </c>
      <c r="L2096">
        <v>46</v>
      </c>
      <c r="M2096">
        <v>604</v>
      </c>
      <c r="N2096">
        <v>157</v>
      </c>
      <c r="O2096">
        <v>46</v>
      </c>
      <c r="P2096">
        <v>708</v>
      </c>
      <c r="Q2096">
        <v>15</v>
      </c>
      <c r="R2096">
        <v>442</v>
      </c>
      <c r="S2096">
        <v>58</v>
      </c>
      <c r="T2096" t="s">
        <v>31</v>
      </c>
      <c r="U2096" t="s">
        <v>31</v>
      </c>
      <c r="V2096" t="s">
        <v>31</v>
      </c>
      <c r="W2096" t="s">
        <v>31</v>
      </c>
      <c r="X2096" t="s">
        <v>31</v>
      </c>
      <c r="Y2096" t="s">
        <v>31</v>
      </c>
    </row>
    <row r="2097" spans="1:25" hidden="1">
      <c r="A2097" t="s">
        <v>25</v>
      </c>
      <c r="B2097" t="s">
        <v>26</v>
      </c>
      <c r="C2097" t="s">
        <v>60</v>
      </c>
      <c r="D2097" s="1">
        <v>45185</v>
      </c>
      <c r="E2097" s="2">
        <v>0.66666666666666663</v>
      </c>
      <c r="F2097" t="s">
        <v>56</v>
      </c>
      <c r="G2097" t="s">
        <v>50</v>
      </c>
      <c r="H2097">
        <v>1</v>
      </c>
      <c r="I2097">
        <v>3</v>
      </c>
      <c r="J2097" t="s">
        <v>30</v>
      </c>
      <c r="K2097">
        <v>322</v>
      </c>
      <c r="L2097">
        <v>358</v>
      </c>
      <c r="M2097">
        <v>229</v>
      </c>
      <c r="N2097">
        <v>383</v>
      </c>
      <c r="O2097">
        <v>365</v>
      </c>
      <c r="P2097">
        <v>305</v>
      </c>
      <c r="Q2097">
        <v>327</v>
      </c>
      <c r="R2097">
        <v>341</v>
      </c>
      <c r="S2097">
        <v>218</v>
      </c>
      <c r="T2097" t="s">
        <v>31</v>
      </c>
      <c r="U2097" t="s">
        <v>31</v>
      </c>
      <c r="V2097" t="s">
        <v>31</v>
      </c>
      <c r="W2097" t="s">
        <v>31</v>
      </c>
      <c r="X2097" t="s">
        <v>31</v>
      </c>
      <c r="Y2097" t="s">
        <v>31</v>
      </c>
    </row>
    <row r="2098" spans="1:25" hidden="1">
      <c r="A2098" t="s">
        <v>25</v>
      </c>
      <c r="B2098" t="s">
        <v>26</v>
      </c>
      <c r="C2098" t="s">
        <v>60</v>
      </c>
      <c r="D2098" s="1">
        <v>45185</v>
      </c>
      <c r="E2098" s="2">
        <v>0.66666666666666663</v>
      </c>
      <c r="F2098" t="s">
        <v>61</v>
      </c>
      <c r="G2098" t="s">
        <v>45</v>
      </c>
      <c r="H2098">
        <v>1</v>
      </c>
      <c r="I2098">
        <v>1</v>
      </c>
      <c r="J2098" t="s">
        <v>41</v>
      </c>
      <c r="K2098">
        <v>235</v>
      </c>
      <c r="L2098">
        <v>345</v>
      </c>
      <c r="M2098">
        <v>32</v>
      </c>
      <c r="N2098">
        <v>241</v>
      </c>
      <c r="O2098">
        <v>345</v>
      </c>
      <c r="P2098">
        <v>32</v>
      </c>
      <c r="Q2098">
        <v>232</v>
      </c>
      <c r="R2098">
        <v>335</v>
      </c>
      <c r="S2098">
        <v>3</v>
      </c>
      <c r="T2098" t="s">
        <v>31</v>
      </c>
      <c r="U2098" t="s">
        <v>31</v>
      </c>
      <c r="V2098" t="s">
        <v>31</v>
      </c>
      <c r="W2098" t="s">
        <v>31</v>
      </c>
      <c r="X2098" t="s">
        <v>31</v>
      </c>
      <c r="Y2098" t="s">
        <v>31</v>
      </c>
    </row>
    <row r="2099" spans="1:25" hidden="1">
      <c r="A2099" t="s">
        <v>25</v>
      </c>
      <c r="B2099" t="s">
        <v>26</v>
      </c>
      <c r="C2099" t="s">
        <v>60</v>
      </c>
      <c r="D2099" s="1">
        <v>45185</v>
      </c>
      <c r="E2099" s="2">
        <v>0.77083333333333337</v>
      </c>
      <c r="F2099" t="s">
        <v>28</v>
      </c>
      <c r="G2099" t="s">
        <v>29</v>
      </c>
      <c r="H2099">
        <v>2</v>
      </c>
      <c r="I2099">
        <v>2</v>
      </c>
      <c r="J2099" t="s">
        <v>41</v>
      </c>
      <c r="K2099">
        <v>296</v>
      </c>
      <c r="L2099">
        <v>355</v>
      </c>
      <c r="M2099">
        <v>245</v>
      </c>
      <c r="N2099">
        <v>304</v>
      </c>
      <c r="O2099">
        <v>358</v>
      </c>
      <c r="P2099">
        <v>245</v>
      </c>
      <c r="Q2099">
        <v>289</v>
      </c>
      <c r="R2099">
        <v>345</v>
      </c>
      <c r="S2099">
        <v>234</v>
      </c>
      <c r="T2099" t="s">
        <v>31</v>
      </c>
      <c r="U2099" t="s">
        <v>31</v>
      </c>
      <c r="V2099" t="s">
        <v>31</v>
      </c>
      <c r="W2099" t="s">
        <v>31</v>
      </c>
      <c r="X2099" t="s">
        <v>31</v>
      </c>
      <c r="Y2099" t="s">
        <v>31</v>
      </c>
    </row>
    <row r="2100" spans="1:25" hidden="1">
      <c r="A2100" t="s">
        <v>25</v>
      </c>
      <c r="B2100" t="s">
        <v>26</v>
      </c>
      <c r="C2100" t="s">
        <v>60</v>
      </c>
      <c r="D2100" s="1">
        <v>45186</v>
      </c>
      <c r="E2100" s="2">
        <v>0.5625</v>
      </c>
      <c r="F2100" t="s">
        <v>59</v>
      </c>
      <c r="G2100" t="s">
        <v>54</v>
      </c>
      <c r="H2100">
        <v>2</v>
      </c>
      <c r="I2100">
        <v>3</v>
      </c>
      <c r="J2100" t="s">
        <v>30</v>
      </c>
      <c r="K2100">
        <v>258</v>
      </c>
      <c r="L2100">
        <v>366</v>
      </c>
      <c r="M2100">
        <v>273</v>
      </c>
      <c r="N2100">
        <v>258</v>
      </c>
      <c r="O2100">
        <v>366</v>
      </c>
      <c r="P2100">
        <v>281</v>
      </c>
      <c r="Q2100">
        <v>247</v>
      </c>
      <c r="R2100">
        <v>352</v>
      </c>
      <c r="S2100">
        <v>266</v>
      </c>
      <c r="T2100" t="s">
        <v>31</v>
      </c>
      <c r="U2100" t="s">
        <v>31</v>
      </c>
      <c r="V2100" t="s">
        <v>31</v>
      </c>
      <c r="W2100" t="s">
        <v>31</v>
      </c>
      <c r="X2100" t="s">
        <v>31</v>
      </c>
      <c r="Y2100" t="s">
        <v>31</v>
      </c>
    </row>
    <row r="2101" spans="1:25" hidden="1">
      <c r="A2101" t="s">
        <v>25</v>
      </c>
      <c r="B2101" t="s">
        <v>26</v>
      </c>
      <c r="C2101" t="s">
        <v>60</v>
      </c>
      <c r="D2101" s="1">
        <v>45186</v>
      </c>
      <c r="E2101" s="2">
        <v>0.5625</v>
      </c>
      <c r="F2101" t="s">
        <v>52</v>
      </c>
      <c r="G2101" t="s">
        <v>40</v>
      </c>
      <c r="H2101">
        <v>2</v>
      </c>
      <c r="I2101">
        <v>1</v>
      </c>
      <c r="J2101" t="s">
        <v>34</v>
      </c>
      <c r="K2101">
        <v>295</v>
      </c>
      <c r="L2101">
        <v>38</v>
      </c>
      <c r="M2101">
        <v>235</v>
      </c>
      <c r="N2101">
        <v>295</v>
      </c>
      <c r="O2101">
        <v>38</v>
      </c>
      <c r="P2101">
        <v>247</v>
      </c>
      <c r="Q2101">
        <v>279</v>
      </c>
      <c r="R2101">
        <v>363</v>
      </c>
      <c r="S2101">
        <v>233</v>
      </c>
      <c r="T2101" t="s">
        <v>31</v>
      </c>
      <c r="U2101" t="s">
        <v>31</v>
      </c>
      <c r="V2101" t="s">
        <v>31</v>
      </c>
      <c r="W2101" t="s">
        <v>31</v>
      </c>
      <c r="X2101" t="s">
        <v>31</v>
      </c>
      <c r="Y2101" t="s">
        <v>31</v>
      </c>
    </row>
    <row r="2102" spans="1:25" hidden="1">
      <c r="A2102" t="s">
        <v>25</v>
      </c>
      <c r="B2102" t="s">
        <v>26</v>
      </c>
      <c r="C2102" t="s">
        <v>60</v>
      </c>
      <c r="D2102" s="1">
        <v>45186</v>
      </c>
      <c r="E2102" s="2">
        <v>0.66666666666666663</v>
      </c>
      <c r="F2102" t="s">
        <v>35</v>
      </c>
      <c r="G2102" t="s">
        <v>39</v>
      </c>
      <c r="H2102">
        <v>3</v>
      </c>
      <c r="I2102">
        <v>3</v>
      </c>
      <c r="J2102" t="s">
        <v>41</v>
      </c>
      <c r="K2102">
        <v>169</v>
      </c>
      <c r="L2102">
        <v>423</v>
      </c>
      <c r="M2102">
        <v>489</v>
      </c>
      <c r="N2102">
        <v>171</v>
      </c>
      <c r="O2102">
        <v>423</v>
      </c>
      <c r="P2102">
        <v>509</v>
      </c>
      <c r="Q2102">
        <v>166</v>
      </c>
      <c r="R2102">
        <v>401</v>
      </c>
      <c r="S2102">
        <v>471</v>
      </c>
      <c r="T2102" t="s">
        <v>31</v>
      </c>
      <c r="U2102" t="s">
        <v>31</v>
      </c>
      <c r="V2102" t="s">
        <v>31</v>
      </c>
      <c r="W2102" t="s">
        <v>31</v>
      </c>
      <c r="X2102" t="s">
        <v>31</v>
      </c>
      <c r="Y2102" t="s">
        <v>31</v>
      </c>
    </row>
    <row r="2103" spans="1:25" hidden="1">
      <c r="A2103" t="s">
        <v>25</v>
      </c>
      <c r="B2103" t="s">
        <v>26</v>
      </c>
      <c r="C2103" t="s">
        <v>60</v>
      </c>
      <c r="D2103" s="1">
        <v>45192</v>
      </c>
      <c r="E2103" s="2">
        <v>0.66666666666666663</v>
      </c>
      <c r="F2103" t="s">
        <v>56</v>
      </c>
      <c r="G2103" t="s">
        <v>59</v>
      </c>
      <c r="H2103">
        <v>1</v>
      </c>
      <c r="I2103">
        <v>0</v>
      </c>
      <c r="J2103" t="s">
        <v>34</v>
      </c>
      <c r="K2103">
        <v>169</v>
      </c>
      <c r="L2103">
        <v>404</v>
      </c>
      <c r="M2103">
        <v>517</v>
      </c>
      <c r="N2103">
        <v>17</v>
      </c>
      <c r="O2103">
        <v>408</v>
      </c>
      <c r="P2103">
        <v>52</v>
      </c>
      <c r="Q2103">
        <v>166</v>
      </c>
      <c r="R2103">
        <v>391</v>
      </c>
      <c r="S2103">
        <v>489</v>
      </c>
      <c r="T2103" t="s">
        <v>31</v>
      </c>
      <c r="U2103" t="s">
        <v>31</v>
      </c>
      <c r="V2103" t="s">
        <v>31</v>
      </c>
      <c r="W2103" t="s">
        <v>31</v>
      </c>
      <c r="X2103" t="s">
        <v>31</v>
      </c>
      <c r="Y2103" t="s">
        <v>31</v>
      </c>
    </row>
    <row r="2104" spans="1:25" hidden="1">
      <c r="A2104" t="s">
        <v>25</v>
      </c>
      <c r="B2104" t="s">
        <v>26</v>
      </c>
      <c r="C2104" t="s">
        <v>60</v>
      </c>
      <c r="D2104" s="1">
        <v>45192</v>
      </c>
      <c r="E2104" s="2">
        <v>0.66666666666666663</v>
      </c>
      <c r="F2104" t="s">
        <v>29</v>
      </c>
      <c r="G2104" t="s">
        <v>61</v>
      </c>
      <c r="H2104">
        <v>0</v>
      </c>
      <c r="I2104">
        <v>1</v>
      </c>
      <c r="J2104" t="s">
        <v>30</v>
      </c>
      <c r="K2104">
        <v>126</v>
      </c>
      <c r="L2104">
        <v>659</v>
      </c>
      <c r="M2104">
        <v>1089</v>
      </c>
      <c r="N2104">
        <v>129</v>
      </c>
      <c r="O2104">
        <v>756</v>
      </c>
      <c r="P2104">
        <v>13</v>
      </c>
      <c r="Q2104">
        <v>124</v>
      </c>
      <c r="R2104">
        <v>627</v>
      </c>
      <c r="S2104">
        <v>1041</v>
      </c>
      <c r="T2104" t="s">
        <v>31</v>
      </c>
      <c r="U2104" t="s">
        <v>31</v>
      </c>
      <c r="V2104" t="s">
        <v>31</v>
      </c>
      <c r="W2104" t="s">
        <v>31</v>
      </c>
      <c r="X2104" t="s">
        <v>31</v>
      </c>
      <c r="Y2104" t="s">
        <v>31</v>
      </c>
    </row>
    <row r="2105" spans="1:25" hidden="1">
      <c r="A2105" t="s">
        <v>25</v>
      </c>
      <c r="B2105" t="s">
        <v>26</v>
      </c>
      <c r="C2105" t="s">
        <v>60</v>
      </c>
      <c r="D2105" s="1">
        <v>45192</v>
      </c>
      <c r="E2105" s="2">
        <v>0.66666666666666663</v>
      </c>
      <c r="F2105" t="s">
        <v>54</v>
      </c>
      <c r="G2105" t="s">
        <v>39</v>
      </c>
      <c r="H2105">
        <v>2</v>
      </c>
      <c r="I2105">
        <v>3</v>
      </c>
      <c r="J2105" t="s">
        <v>30</v>
      </c>
      <c r="K2105">
        <v>328</v>
      </c>
      <c r="L2105">
        <v>362</v>
      </c>
      <c r="M2105">
        <v>224</v>
      </c>
      <c r="N2105">
        <v>328</v>
      </c>
      <c r="O2105">
        <v>397</v>
      </c>
      <c r="P2105">
        <v>225</v>
      </c>
      <c r="Q2105">
        <v>309</v>
      </c>
      <c r="R2105">
        <v>359</v>
      </c>
      <c r="S2105">
        <v>217</v>
      </c>
      <c r="T2105" t="s">
        <v>31</v>
      </c>
      <c r="U2105" t="s">
        <v>31</v>
      </c>
      <c r="V2105" t="s">
        <v>31</v>
      </c>
      <c r="W2105" t="s">
        <v>31</v>
      </c>
      <c r="X2105" t="s">
        <v>31</v>
      </c>
      <c r="Y2105" t="s">
        <v>31</v>
      </c>
    </row>
    <row r="2106" spans="1:25" hidden="1">
      <c r="A2106" t="s">
        <v>25</v>
      </c>
      <c r="B2106" t="s">
        <v>26</v>
      </c>
      <c r="C2106" t="s">
        <v>60</v>
      </c>
      <c r="D2106" s="1">
        <v>45193</v>
      </c>
      <c r="E2106" s="2">
        <v>0.5625</v>
      </c>
      <c r="F2106" t="s">
        <v>45</v>
      </c>
      <c r="G2106" t="s">
        <v>40</v>
      </c>
      <c r="H2106">
        <v>2</v>
      </c>
      <c r="I2106">
        <v>1</v>
      </c>
      <c r="J2106" t="s">
        <v>34</v>
      </c>
      <c r="K2106">
        <v>295</v>
      </c>
      <c r="L2106">
        <v>353</v>
      </c>
      <c r="M2106">
        <v>247</v>
      </c>
      <c r="N2106">
        <v>31</v>
      </c>
      <c r="O2106">
        <v>357</v>
      </c>
      <c r="P2106">
        <v>247</v>
      </c>
      <c r="Q2106">
        <v>291</v>
      </c>
      <c r="R2106">
        <v>341</v>
      </c>
      <c r="S2106">
        <v>235</v>
      </c>
      <c r="T2106" t="s">
        <v>31</v>
      </c>
      <c r="U2106" t="s">
        <v>31</v>
      </c>
      <c r="V2106" t="s">
        <v>31</v>
      </c>
      <c r="W2106" t="s">
        <v>31</v>
      </c>
      <c r="X2106" t="s">
        <v>31</v>
      </c>
      <c r="Y2106" t="s">
        <v>31</v>
      </c>
    </row>
    <row r="2107" spans="1:25" hidden="1">
      <c r="A2107" t="s">
        <v>25</v>
      </c>
      <c r="B2107" t="s">
        <v>26</v>
      </c>
      <c r="C2107" t="s">
        <v>60</v>
      </c>
      <c r="D2107" s="1">
        <v>45193</v>
      </c>
      <c r="E2107" s="2">
        <v>0.5625</v>
      </c>
      <c r="F2107" t="s">
        <v>50</v>
      </c>
      <c r="G2107" t="s">
        <v>52</v>
      </c>
      <c r="H2107">
        <v>0</v>
      </c>
      <c r="I2107">
        <v>0</v>
      </c>
      <c r="J2107" t="s">
        <v>41</v>
      </c>
      <c r="K2107">
        <v>174</v>
      </c>
      <c r="L2107">
        <v>417</v>
      </c>
      <c r="M2107">
        <v>462</v>
      </c>
      <c r="N2107">
        <v>177</v>
      </c>
      <c r="O2107">
        <v>42</v>
      </c>
      <c r="P2107">
        <v>486</v>
      </c>
      <c r="Q2107">
        <v>171</v>
      </c>
      <c r="R2107">
        <v>401</v>
      </c>
      <c r="S2107">
        <v>443</v>
      </c>
      <c r="T2107" t="s">
        <v>31</v>
      </c>
      <c r="U2107" t="s">
        <v>31</v>
      </c>
      <c r="V2107" t="s">
        <v>31</v>
      </c>
      <c r="W2107" t="s">
        <v>31</v>
      </c>
      <c r="X2107" t="s">
        <v>31</v>
      </c>
      <c r="Y2107" t="s">
        <v>31</v>
      </c>
    </row>
    <row r="2108" spans="1:25" hidden="1">
      <c r="A2108" t="s">
        <v>25</v>
      </c>
      <c r="B2108" t="s">
        <v>26</v>
      </c>
      <c r="C2108" t="s">
        <v>60</v>
      </c>
      <c r="D2108" s="1">
        <v>45193</v>
      </c>
      <c r="E2108" s="2">
        <v>0.66666666666666663</v>
      </c>
      <c r="F2108" t="s">
        <v>35</v>
      </c>
      <c r="G2108" t="s">
        <v>28</v>
      </c>
      <c r="H2108">
        <v>1</v>
      </c>
      <c r="I2108">
        <v>1</v>
      </c>
      <c r="J2108" t="s">
        <v>41</v>
      </c>
      <c r="K2108">
        <v>296</v>
      </c>
      <c r="L2108">
        <v>367</v>
      </c>
      <c r="M2108">
        <v>239</v>
      </c>
      <c r="N2108">
        <v>3</v>
      </c>
      <c r="O2108">
        <v>367</v>
      </c>
      <c r="P2108">
        <v>25</v>
      </c>
      <c r="Q2108">
        <v>279</v>
      </c>
      <c r="R2108">
        <v>355</v>
      </c>
      <c r="S2108">
        <v>237</v>
      </c>
      <c r="T2108" t="s">
        <v>31</v>
      </c>
      <c r="U2108" t="s">
        <v>31</v>
      </c>
      <c r="V2108" t="s">
        <v>31</v>
      </c>
      <c r="W2108" t="s">
        <v>31</v>
      </c>
      <c r="X2108" t="s">
        <v>31</v>
      </c>
      <c r="Y2108" t="s">
        <v>31</v>
      </c>
    </row>
    <row r="2109" spans="1:25" hidden="1">
      <c r="A2109" t="s">
        <v>25</v>
      </c>
      <c r="B2109" t="s">
        <v>26</v>
      </c>
      <c r="C2109" t="s">
        <v>60</v>
      </c>
      <c r="D2109" s="1">
        <v>45199</v>
      </c>
      <c r="E2109" s="2">
        <v>0.66666666666666663</v>
      </c>
      <c r="F2109" t="s">
        <v>59</v>
      </c>
      <c r="G2109" t="s">
        <v>29</v>
      </c>
      <c r="H2109">
        <v>0</v>
      </c>
      <c r="I2109">
        <v>4</v>
      </c>
      <c r="J2109" t="s">
        <v>30</v>
      </c>
      <c r="K2109">
        <v>1338</v>
      </c>
      <c r="L2109">
        <v>785</v>
      </c>
      <c r="M2109">
        <v>12</v>
      </c>
      <c r="N2109">
        <v>17</v>
      </c>
      <c r="O2109">
        <v>851</v>
      </c>
      <c r="P2109">
        <v>122</v>
      </c>
      <c r="Q2109">
        <v>1291</v>
      </c>
      <c r="R2109">
        <v>731</v>
      </c>
      <c r="S2109">
        <v>118</v>
      </c>
      <c r="T2109" t="s">
        <v>31</v>
      </c>
      <c r="U2109" t="s">
        <v>31</v>
      </c>
      <c r="V2109" t="s">
        <v>31</v>
      </c>
      <c r="W2109" t="s">
        <v>31</v>
      </c>
      <c r="X2109" t="s">
        <v>31</v>
      </c>
      <c r="Y2109" t="s">
        <v>31</v>
      </c>
    </row>
    <row r="2110" spans="1:25" hidden="1">
      <c r="A2110" t="s">
        <v>25</v>
      </c>
      <c r="B2110" t="s">
        <v>26</v>
      </c>
      <c r="C2110" t="s">
        <v>60</v>
      </c>
      <c r="D2110" s="1">
        <v>45199</v>
      </c>
      <c r="E2110" s="2">
        <v>0.66666666666666663</v>
      </c>
      <c r="F2110" t="s">
        <v>61</v>
      </c>
      <c r="G2110" t="s">
        <v>56</v>
      </c>
      <c r="H2110">
        <v>0</v>
      </c>
      <c r="I2110">
        <v>0</v>
      </c>
      <c r="J2110" t="s">
        <v>41</v>
      </c>
      <c r="K2110">
        <v>27</v>
      </c>
      <c r="L2110">
        <v>338</v>
      </c>
      <c r="M2110">
        <v>277</v>
      </c>
      <c r="N2110">
        <v>282</v>
      </c>
      <c r="O2110">
        <v>348</v>
      </c>
      <c r="P2110">
        <v>277</v>
      </c>
      <c r="Q2110">
        <v>263</v>
      </c>
      <c r="R2110">
        <v>332</v>
      </c>
      <c r="S2110">
        <v>263</v>
      </c>
      <c r="T2110" t="s">
        <v>31</v>
      </c>
      <c r="U2110" t="s">
        <v>31</v>
      </c>
      <c r="V2110" t="s">
        <v>31</v>
      </c>
      <c r="W2110" t="s">
        <v>31</v>
      </c>
      <c r="X2110" t="s">
        <v>31</v>
      </c>
      <c r="Y2110" t="s">
        <v>31</v>
      </c>
    </row>
    <row r="2111" spans="1:25" hidden="1">
      <c r="A2111" t="s">
        <v>25</v>
      </c>
      <c r="B2111" t="s">
        <v>26</v>
      </c>
      <c r="C2111" t="s">
        <v>60</v>
      </c>
      <c r="D2111" s="1">
        <v>45199</v>
      </c>
      <c r="E2111" s="2">
        <v>0.66666666666666663</v>
      </c>
      <c r="F2111" t="s">
        <v>39</v>
      </c>
      <c r="G2111" t="s">
        <v>50</v>
      </c>
      <c r="H2111">
        <v>2</v>
      </c>
      <c r="I2111">
        <v>1</v>
      </c>
      <c r="J2111" t="s">
        <v>34</v>
      </c>
      <c r="K2111">
        <v>319</v>
      </c>
      <c r="L2111">
        <v>344</v>
      </c>
      <c r="M2111">
        <v>235</v>
      </c>
      <c r="N2111">
        <v>325</v>
      </c>
      <c r="O2111">
        <v>354</v>
      </c>
      <c r="P2111">
        <v>236</v>
      </c>
      <c r="Q2111">
        <v>305</v>
      </c>
      <c r="R2111">
        <v>342</v>
      </c>
      <c r="S2111">
        <v>227</v>
      </c>
      <c r="T2111" t="s">
        <v>31</v>
      </c>
      <c r="U2111" t="s">
        <v>31</v>
      </c>
      <c r="V2111" t="s">
        <v>31</v>
      </c>
      <c r="W2111" t="s">
        <v>31</v>
      </c>
      <c r="X2111" t="s">
        <v>31</v>
      </c>
      <c r="Y2111" t="s">
        <v>31</v>
      </c>
    </row>
    <row r="2112" spans="1:25" hidden="1">
      <c r="A2112" t="s">
        <v>25</v>
      </c>
      <c r="B2112" t="s">
        <v>26</v>
      </c>
      <c r="C2112" t="s">
        <v>60</v>
      </c>
      <c r="D2112" s="1">
        <v>45200</v>
      </c>
      <c r="E2112" s="2">
        <v>0.5625</v>
      </c>
      <c r="F2112" t="s">
        <v>52</v>
      </c>
      <c r="G2112" t="s">
        <v>45</v>
      </c>
      <c r="H2112">
        <v>0</v>
      </c>
      <c r="I2112">
        <v>0</v>
      </c>
      <c r="J2112" t="s">
        <v>41</v>
      </c>
      <c r="K2112">
        <v>209</v>
      </c>
      <c r="L2112">
        <v>345</v>
      </c>
      <c r="M2112">
        <v>385</v>
      </c>
      <c r="N2112">
        <v>21</v>
      </c>
      <c r="O2112">
        <v>366</v>
      </c>
      <c r="P2112">
        <v>385</v>
      </c>
      <c r="Q2112">
        <v>203</v>
      </c>
      <c r="R2112">
        <v>344</v>
      </c>
      <c r="S2112">
        <v>358</v>
      </c>
      <c r="T2112" t="s">
        <v>31</v>
      </c>
      <c r="U2112" t="s">
        <v>31</v>
      </c>
      <c r="V2112" t="s">
        <v>31</v>
      </c>
      <c r="W2112" t="s">
        <v>31</v>
      </c>
      <c r="X2112" t="s">
        <v>31</v>
      </c>
      <c r="Y2112" t="s">
        <v>31</v>
      </c>
    </row>
    <row r="2113" spans="1:25" hidden="1">
      <c r="A2113" t="s">
        <v>25</v>
      </c>
      <c r="B2113" t="s">
        <v>26</v>
      </c>
      <c r="C2113" t="s">
        <v>60</v>
      </c>
      <c r="D2113" s="1">
        <v>45200</v>
      </c>
      <c r="E2113" s="2">
        <v>0.5625</v>
      </c>
      <c r="F2113" t="s">
        <v>28</v>
      </c>
      <c r="G2113" t="s">
        <v>54</v>
      </c>
      <c r="H2113">
        <v>1</v>
      </c>
      <c r="I2113">
        <v>0</v>
      </c>
      <c r="J2113" t="s">
        <v>34</v>
      </c>
      <c r="K2113">
        <v>127</v>
      </c>
      <c r="L2113">
        <v>641</v>
      </c>
      <c r="M2113">
        <v>1026</v>
      </c>
      <c r="N2113">
        <v>13</v>
      </c>
      <c r="O2113">
        <v>675</v>
      </c>
      <c r="P2113">
        <v>115</v>
      </c>
      <c r="Q2113">
        <v>125</v>
      </c>
      <c r="R2113">
        <v>618</v>
      </c>
      <c r="S2113">
        <v>986</v>
      </c>
      <c r="T2113" t="s">
        <v>31</v>
      </c>
      <c r="U2113" t="s">
        <v>31</v>
      </c>
      <c r="V2113" t="s">
        <v>31</v>
      </c>
      <c r="W2113" t="s">
        <v>31</v>
      </c>
      <c r="X2113" t="s">
        <v>31</v>
      </c>
      <c r="Y2113" t="s">
        <v>31</v>
      </c>
    </row>
    <row r="2114" spans="1:25" hidden="1">
      <c r="A2114" t="s">
        <v>25</v>
      </c>
      <c r="B2114" t="s">
        <v>26</v>
      </c>
      <c r="C2114" t="s">
        <v>60</v>
      </c>
      <c r="D2114" s="1">
        <v>45200</v>
      </c>
      <c r="E2114" s="2">
        <v>0.66666666666666663</v>
      </c>
      <c r="F2114" t="s">
        <v>40</v>
      </c>
      <c r="G2114" t="s">
        <v>35</v>
      </c>
      <c r="H2114">
        <v>0</v>
      </c>
      <c r="I2114">
        <v>0</v>
      </c>
      <c r="J2114" t="s">
        <v>41</v>
      </c>
      <c r="K2114">
        <v>301</v>
      </c>
      <c r="L2114">
        <v>375</v>
      </c>
      <c r="M2114">
        <v>233</v>
      </c>
      <c r="N2114">
        <v>303</v>
      </c>
      <c r="O2114">
        <v>379</v>
      </c>
      <c r="P2114">
        <v>24</v>
      </c>
      <c r="Q2114">
        <v>287</v>
      </c>
      <c r="R2114">
        <v>363</v>
      </c>
      <c r="S2114">
        <v>228</v>
      </c>
      <c r="T2114" t="s">
        <v>31</v>
      </c>
      <c r="U2114" t="s">
        <v>31</v>
      </c>
      <c r="V2114" t="s">
        <v>31</v>
      </c>
      <c r="W2114" t="s">
        <v>31</v>
      </c>
      <c r="X2114" t="s">
        <v>31</v>
      </c>
      <c r="Y2114" t="s">
        <v>31</v>
      </c>
    </row>
    <row r="2115" spans="1:25" hidden="1">
      <c r="A2115" t="s">
        <v>25</v>
      </c>
      <c r="B2115" t="s">
        <v>26</v>
      </c>
      <c r="C2115" t="s">
        <v>60</v>
      </c>
      <c r="D2115" s="1">
        <v>45206</v>
      </c>
      <c r="E2115" s="2">
        <v>0.66666666666666663</v>
      </c>
      <c r="F2115" t="s">
        <v>59</v>
      </c>
      <c r="G2115" t="s">
        <v>35</v>
      </c>
      <c r="H2115">
        <v>0</v>
      </c>
      <c r="I2115">
        <v>5</v>
      </c>
      <c r="J2115" t="s">
        <v>30</v>
      </c>
      <c r="K2115">
        <v>727</v>
      </c>
      <c r="L2115">
        <v>521</v>
      </c>
      <c r="M2115">
        <v>142</v>
      </c>
      <c r="N2115">
        <v>75</v>
      </c>
      <c r="O2115">
        <v>521</v>
      </c>
      <c r="P2115">
        <v>145</v>
      </c>
      <c r="Q2115">
        <v>676</v>
      </c>
      <c r="R2115">
        <v>49</v>
      </c>
      <c r="S2115">
        <v>14</v>
      </c>
      <c r="T2115" t="s">
        <v>31</v>
      </c>
      <c r="U2115" t="s">
        <v>31</v>
      </c>
      <c r="V2115" t="s">
        <v>31</v>
      </c>
      <c r="W2115" t="s">
        <v>31</v>
      </c>
      <c r="X2115" t="s">
        <v>31</v>
      </c>
      <c r="Y2115" t="s">
        <v>31</v>
      </c>
    </row>
    <row r="2116" spans="1:25" hidden="1">
      <c r="A2116" t="s">
        <v>25</v>
      </c>
      <c r="B2116" t="s">
        <v>26</v>
      </c>
      <c r="C2116" t="s">
        <v>60</v>
      </c>
      <c r="D2116" s="1">
        <v>45206</v>
      </c>
      <c r="E2116" s="2">
        <v>0.66666666666666663</v>
      </c>
      <c r="F2116" t="s">
        <v>40</v>
      </c>
      <c r="G2116" t="s">
        <v>61</v>
      </c>
      <c r="H2116">
        <v>4</v>
      </c>
      <c r="I2116">
        <v>0</v>
      </c>
      <c r="J2116" t="s">
        <v>34</v>
      </c>
      <c r="K2116">
        <v>193</v>
      </c>
      <c r="L2116">
        <v>394</v>
      </c>
      <c r="M2116">
        <v>381</v>
      </c>
      <c r="N2116">
        <v>195</v>
      </c>
      <c r="O2116">
        <v>399</v>
      </c>
      <c r="P2116">
        <v>406</v>
      </c>
      <c r="Q2116">
        <v>189</v>
      </c>
      <c r="R2116">
        <v>376</v>
      </c>
      <c r="S2116">
        <v>373</v>
      </c>
      <c r="T2116" t="s">
        <v>31</v>
      </c>
      <c r="U2116" t="s">
        <v>31</v>
      </c>
      <c r="V2116" t="s">
        <v>31</v>
      </c>
      <c r="W2116" t="s">
        <v>31</v>
      </c>
      <c r="X2116" t="s">
        <v>31</v>
      </c>
      <c r="Y2116" t="s">
        <v>31</v>
      </c>
    </row>
    <row r="2117" spans="1:25" hidden="1">
      <c r="A2117" t="s">
        <v>25</v>
      </c>
      <c r="B2117" t="s">
        <v>26</v>
      </c>
      <c r="C2117" t="s">
        <v>60</v>
      </c>
      <c r="D2117" s="1">
        <v>45206</v>
      </c>
      <c r="E2117" s="2">
        <v>0.66666666666666663</v>
      </c>
      <c r="F2117" t="s">
        <v>52</v>
      </c>
      <c r="G2117" t="s">
        <v>54</v>
      </c>
      <c r="H2117">
        <v>3</v>
      </c>
      <c r="I2117">
        <v>0</v>
      </c>
      <c r="J2117" t="s">
        <v>34</v>
      </c>
      <c r="K2117">
        <v>16</v>
      </c>
      <c r="L2117">
        <v>443</v>
      </c>
      <c r="M2117">
        <v>55</v>
      </c>
      <c r="N2117">
        <v>165</v>
      </c>
      <c r="O2117">
        <v>443</v>
      </c>
      <c r="P2117">
        <v>557</v>
      </c>
      <c r="Q2117">
        <v>157</v>
      </c>
      <c r="R2117">
        <v>425</v>
      </c>
      <c r="S2117">
        <v>518</v>
      </c>
      <c r="T2117" t="s">
        <v>31</v>
      </c>
      <c r="U2117" t="s">
        <v>31</v>
      </c>
      <c r="V2117" t="s">
        <v>31</v>
      </c>
      <c r="W2117" t="s">
        <v>31</v>
      </c>
      <c r="X2117" t="s">
        <v>31</v>
      </c>
      <c r="Y2117" t="s">
        <v>31</v>
      </c>
    </row>
    <row r="2118" spans="1:25" hidden="1">
      <c r="A2118" t="s">
        <v>25</v>
      </c>
      <c r="B2118" t="s">
        <v>26</v>
      </c>
      <c r="C2118" t="s">
        <v>60</v>
      </c>
      <c r="D2118" s="1">
        <v>45207</v>
      </c>
      <c r="E2118" s="2">
        <v>0.5625</v>
      </c>
      <c r="F2118" t="s">
        <v>50</v>
      </c>
      <c r="G2118" t="s">
        <v>45</v>
      </c>
      <c r="H2118">
        <v>1</v>
      </c>
      <c r="I2118">
        <v>0</v>
      </c>
      <c r="J2118" t="s">
        <v>34</v>
      </c>
      <c r="K2118">
        <v>184</v>
      </c>
      <c r="L2118">
        <v>369</v>
      </c>
      <c r="M2118">
        <v>463</v>
      </c>
      <c r="N2118">
        <v>186</v>
      </c>
      <c r="O2118">
        <v>408</v>
      </c>
      <c r="P2118">
        <v>517</v>
      </c>
      <c r="Q2118">
        <v>18</v>
      </c>
      <c r="R2118">
        <v>357</v>
      </c>
      <c r="S2118">
        <v>438</v>
      </c>
      <c r="T2118" t="s">
        <v>31</v>
      </c>
      <c r="U2118" t="s">
        <v>31</v>
      </c>
      <c r="V2118" t="s">
        <v>31</v>
      </c>
      <c r="W2118" t="s">
        <v>31</v>
      </c>
      <c r="X2118" t="s">
        <v>31</v>
      </c>
      <c r="Y2118" t="s">
        <v>31</v>
      </c>
    </row>
    <row r="2119" spans="1:25" hidden="1">
      <c r="A2119" t="s">
        <v>25</v>
      </c>
      <c r="B2119" t="s">
        <v>26</v>
      </c>
      <c r="C2119" t="s">
        <v>60</v>
      </c>
      <c r="D2119" s="1">
        <v>45207</v>
      </c>
      <c r="E2119" s="2">
        <v>0.5625</v>
      </c>
      <c r="F2119" t="s">
        <v>39</v>
      </c>
      <c r="G2119" t="s">
        <v>28</v>
      </c>
      <c r="H2119">
        <v>1</v>
      </c>
      <c r="I2119">
        <v>2</v>
      </c>
      <c r="J2119" t="s">
        <v>30</v>
      </c>
      <c r="K2119">
        <v>428</v>
      </c>
      <c r="L2119">
        <v>383</v>
      </c>
      <c r="M2119">
        <v>187</v>
      </c>
      <c r="N2119">
        <v>488</v>
      </c>
      <c r="O2119">
        <v>389</v>
      </c>
      <c r="P2119">
        <v>189</v>
      </c>
      <c r="Q2119">
        <v>403</v>
      </c>
      <c r="R2119">
        <v>368</v>
      </c>
      <c r="S2119">
        <v>183</v>
      </c>
      <c r="T2119" t="s">
        <v>31</v>
      </c>
      <c r="U2119" t="s">
        <v>31</v>
      </c>
      <c r="V2119" t="s">
        <v>31</v>
      </c>
      <c r="W2119" t="s">
        <v>31</v>
      </c>
      <c r="X2119" t="s">
        <v>31</v>
      </c>
      <c r="Y2119" t="s">
        <v>31</v>
      </c>
    </row>
    <row r="2120" spans="1:25" hidden="1">
      <c r="A2120" t="s">
        <v>25</v>
      </c>
      <c r="B2120" t="s">
        <v>26</v>
      </c>
      <c r="C2120" t="s">
        <v>60</v>
      </c>
      <c r="D2120" s="1">
        <v>45207</v>
      </c>
      <c r="E2120" s="2">
        <v>0.66666666666666663</v>
      </c>
      <c r="F2120" t="s">
        <v>56</v>
      </c>
      <c r="G2120" t="s">
        <v>29</v>
      </c>
      <c r="H2120">
        <v>2</v>
      </c>
      <c r="I2120">
        <v>2</v>
      </c>
      <c r="J2120" t="s">
        <v>41</v>
      </c>
      <c r="K2120">
        <v>704</v>
      </c>
      <c r="L2120">
        <v>501</v>
      </c>
      <c r="M2120">
        <v>145</v>
      </c>
      <c r="N2120">
        <v>75</v>
      </c>
      <c r="O2120">
        <v>51</v>
      </c>
      <c r="P2120">
        <v>146</v>
      </c>
      <c r="Q2120">
        <v>683</v>
      </c>
      <c r="R2120">
        <v>478</v>
      </c>
      <c r="S2120">
        <v>141</v>
      </c>
      <c r="T2120" t="s">
        <v>31</v>
      </c>
      <c r="U2120" t="s">
        <v>31</v>
      </c>
      <c r="V2120" t="s">
        <v>31</v>
      </c>
      <c r="W2120" t="s">
        <v>31</v>
      </c>
      <c r="X2120" t="s">
        <v>31</v>
      </c>
      <c r="Y2120" t="s">
        <v>31</v>
      </c>
    </row>
    <row r="2121" spans="1:25" hidden="1">
      <c r="A2121" t="s">
        <v>25</v>
      </c>
      <c r="B2121" t="s">
        <v>26</v>
      </c>
      <c r="C2121" t="s">
        <v>60</v>
      </c>
      <c r="D2121" s="1">
        <v>45220</v>
      </c>
      <c r="E2121" s="2">
        <v>0.66666666666666663</v>
      </c>
      <c r="F2121" t="s">
        <v>61</v>
      </c>
      <c r="G2121" t="s">
        <v>59</v>
      </c>
      <c r="H2121">
        <v>0</v>
      </c>
      <c r="I2121">
        <v>0</v>
      </c>
      <c r="J2121" t="s">
        <v>41</v>
      </c>
      <c r="K2121">
        <v>168</v>
      </c>
      <c r="L2121">
        <v>421</v>
      </c>
      <c r="M2121">
        <v>502</v>
      </c>
      <c r="N2121">
        <v>181</v>
      </c>
      <c r="O2121">
        <v>421</v>
      </c>
      <c r="P2121">
        <v>52</v>
      </c>
      <c r="Q2121">
        <v>168</v>
      </c>
      <c r="R2121">
        <v>396</v>
      </c>
      <c r="S2121">
        <v>465</v>
      </c>
      <c r="T2121" t="s">
        <v>31</v>
      </c>
      <c r="U2121" t="s">
        <v>31</v>
      </c>
      <c r="V2121" t="s">
        <v>31</v>
      </c>
      <c r="W2121" t="s">
        <v>31</v>
      </c>
      <c r="X2121" t="s">
        <v>31</v>
      </c>
      <c r="Y2121" t="s">
        <v>31</v>
      </c>
    </row>
    <row r="2122" spans="1:25" hidden="1">
      <c r="A2122" t="s">
        <v>25</v>
      </c>
      <c r="B2122" t="s">
        <v>26</v>
      </c>
      <c r="C2122" t="s">
        <v>60</v>
      </c>
      <c r="D2122" s="1">
        <v>45220</v>
      </c>
      <c r="E2122" s="2">
        <v>0.66666666666666663</v>
      </c>
      <c r="F2122" t="s">
        <v>29</v>
      </c>
      <c r="G2122" t="s">
        <v>50</v>
      </c>
      <c r="H2122">
        <v>0</v>
      </c>
      <c r="I2122">
        <v>1</v>
      </c>
      <c r="J2122" t="s">
        <v>30</v>
      </c>
      <c r="K2122">
        <v>16</v>
      </c>
      <c r="L2122">
        <v>447</v>
      </c>
      <c r="M2122">
        <v>544</v>
      </c>
      <c r="N2122">
        <v>161</v>
      </c>
      <c r="O2122">
        <v>451</v>
      </c>
      <c r="P2122">
        <v>6</v>
      </c>
      <c r="Q2122">
        <v>155</v>
      </c>
      <c r="R2122">
        <v>428</v>
      </c>
      <c r="S2122">
        <v>545</v>
      </c>
      <c r="T2122" t="s">
        <v>31</v>
      </c>
      <c r="U2122" t="s">
        <v>31</v>
      </c>
      <c r="V2122" t="s">
        <v>31</v>
      </c>
      <c r="W2122" t="s">
        <v>31</v>
      </c>
      <c r="X2122" t="s">
        <v>31</v>
      </c>
      <c r="Y2122" t="s">
        <v>31</v>
      </c>
    </row>
    <row r="2123" spans="1:25" hidden="1">
      <c r="A2123" t="s">
        <v>25</v>
      </c>
      <c r="B2123" t="s">
        <v>26</v>
      </c>
      <c r="C2123" t="s">
        <v>60</v>
      </c>
      <c r="D2123" s="1">
        <v>45220</v>
      </c>
      <c r="E2123" s="2">
        <v>0.66666666666666663</v>
      </c>
      <c r="F2123" t="s">
        <v>28</v>
      </c>
      <c r="G2123" t="s">
        <v>52</v>
      </c>
      <c r="H2123">
        <v>2</v>
      </c>
      <c r="I2123">
        <v>1</v>
      </c>
      <c r="J2123" t="s">
        <v>34</v>
      </c>
      <c r="K2123">
        <v>174</v>
      </c>
      <c r="L2123">
        <v>402</v>
      </c>
      <c r="M2123">
        <v>482</v>
      </c>
      <c r="N2123">
        <v>174</v>
      </c>
      <c r="O2123">
        <v>406</v>
      </c>
      <c r="P2123">
        <v>5</v>
      </c>
      <c r="Q2123">
        <v>169</v>
      </c>
      <c r="R2123">
        <v>392</v>
      </c>
      <c r="S2123">
        <v>467</v>
      </c>
      <c r="T2123" t="s">
        <v>31</v>
      </c>
      <c r="U2123" t="s">
        <v>31</v>
      </c>
      <c r="V2123" t="s">
        <v>31</v>
      </c>
      <c r="W2123" t="s">
        <v>31</v>
      </c>
      <c r="X2123" t="s">
        <v>31</v>
      </c>
      <c r="Y2123" t="s">
        <v>31</v>
      </c>
    </row>
    <row r="2124" spans="1:25" hidden="1">
      <c r="A2124" t="s">
        <v>25</v>
      </c>
      <c r="B2124" t="s">
        <v>26</v>
      </c>
      <c r="C2124" t="s">
        <v>60</v>
      </c>
      <c r="D2124" s="1">
        <v>45221</v>
      </c>
      <c r="E2124" s="2">
        <v>0.5625</v>
      </c>
      <c r="F2124" t="s">
        <v>45</v>
      </c>
      <c r="G2124" t="s">
        <v>39</v>
      </c>
      <c r="H2124">
        <v>0</v>
      </c>
      <c r="I2124">
        <v>0</v>
      </c>
      <c r="J2124" t="s">
        <v>41</v>
      </c>
      <c r="K2124">
        <v>266</v>
      </c>
      <c r="L2124">
        <v>331</v>
      </c>
      <c r="M2124">
        <v>287</v>
      </c>
      <c r="N2124">
        <v>266</v>
      </c>
      <c r="O2124">
        <v>368</v>
      </c>
      <c r="P2124">
        <v>287</v>
      </c>
      <c r="Q2124">
        <v>253</v>
      </c>
      <c r="R2124">
        <v>333</v>
      </c>
      <c r="S2124">
        <v>273</v>
      </c>
      <c r="T2124" t="s">
        <v>31</v>
      </c>
      <c r="U2124" t="s">
        <v>31</v>
      </c>
      <c r="V2124" t="s">
        <v>31</v>
      </c>
      <c r="W2124" t="s">
        <v>31</v>
      </c>
      <c r="X2124" t="s">
        <v>31</v>
      </c>
      <c r="Y2124" t="s">
        <v>31</v>
      </c>
    </row>
    <row r="2125" spans="1:25" hidden="1">
      <c r="A2125" t="s">
        <v>25</v>
      </c>
      <c r="B2125" t="s">
        <v>26</v>
      </c>
      <c r="C2125" t="s">
        <v>60</v>
      </c>
      <c r="D2125" s="1">
        <v>45221</v>
      </c>
      <c r="E2125" s="2">
        <v>0.5625</v>
      </c>
      <c r="F2125" t="s">
        <v>54</v>
      </c>
      <c r="G2125" t="s">
        <v>40</v>
      </c>
      <c r="H2125">
        <v>0</v>
      </c>
      <c r="I2125">
        <v>2</v>
      </c>
      <c r="J2125" t="s">
        <v>30</v>
      </c>
      <c r="K2125">
        <v>426</v>
      </c>
      <c r="L2125">
        <v>406</v>
      </c>
      <c r="M2125">
        <v>183</v>
      </c>
      <c r="N2125">
        <v>43</v>
      </c>
      <c r="O2125">
        <v>428</v>
      </c>
      <c r="P2125">
        <v>186</v>
      </c>
      <c r="Q2125">
        <v>396</v>
      </c>
      <c r="R2125">
        <v>393</v>
      </c>
      <c r="S2125">
        <v>18</v>
      </c>
      <c r="T2125" t="s">
        <v>31</v>
      </c>
      <c r="U2125" t="s">
        <v>31</v>
      </c>
      <c r="V2125" t="s">
        <v>31</v>
      </c>
      <c r="W2125" t="s">
        <v>31</v>
      </c>
      <c r="X2125" t="s">
        <v>31</v>
      </c>
      <c r="Y2125" t="s">
        <v>31</v>
      </c>
    </row>
    <row r="2126" spans="1:25" hidden="1">
      <c r="A2126" t="s">
        <v>25</v>
      </c>
      <c r="B2126" t="s">
        <v>26</v>
      </c>
      <c r="C2126" t="s">
        <v>60</v>
      </c>
      <c r="D2126" s="1">
        <v>45221</v>
      </c>
      <c r="E2126" s="2">
        <v>0.66666666666666663</v>
      </c>
      <c r="F2126" t="s">
        <v>35</v>
      </c>
      <c r="G2126" t="s">
        <v>56</v>
      </c>
      <c r="H2126">
        <v>2</v>
      </c>
      <c r="I2126">
        <v>3</v>
      </c>
      <c r="J2126" t="s">
        <v>30</v>
      </c>
      <c r="K2126">
        <v>153</v>
      </c>
      <c r="L2126">
        <v>455</v>
      </c>
      <c r="M2126">
        <v>632</v>
      </c>
      <c r="N2126">
        <v>164</v>
      </c>
      <c r="O2126">
        <v>459</v>
      </c>
      <c r="P2126">
        <v>659</v>
      </c>
      <c r="Q2126">
        <v>153</v>
      </c>
      <c r="R2126">
        <v>432</v>
      </c>
      <c r="S2126">
        <v>575</v>
      </c>
      <c r="T2126" t="s">
        <v>31</v>
      </c>
      <c r="U2126" t="s">
        <v>31</v>
      </c>
      <c r="V2126" t="s">
        <v>31</v>
      </c>
      <c r="W2126" t="s">
        <v>31</v>
      </c>
      <c r="X2126" t="s">
        <v>31</v>
      </c>
      <c r="Y2126" t="s">
        <v>31</v>
      </c>
    </row>
    <row r="2127" spans="1:25" hidden="1">
      <c r="A2127" t="s">
        <v>25</v>
      </c>
      <c r="B2127" t="s">
        <v>26</v>
      </c>
      <c r="C2127" t="s">
        <v>60</v>
      </c>
      <c r="D2127" s="1">
        <v>45227</v>
      </c>
      <c r="E2127" s="2">
        <v>0.66666666666666663</v>
      </c>
      <c r="F2127" t="s">
        <v>56</v>
      </c>
      <c r="G2127" t="s">
        <v>54</v>
      </c>
      <c r="H2127">
        <v>1</v>
      </c>
      <c r="I2127">
        <v>0</v>
      </c>
      <c r="J2127" t="s">
        <v>34</v>
      </c>
      <c r="K2127">
        <v>179</v>
      </c>
      <c r="L2127">
        <v>389</v>
      </c>
      <c r="M2127">
        <v>465</v>
      </c>
      <c r="N2127">
        <v>18</v>
      </c>
      <c r="O2127">
        <v>398</v>
      </c>
      <c r="P2127">
        <v>481</v>
      </c>
      <c r="Q2127">
        <v>175</v>
      </c>
      <c r="R2127">
        <v>379</v>
      </c>
      <c r="S2127">
        <v>441</v>
      </c>
      <c r="T2127" t="s">
        <v>31</v>
      </c>
      <c r="U2127" t="s">
        <v>31</v>
      </c>
      <c r="V2127" t="s">
        <v>31</v>
      </c>
      <c r="W2127" t="s">
        <v>31</v>
      </c>
      <c r="X2127" t="s">
        <v>31</v>
      </c>
      <c r="Y2127" t="s">
        <v>31</v>
      </c>
    </row>
    <row r="2128" spans="1:25" hidden="1">
      <c r="A2128" t="s">
        <v>25</v>
      </c>
      <c r="B2128" t="s">
        <v>26</v>
      </c>
      <c r="C2128" t="s">
        <v>60</v>
      </c>
      <c r="D2128" s="1">
        <v>45227</v>
      </c>
      <c r="E2128" s="2">
        <v>0.66666666666666663</v>
      </c>
      <c r="F2128" t="s">
        <v>61</v>
      </c>
      <c r="G2128" t="s">
        <v>39</v>
      </c>
      <c r="H2128">
        <v>2</v>
      </c>
      <c r="I2128">
        <v>0</v>
      </c>
      <c r="J2128" t="s">
        <v>34</v>
      </c>
      <c r="K2128">
        <v>276</v>
      </c>
      <c r="L2128">
        <v>343</v>
      </c>
      <c r="M2128">
        <v>268</v>
      </c>
      <c r="N2128">
        <v>276</v>
      </c>
      <c r="O2128">
        <v>358</v>
      </c>
      <c r="P2128">
        <v>268</v>
      </c>
      <c r="Q2128">
        <v>265</v>
      </c>
      <c r="R2128">
        <v>34</v>
      </c>
      <c r="S2128">
        <v>255</v>
      </c>
      <c r="T2128" t="s">
        <v>31</v>
      </c>
      <c r="U2128" t="s">
        <v>31</v>
      </c>
      <c r="V2128" t="s">
        <v>31</v>
      </c>
      <c r="W2128" t="s">
        <v>31</v>
      </c>
      <c r="X2128" t="s">
        <v>31</v>
      </c>
      <c r="Y2128" t="s">
        <v>31</v>
      </c>
    </row>
    <row r="2129" spans="1:25" hidden="1">
      <c r="A2129" t="s">
        <v>25</v>
      </c>
      <c r="B2129" t="s">
        <v>26</v>
      </c>
      <c r="C2129" t="s">
        <v>60</v>
      </c>
      <c r="D2129" s="1">
        <v>45227</v>
      </c>
      <c r="E2129" s="2">
        <v>0.66666666666666663</v>
      </c>
      <c r="F2129" t="s">
        <v>29</v>
      </c>
      <c r="G2129" t="s">
        <v>45</v>
      </c>
      <c r="H2129">
        <v>3</v>
      </c>
      <c r="I2129">
        <v>0</v>
      </c>
      <c r="J2129" t="s">
        <v>34</v>
      </c>
      <c r="K2129">
        <v>127</v>
      </c>
      <c r="L2129">
        <v>639</v>
      </c>
      <c r="M2129">
        <v>1139</v>
      </c>
      <c r="N2129">
        <v>133</v>
      </c>
      <c r="O2129">
        <v>639</v>
      </c>
      <c r="P2129">
        <v>1139</v>
      </c>
      <c r="Q2129">
        <v>128</v>
      </c>
      <c r="R2129">
        <v>568</v>
      </c>
      <c r="S2129">
        <v>983</v>
      </c>
      <c r="T2129" t="s">
        <v>31</v>
      </c>
      <c r="U2129" t="s">
        <v>31</v>
      </c>
      <c r="V2129" t="s">
        <v>31</v>
      </c>
      <c r="W2129" t="s">
        <v>31</v>
      </c>
      <c r="X2129" t="s">
        <v>31</v>
      </c>
      <c r="Y2129" t="s">
        <v>31</v>
      </c>
    </row>
    <row r="2130" spans="1:25" hidden="1">
      <c r="A2130" t="s">
        <v>25</v>
      </c>
      <c r="B2130" t="s">
        <v>26</v>
      </c>
      <c r="C2130" t="s">
        <v>60</v>
      </c>
      <c r="D2130" s="1">
        <v>45228</v>
      </c>
      <c r="E2130" s="2">
        <v>0.5625</v>
      </c>
      <c r="F2130" t="s">
        <v>59</v>
      </c>
      <c r="G2130" t="s">
        <v>52</v>
      </c>
      <c r="H2130">
        <v>0</v>
      </c>
      <c r="I2130">
        <v>4</v>
      </c>
      <c r="J2130" t="s">
        <v>30</v>
      </c>
      <c r="K2130">
        <v>462</v>
      </c>
      <c r="L2130">
        <v>404</v>
      </c>
      <c r="M2130">
        <v>177</v>
      </c>
      <c r="N2130">
        <v>462</v>
      </c>
      <c r="O2130">
        <v>41</v>
      </c>
      <c r="P2130">
        <v>177</v>
      </c>
      <c r="Q2130">
        <v>44</v>
      </c>
      <c r="R2130">
        <v>392</v>
      </c>
      <c r="S2130">
        <v>172</v>
      </c>
      <c r="T2130" t="s">
        <v>31</v>
      </c>
      <c r="U2130" t="s">
        <v>31</v>
      </c>
      <c r="V2130" t="s">
        <v>31</v>
      </c>
      <c r="W2130" t="s">
        <v>31</v>
      </c>
      <c r="X2130" t="s">
        <v>31</v>
      </c>
      <c r="Y2130" t="s">
        <v>31</v>
      </c>
    </row>
    <row r="2131" spans="1:25" hidden="1">
      <c r="A2131" t="s">
        <v>25</v>
      </c>
      <c r="B2131" t="s">
        <v>26</v>
      </c>
      <c r="C2131" t="s">
        <v>60</v>
      </c>
      <c r="D2131" s="1">
        <v>45228</v>
      </c>
      <c r="E2131" s="2">
        <v>0.5625</v>
      </c>
      <c r="F2131" t="s">
        <v>28</v>
      </c>
      <c r="G2131" t="s">
        <v>40</v>
      </c>
      <c r="H2131">
        <v>0</v>
      </c>
      <c r="I2131">
        <v>1</v>
      </c>
      <c r="J2131" t="s">
        <v>30</v>
      </c>
      <c r="K2131">
        <v>176</v>
      </c>
      <c r="L2131">
        <v>407</v>
      </c>
      <c r="M2131">
        <v>463</v>
      </c>
      <c r="N2131">
        <v>177</v>
      </c>
      <c r="O2131">
        <v>41</v>
      </c>
      <c r="P2131">
        <v>54</v>
      </c>
      <c r="Q2131">
        <v>171</v>
      </c>
      <c r="R2131">
        <v>388</v>
      </c>
      <c r="S2131">
        <v>455</v>
      </c>
      <c r="T2131" t="s">
        <v>31</v>
      </c>
      <c r="U2131" t="s">
        <v>31</v>
      </c>
      <c r="V2131" t="s">
        <v>31</v>
      </c>
      <c r="W2131" t="s">
        <v>31</v>
      </c>
      <c r="X2131" t="s">
        <v>31</v>
      </c>
      <c r="Y2131" t="s">
        <v>31</v>
      </c>
    </row>
    <row r="2132" spans="1:25" hidden="1">
      <c r="A2132" t="s">
        <v>25</v>
      </c>
      <c r="B2132" t="s">
        <v>26</v>
      </c>
      <c r="C2132" t="s">
        <v>60</v>
      </c>
      <c r="D2132" s="1">
        <v>45228</v>
      </c>
      <c r="E2132" s="2">
        <v>0.66666666666666663</v>
      </c>
      <c r="F2132" t="s">
        <v>35</v>
      </c>
      <c r="G2132" t="s">
        <v>50</v>
      </c>
      <c r="H2132">
        <v>3</v>
      </c>
      <c r="I2132">
        <v>3</v>
      </c>
      <c r="J2132" t="s">
        <v>41</v>
      </c>
      <c r="K2132">
        <v>214</v>
      </c>
      <c r="L2132">
        <v>368</v>
      </c>
      <c r="M2132">
        <v>347</v>
      </c>
      <c r="N2132">
        <v>215</v>
      </c>
      <c r="O2132">
        <v>378</v>
      </c>
      <c r="P2132">
        <v>347</v>
      </c>
      <c r="Q2132">
        <v>207</v>
      </c>
      <c r="R2132">
        <v>36</v>
      </c>
      <c r="S2132">
        <v>33</v>
      </c>
      <c r="T2132" t="s">
        <v>31</v>
      </c>
      <c r="U2132" t="s">
        <v>31</v>
      </c>
      <c r="V2132" t="s">
        <v>31</v>
      </c>
      <c r="W2132" t="s">
        <v>31</v>
      </c>
      <c r="X2132" t="s">
        <v>31</v>
      </c>
      <c r="Y2132" t="s">
        <v>31</v>
      </c>
    </row>
    <row r="2133" spans="1:25" hidden="1">
      <c r="A2133" t="s">
        <v>25</v>
      </c>
      <c r="B2133" t="s">
        <v>26</v>
      </c>
      <c r="C2133" t="s">
        <v>60</v>
      </c>
      <c r="D2133" s="1">
        <v>45234</v>
      </c>
      <c r="E2133" s="2">
        <v>0.66666666666666663</v>
      </c>
      <c r="F2133" t="s">
        <v>40</v>
      </c>
      <c r="G2133" t="s">
        <v>59</v>
      </c>
      <c r="H2133">
        <v>1</v>
      </c>
      <c r="I2133">
        <v>0</v>
      </c>
      <c r="J2133" t="s">
        <v>34</v>
      </c>
      <c r="K2133">
        <v>128</v>
      </c>
      <c r="L2133">
        <v>623</v>
      </c>
      <c r="M2133">
        <v>1031</v>
      </c>
      <c r="N2133">
        <v>133</v>
      </c>
      <c r="O2133">
        <v>65</v>
      </c>
      <c r="P2133">
        <v>11</v>
      </c>
      <c r="Q2133">
        <v>128</v>
      </c>
      <c r="R2133">
        <v>569</v>
      </c>
      <c r="S2133">
        <v>961</v>
      </c>
      <c r="T2133" t="s">
        <v>31</v>
      </c>
      <c r="U2133" t="s">
        <v>31</v>
      </c>
      <c r="V2133" t="s">
        <v>31</v>
      </c>
      <c r="W2133" t="s">
        <v>31</v>
      </c>
      <c r="X2133" t="s">
        <v>31</v>
      </c>
      <c r="Y2133" t="s">
        <v>31</v>
      </c>
    </row>
    <row r="2134" spans="1:25" hidden="1">
      <c r="A2134" t="s">
        <v>25</v>
      </c>
      <c r="B2134" t="s">
        <v>26</v>
      </c>
      <c r="C2134" t="s">
        <v>60</v>
      </c>
      <c r="D2134" s="1">
        <v>45234</v>
      </c>
      <c r="E2134" s="2">
        <v>0.66666666666666663</v>
      </c>
      <c r="F2134" t="s">
        <v>54</v>
      </c>
      <c r="G2134" t="s">
        <v>29</v>
      </c>
      <c r="H2134">
        <v>0</v>
      </c>
      <c r="I2134">
        <v>2</v>
      </c>
      <c r="J2134" t="s">
        <v>30</v>
      </c>
      <c r="K2134">
        <v>1161</v>
      </c>
      <c r="L2134">
        <v>658</v>
      </c>
      <c r="M2134">
        <v>125</v>
      </c>
      <c r="N2134">
        <v>1161</v>
      </c>
      <c r="O2134">
        <v>658</v>
      </c>
      <c r="P2134">
        <v>13</v>
      </c>
      <c r="Q2134">
        <v>1032</v>
      </c>
      <c r="R2134">
        <v>621</v>
      </c>
      <c r="S2134">
        <v>124</v>
      </c>
      <c r="T2134" t="s">
        <v>31</v>
      </c>
      <c r="U2134" t="s">
        <v>31</v>
      </c>
      <c r="V2134" t="s">
        <v>31</v>
      </c>
      <c r="W2134" t="s">
        <v>31</v>
      </c>
      <c r="X2134" t="s">
        <v>31</v>
      </c>
      <c r="Y2134" t="s">
        <v>31</v>
      </c>
    </row>
    <row r="2135" spans="1:25" hidden="1">
      <c r="A2135" t="s">
        <v>25</v>
      </c>
      <c r="B2135" t="s">
        <v>26</v>
      </c>
      <c r="C2135" t="s">
        <v>60</v>
      </c>
      <c r="D2135" s="1">
        <v>45234</v>
      </c>
      <c r="E2135" s="2">
        <v>0.66666666666666663</v>
      </c>
      <c r="F2135" t="s">
        <v>39</v>
      </c>
      <c r="G2135" t="s">
        <v>56</v>
      </c>
      <c r="H2135">
        <v>4</v>
      </c>
      <c r="I2135">
        <v>0</v>
      </c>
      <c r="J2135" t="s">
        <v>34</v>
      </c>
      <c r="K2135">
        <v>209</v>
      </c>
      <c r="L2135">
        <v>368</v>
      </c>
      <c r="M2135">
        <v>359</v>
      </c>
      <c r="N2135">
        <v>232</v>
      </c>
      <c r="O2135">
        <v>368</v>
      </c>
      <c r="P2135">
        <v>37</v>
      </c>
      <c r="Q2135">
        <v>209</v>
      </c>
      <c r="R2135">
        <v>353</v>
      </c>
      <c r="S2135">
        <v>334</v>
      </c>
      <c r="T2135" t="s">
        <v>31</v>
      </c>
      <c r="U2135" t="s">
        <v>31</v>
      </c>
      <c r="V2135" t="s">
        <v>31</v>
      </c>
      <c r="W2135" t="s">
        <v>31</v>
      </c>
      <c r="X2135" t="s">
        <v>31</v>
      </c>
      <c r="Y2135" t="s">
        <v>31</v>
      </c>
    </row>
    <row r="2136" spans="1:25" hidden="1">
      <c r="A2136" t="s">
        <v>25</v>
      </c>
      <c r="B2136" t="s">
        <v>26</v>
      </c>
      <c r="C2136" t="s">
        <v>60</v>
      </c>
      <c r="D2136" s="1">
        <v>45235</v>
      </c>
      <c r="E2136" s="2">
        <v>0.5625</v>
      </c>
      <c r="F2136" t="s">
        <v>45</v>
      </c>
      <c r="G2136" t="s">
        <v>35</v>
      </c>
      <c r="H2136">
        <v>0</v>
      </c>
      <c r="I2136">
        <v>2</v>
      </c>
      <c r="J2136" t="s">
        <v>30</v>
      </c>
      <c r="K2136">
        <v>446</v>
      </c>
      <c r="L2136">
        <v>378</v>
      </c>
      <c r="M2136">
        <v>185</v>
      </c>
      <c r="N2136">
        <v>454</v>
      </c>
      <c r="O2136">
        <v>378</v>
      </c>
      <c r="P2136">
        <v>185</v>
      </c>
      <c r="Q2136">
        <v>416</v>
      </c>
      <c r="R2136">
        <v>371</v>
      </c>
      <c r="S2136">
        <v>182</v>
      </c>
      <c r="T2136" t="s">
        <v>31</v>
      </c>
      <c r="U2136" t="s">
        <v>31</v>
      </c>
      <c r="V2136" t="s">
        <v>31</v>
      </c>
      <c r="W2136" t="s">
        <v>31</v>
      </c>
      <c r="X2136" t="s">
        <v>31</v>
      </c>
      <c r="Y2136" t="s">
        <v>31</v>
      </c>
    </row>
    <row r="2137" spans="1:25" hidden="1">
      <c r="A2137" t="s">
        <v>25</v>
      </c>
      <c r="B2137" t="s">
        <v>26</v>
      </c>
      <c r="C2137" t="s">
        <v>60</v>
      </c>
      <c r="D2137" s="1">
        <v>45235</v>
      </c>
      <c r="E2137" s="2">
        <v>0.5625</v>
      </c>
      <c r="F2137" t="s">
        <v>52</v>
      </c>
      <c r="G2137" t="s">
        <v>61</v>
      </c>
      <c r="H2137">
        <v>3</v>
      </c>
      <c r="I2137">
        <v>2</v>
      </c>
      <c r="J2137" t="s">
        <v>34</v>
      </c>
      <c r="K2137">
        <v>181</v>
      </c>
      <c r="L2137">
        <v>371</v>
      </c>
      <c r="M2137">
        <v>477</v>
      </c>
      <c r="N2137">
        <v>188</v>
      </c>
      <c r="O2137">
        <v>38</v>
      </c>
      <c r="P2137">
        <v>506</v>
      </c>
      <c r="Q2137">
        <v>177</v>
      </c>
      <c r="R2137">
        <v>365</v>
      </c>
      <c r="S2137">
        <v>447</v>
      </c>
      <c r="T2137" t="s">
        <v>31</v>
      </c>
      <c r="U2137" t="s">
        <v>31</v>
      </c>
      <c r="V2137" t="s">
        <v>31</v>
      </c>
      <c r="W2137" t="s">
        <v>31</v>
      </c>
      <c r="X2137" t="s">
        <v>31</v>
      </c>
      <c r="Y2137" t="s">
        <v>31</v>
      </c>
    </row>
    <row r="2138" spans="1:25" hidden="1">
      <c r="A2138" t="s">
        <v>25</v>
      </c>
      <c r="B2138" t="s">
        <v>26</v>
      </c>
      <c r="C2138" t="s">
        <v>60</v>
      </c>
      <c r="D2138" s="1">
        <v>45235</v>
      </c>
      <c r="E2138" s="2">
        <v>0.66666666666666663</v>
      </c>
      <c r="F2138" t="s">
        <v>50</v>
      </c>
      <c r="G2138" t="s">
        <v>28</v>
      </c>
      <c r="H2138">
        <v>3</v>
      </c>
      <c r="I2138">
        <v>1</v>
      </c>
      <c r="J2138" t="s">
        <v>34</v>
      </c>
      <c r="K2138">
        <v>287</v>
      </c>
      <c r="L2138">
        <v>33</v>
      </c>
      <c r="M2138">
        <v>266</v>
      </c>
      <c r="N2138">
        <v>287</v>
      </c>
      <c r="O2138">
        <v>343</v>
      </c>
      <c r="P2138">
        <v>266</v>
      </c>
      <c r="Q2138">
        <v>275</v>
      </c>
      <c r="R2138">
        <v>33</v>
      </c>
      <c r="S2138">
        <v>252</v>
      </c>
      <c r="T2138" t="s">
        <v>31</v>
      </c>
      <c r="U2138" t="s">
        <v>31</v>
      </c>
      <c r="V2138" t="s">
        <v>31</v>
      </c>
      <c r="W2138" t="s">
        <v>31</v>
      </c>
      <c r="X2138" t="s">
        <v>31</v>
      </c>
      <c r="Y2138" t="s">
        <v>31</v>
      </c>
    </row>
    <row r="2139" spans="1:25" hidden="1">
      <c r="A2139" t="s">
        <v>25</v>
      </c>
      <c r="B2139" t="s">
        <v>26</v>
      </c>
      <c r="C2139" t="s">
        <v>60</v>
      </c>
      <c r="D2139" s="1">
        <v>45241</v>
      </c>
      <c r="E2139" s="2">
        <v>0.66666666666666663</v>
      </c>
      <c r="F2139" t="s">
        <v>59</v>
      </c>
      <c r="G2139" t="s">
        <v>39</v>
      </c>
      <c r="H2139">
        <v>2</v>
      </c>
      <c r="I2139">
        <v>3</v>
      </c>
      <c r="J2139" t="s">
        <v>30</v>
      </c>
      <c r="K2139">
        <v>481</v>
      </c>
      <c r="L2139">
        <v>404</v>
      </c>
      <c r="M2139">
        <v>174</v>
      </c>
      <c r="N2139">
        <v>481</v>
      </c>
      <c r="O2139">
        <v>41</v>
      </c>
      <c r="P2139">
        <v>177</v>
      </c>
      <c r="Q2139">
        <v>453</v>
      </c>
      <c r="R2139">
        <v>385</v>
      </c>
      <c r="S2139">
        <v>171</v>
      </c>
      <c r="T2139" t="s">
        <v>31</v>
      </c>
      <c r="U2139" t="s">
        <v>31</v>
      </c>
      <c r="V2139" t="s">
        <v>31</v>
      </c>
      <c r="W2139" t="s">
        <v>31</v>
      </c>
      <c r="X2139" t="s">
        <v>31</v>
      </c>
      <c r="Y2139" t="s">
        <v>31</v>
      </c>
    </row>
    <row r="2140" spans="1:25" hidden="1">
      <c r="A2140" t="s">
        <v>25</v>
      </c>
      <c r="B2140" t="s">
        <v>26</v>
      </c>
      <c r="C2140" t="s">
        <v>60</v>
      </c>
      <c r="D2140" s="1">
        <v>45241</v>
      </c>
      <c r="E2140" s="2">
        <v>0.66666666666666663</v>
      </c>
      <c r="F2140" t="s">
        <v>52</v>
      </c>
      <c r="G2140" t="s">
        <v>35</v>
      </c>
      <c r="H2140">
        <v>1</v>
      </c>
      <c r="I2140">
        <v>0</v>
      </c>
      <c r="J2140" t="s">
        <v>34</v>
      </c>
      <c r="K2140">
        <v>363</v>
      </c>
      <c r="L2140">
        <v>378</v>
      </c>
      <c r="M2140">
        <v>205</v>
      </c>
      <c r="N2140">
        <v>363</v>
      </c>
      <c r="O2140">
        <v>385</v>
      </c>
      <c r="P2140">
        <v>21</v>
      </c>
      <c r="Q2140">
        <v>335</v>
      </c>
      <c r="R2140">
        <v>37</v>
      </c>
      <c r="S2140">
        <v>203</v>
      </c>
      <c r="T2140" t="s">
        <v>31</v>
      </c>
      <c r="U2140" t="s">
        <v>31</v>
      </c>
      <c r="V2140" t="s">
        <v>31</v>
      </c>
      <c r="W2140" t="s">
        <v>31</v>
      </c>
      <c r="X2140" t="s">
        <v>31</v>
      </c>
      <c r="Y2140" t="s">
        <v>31</v>
      </c>
    </row>
    <row r="2141" spans="1:25" hidden="1">
      <c r="A2141" t="s">
        <v>25</v>
      </c>
      <c r="B2141" t="s">
        <v>26</v>
      </c>
      <c r="C2141" t="s">
        <v>60</v>
      </c>
      <c r="D2141" s="1">
        <v>45241</v>
      </c>
      <c r="E2141" s="2">
        <v>0.66666666666666663</v>
      </c>
      <c r="F2141" t="s">
        <v>54</v>
      </c>
      <c r="G2141" t="s">
        <v>45</v>
      </c>
      <c r="H2141">
        <v>5</v>
      </c>
      <c r="I2141">
        <v>1</v>
      </c>
      <c r="J2141" t="s">
        <v>34</v>
      </c>
      <c r="K2141">
        <v>367</v>
      </c>
      <c r="L2141">
        <v>345</v>
      </c>
      <c r="M2141">
        <v>215</v>
      </c>
      <c r="N2141">
        <v>367</v>
      </c>
      <c r="O2141">
        <v>355</v>
      </c>
      <c r="P2141">
        <v>22</v>
      </c>
      <c r="Q2141">
        <v>342</v>
      </c>
      <c r="R2141">
        <v>342</v>
      </c>
      <c r="S2141">
        <v>209</v>
      </c>
      <c r="T2141" t="s">
        <v>31</v>
      </c>
      <c r="U2141" t="s">
        <v>31</v>
      </c>
      <c r="V2141" t="s">
        <v>31</v>
      </c>
      <c r="W2141" t="s">
        <v>31</v>
      </c>
      <c r="X2141" t="s">
        <v>31</v>
      </c>
      <c r="Y2141" t="s">
        <v>31</v>
      </c>
    </row>
    <row r="2142" spans="1:25" hidden="1">
      <c r="A2142" t="s">
        <v>25</v>
      </c>
      <c r="B2142" t="s">
        <v>26</v>
      </c>
      <c r="C2142" t="s">
        <v>60</v>
      </c>
      <c r="D2142" s="1">
        <v>45242</v>
      </c>
      <c r="E2142" s="2">
        <v>0.5625</v>
      </c>
      <c r="F2142" t="s">
        <v>56</v>
      </c>
      <c r="G2142" t="s">
        <v>28</v>
      </c>
      <c r="H2142">
        <v>0</v>
      </c>
      <c r="I2142">
        <v>3</v>
      </c>
      <c r="J2142" t="s">
        <v>30</v>
      </c>
      <c r="K2142">
        <v>478</v>
      </c>
      <c r="L2142">
        <v>376</v>
      </c>
      <c r="M2142">
        <v>179</v>
      </c>
      <c r="N2142">
        <v>478</v>
      </c>
      <c r="O2142">
        <v>406</v>
      </c>
      <c r="P2142">
        <v>188</v>
      </c>
      <c r="Q2142">
        <v>44</v>
      </c>
      <c r="R2142">
        <v>37</v>
      </c>
      <c r="S2142">
        <v>177</v>
      </c>
      <c r="T2142" t="s">
        <v>31</v>
      </c>
      <c r="U2142" t="s">
        <v>31</v>
      </c>
      <c r="V2142" t="s">
        <v>31</v>
      </c>
      <c r="W2142" t="s">
        <v>31</v>
      </c>
      <c r="X2142" t="s">
        <v>31</v>
      </c>
      <c r="Y2142" t="s">
        <v>31</v>
      </c>
    </row>
    <row r="2143" spans="1:25" hidden="1">
      <c r="A2143" t="s">
        <v>25</v>
      </c>
      <c r="B2143" t="s">
        <v>26</v>
      </c>
      <c r="C2143" t="s">
        <v>60</v>
      </c>
      <c r="D2143" s="1">
        <v>45242</v>
      </c>
      <c r="E2143" s="2">
        <v>0.5625</v>
      </c>
      <c r="F2143" t="s">
        <v>61</v>
      </c>
      <c r="G2143" t="s">
        <v>50</v>
      </c>
      <c r="H2143">
        <v>2</v>
      </c>
      <c r="I2143">
        <v>0</v>
      </c>
      <c r="J2143" t="s">
        <v>34</v>
      </c>
      <c r="K2143">
        <v>512</v>
      </c>
      <c r="L2143">
        <v>372</v>
      </c>
      <c r="M2143">
        <v>177</v>
      </c>
      <c r="N2143">
        <v>512</v>
      </c>
      <c r="O2143">
        <v>374</v>
      </c>
      <c r="P2143">
        <v>186</v>
      </c>
      <c r="Q2143">
        <v>447</v>
      </c>
      <c r="R2143">
        <v>358</v>
      </c>
      <c r="S2143">
        <v>179</v>
      </c>
      <c r="T2143" t="s">
        <v>31</v>
      </c>
      <c r="U2143" t="s">
        <v>31</v>
      </c>
      <c r="V2143" t="s">
        <v>31</v>
      </c>
      <c r="W2143" t="s">
        <v>31</v>
      </c>
      <c r="X2143" t="s">
        <v>31</v>
      </c>
      <c r="Y2143" t="s">
        <v>31</v>
      </c>
    </row>
    <row r="2144" spans="1:25" hidden="1">
      <c r="A2144" t="s">
        <v>25</v>
      </c>
      <c r="B2144" t="s">
        <v>26</v>
      </c>
      <c r="C2144" t="s">
        <v>60</v>
      </c>
      <c r="D2144" s="1">
        <v>45242</v>
      </c>
      <c r="E2144" s="2">
        <v>0.66666666666666663</v>
      </c>
      <c r="F2144" t="s">
        <v>40</v>
      </c>
      <c r="G2144" t="s">
        <v>29</v>
      </c>
      <c r="H2144">
        <v>0</v>
      </c>
      <c r="I2144">
        <v>0</v>
      </c>
      <c r="J2144" t="s">
        <v>41</v>
      </c>
      <c r="K2144">
        <v>426</v>
      </c>
      <c r="L2144">
        <v>385</v>
      </c>
      <c r="M2144">
        <v>187</v>
      </c>
      <c r="N2144">
        <v>44</v>
      </c>
      <c r="O2144">
        <v>404</v>
      </c>
      <c r="P2144">
        <v>189</v>
      </c>
      <c r="Q2144">
        <v>404</v>
      </c>
      <c r="R2144">
        <v>379</v>
      </c>
      <c r="S2144">
        <v>181</v>
      </c>
      <c r="T2144" t="s">
        <v>31</v>
      </c>
      <c r="U2144" t="s">
        <v>31</v>
      </c>
      <c r="V2144" t="s">
        <v>31</v>
      </c>
      <c r="W2144" t="s">
        <v>31</v>
      </c>
      <c r="X2144" t="s">
        <v>31</v>
      </c>
      <c r="Y2144" t="s">
        <v>31</v>
      </c>
    </row>
    <row r="2145" spans="1:25" hidden="1">
      <c r="A2145" t="s">
        <v>25</v>
      </c>
      <c r="B2145" t="s">
        <v>26</v>
      </c>
      <c r="C2145" t="s">
        <v>60</v>
      </c>
      <c r="D2145" s="1">
        <v>45255</v>
      </c>
      <c r="E2145" s="2">
        <v>0.66666666666666663</v>
      </c>
      <c r="F2145" t="s">
        <v>50</v>
      </c>
      <c r="G2145" t="s">
        <v>54</v>
      </c>
      <c r="H2145">
        <v>1</v>
      </c>
      <c r="I2145">
        <v>0</v>
      </c>
      <c r="J2145" t="s">
        <v>34</v>
      </c>
      <c r="K2145">
        <v>135</v>
      </c>
      <c r="L2145">
        <v>56</v>
      </c>
      <c r="M2145">
        <v>881</v>
      </c>
      <c r="N2145">
        <v>137</v>
      </c>
      <c r="O2145">
        <v>57</v>
      </c>
      <c r="P2145">
        <v>916</v>
      </c>
      <c r="Q2145">
        <v>134</v>
      </c>
      <c r="R2145">
        <v>514</v>
      </c>
      <c r="S2145">
        <v>817</v>
      </c>
      <c r="T2145" t="s">
        <v>31</v>
      </c>
      <c r="U2145" t="s">
        <v>31</v>
      </c>
      <c r="V2145" t="s">
        <v>31</v>
      </c>
      <c r="W2145" t="s">
        <v>31</v>
      </c>
      <c r="X2145" t="s">
        <v>31</v>
      </c>
      <c r="Y2145" t="s">
        <v>31</v>
      </c>
    </row>
    <row r="2146" spans="1:25" hidden="1">
      <c r="A2146" t="s">
        <v>25</v>
      </c>
      <c r="B2146" t="s">
        <v>26</v>
      </c>
      <c r="C2146" t="s">
        <v>60</v>
      </c>
      <c r="D2146" s="1">
        <v>45255</v>
      </c>
      <c r="E2146" s="2">
        <v>0.66666666666666663</v>
      </c>
      <c r="F2146" t="s">
        <v>29</v>
      </c>
      <c r="G2146" t="s">
        <v>52</v>
      </c>
      <c r="H2146">
        <v>3</v>
      </c>
      <c r="I2146">
        <v>2</v>
      </c>
      <c r="J2146" t="s">
        <v>34</v>
      </c>
      <c r="K2146">
        <v>153</v>
      </c>
      <c r="L2146">
        <v>467</v>
      </c>
      <c r="M2146">
        <v>629</v>
      </c>
      <c r="N2146">
        <v>154</v>
      </c>
      <c r="O2146">
        <v>485</v>
      </c>
      <c r="P2146">
        <v>65</v>
      </c>
      <c r="Q2146">
        <v>15</v>
      </c>
      <c r="R2146">
        <v>446</v>
      </c>
      <c r="S2146">
        <v>588</v>
      </c>
      <c r="T2146" t="s">
        <v>31</v>
      </c>
      <c r="U2146" t="s">
        <v>31</v>
      </c>
      <c r="V2146" t="s">
        <v>31</v>
      </c>
      <c r="W2146" t="s">
        <v>31</v>
      </c>
      <c r="X2146" t="s">
        <v>31</v>
      </c>
      <c r="Y2146" t="s">
        <v>31</v>
      </c>
    </row>
    <row r="2147" spans="1:25" hidden="1">
      <c r="A2147" t="s">
        <v>25</v>
      </c>
      <c r="B2147" t="s">
        <v>26</v>
      </c>
      <c r="C2147" t="s">
        <v>60</v>
      </c>
      <c r="D2147" s="1">
        <v>45255</v>
      </c>
      <c r="E2147" s="2">
        <v>0.66666666666666663</v>
      </c>
      <c r="F2147" t="s">
        <v>28</v>
      </c>
      <c r="G2147" t="s">
        <v>59</v>
      </c>
      <c r="H2147">
        <v>2</v>
      </c>
      <c r="I2147">
        <v>0</v>
      </c>
      <c r="J2147" t="s">
        <v>34</v>
      </c>
      <c r="K2147">
        <v>122</v>
      </c>
      <c r="L2147">
        <v>709</v>
      </c>
      <c r="M2147">
        <v>1296</v>
      </c>
      <c r="N2147">
        <v>125</v>
      </c>
      <c r="O2147">
        <v>73</v>
      </c>
      <c r="P2147">
        <v>15</v>
      </c>
      <c r="Q2147">
        <v>121</v>
      </c>
      <c r="R2147">
        <v>644</v>
      </c>
      <c r="S2147">
        <v>1252</v>
      </c>
      <c r="T2147" t="s">
        <v>31</v>
      </c>
      <c r="U2147" t="s">
        <v>31</v>
      </c>
      <c r="V2147" t="s">
        <v>31</v>
      </c>
      <c r="W2147" t="s">
        <v>31</v>
      </c>
      <c r="X2147" t="s">
        <v>31</v>
      </c>
      <c r="Y2147" t="s">
        <v>31</v>
      </c>
    </row>
    <row r="2148" spans="1:25" hidden="1">
      <c r="A2148" t="s">
        <v>25</v>
      </c>
      <c r="B2148" t="s">
        <v>26</v>
      </c>
      <c r="C2148" t="s">
        <v>60</v>
      </c>
      <c r="D2148" s="1">
        <v>45256</v>
      </c>
      <c r="E2148" s="2">
        <v>0.5625</v>
      </c>
      <c r="F2148" t="s">
        <v>45</v>
      </c>
      <c r="G2148" t="s">
        <v>56</v>
      </c>
      <c r="H2148">
        <v>0</v>
      </c>
      <c r="I2148">
        <v>1</v>
      </c>
      <c r="J2148" t="s">
        <v>30</v>
      </c>
      <c r="K2148">
        <v>215</v>
      </c>
      <c r="L2148">
        <v>326</v>
      </c>
      <c r="M2148">
        <v>389</v>
      </c>
      <c r="N2148">
        <v>218</v>
      </c>
      <c r="O2148">
        <v>332</v>
      </c>
      <c r="P2148">
        <v>389</v>
      </c>
      <c r="Q2148">
        <v>211</v>
      </c>
      <c r="R2148">
        <v>321</v>
      </c>
      <c r="S2148">
        <v>36</v>
      </c>
      <c r="T2148" t="s">
        <v>31</v>
      </c>
      <c r="U2148" t="s">
        <v>31</v>
      </c>
      <c r="V2148" t="s">
        <v>31</v>
      </c>
      <c r="W2148" t="s">
        <v>31</v>
      </c>
      <c r="X2148" t="s">
        <v>31</v>
      </c>
      <c r="Y2148" t="s">
        <v>31</v>
      </c>
    </row>
    <row r="2149" spans="1:25" hidden="1">
      <c r="A2149" t="s">
        <v>25</v>
      </c>
      <c r="B2149" t="s">
        <v>26</v>
      </c>
      <c r="C2149" t="s">
        <v>60</v>
      </c>
      <c r="D2149" s="1">
        <v>45256</v>
      </c>
      <c r="E2149" s="2">
        <v>0.5625</v>
      </c>
      <c r="F2149" t="s">
        <v>39</v>
      </c>
      <c r="G2149" t="s">
        <v>40</v>
      </c>
      <c r="H2149">
        <v>1</v>
      </c>
      <c r="I2149">
        <v>0</v>
      </c>
      <c r="J2149" t="s">
        <v>34</v>
      </c>
      <c r="K2149">
        <v>252</v>
      </c>
      <c r="L2149">
        <v>347</v>
      </c>
      <c r="M2149">
        <v>292</v>
      </c>
      <c r="N2149">
        <v>266</v>
      </c>
      <c r="O2149">
        <v>36</v>
      </c>
      <c r="P2149">
        <v>292</v>
      </c>
      <c r="Q2149">
        <v>246</v>
      </c>
      <c r="R2149">
        <v>344</v>
      </c>
      <c r="S2149">
        <v>274</v>
      </c>
      <c r="T2149" t="s">
        <v>31</v>
      </c>
      <c r="U2149" t="s">
        <v>31</v>
      </c>
      <c r="V2149" t="s">
        <v>31</v>
      </c>
      <c r="W2149" t="s">
        <v>31</v>
      </c>
      <c r="X2149" t="s">
        <v>31</v>
      </c>
      <c r="Y2149" t="s">
        <v>31</v>
      </c>
    </row>
    <row r="2150" spans="1:25" hidden="1">
      <c r="A2150" t="s">
        <v>25</v>
      </c>
      <c r="B2150" t="s">
        <v>26</v>
      </c>
      <c r="C2150" t="s">
        <v>60</v>
      </c>
      <c r="D2150" s="1">
        <v>45256</v>
      </c>
      <c r="E2150" s="2">
        <v>0.66666666666666663</v>
      </c>
      <c r="F2150" t="s">
        <v>35</v>
      </c>
      <c r="G2150" t="s">
        <v>61</v>
      </c>
      <c r="H2150">
        <v>1</v>
      </c>
      <c r="I2150">
        <v>0</v>
      </c>
      <c r="J2150" t="s">
        <v>34</v>
      </c>
      <c r="K2150">
        <v>136</v>
      </c>
      <c r="L2150">
        <v>552</v>
      </c>
      <c r="M2150">
        <v>875</v>
      </c>
      <c r="N2150">
        <v>141</v>
      </c>
      <c r="O2150">
        <v>552</v>
      </c>
      <c r="P2150">
        <v>887</v>
      </c>
      <c r="Q2150">
        <v>135</v>
      </c>
      <c r="R2150">
        <v>508</v>
      </c>
      <c r="S2150">
        <v>802</v>
      </c>
      <c r="T2150" t="s">
        <v>31</v>
      </c>
      <c r="U2150" t="s">
        <v>31</v>
      </c>
      <c r="V2150" t="s">
        <v>31</v>
      </c>
      <c r="W2150" t="s">
        <v>31</v>
      </c>
      <c r="X2150" t="s">
        <v>31</v>
      </c>
      <c r="Y2150" t="s">
        <v>31</v>
      </c>
    </row>
    <row r="2151" spans="1:25" hidden="1">
      <c r="A2151" t="s">
        <v>25</v>
      </c>
      <c r="B2151" t="s">
        <v>26</v>
      </c>
      <c r="C2151" t="s">
        <v>60</v>
      </c>
      <c r="D2151" s="1">
        <v>45263</v>
      </c>
      <c r="E2151" s="2">
        <v>0.5625</v>
      </c>
      <c r="F2151" t="s">
        <v>61</v>
      </c>
      <c r="G2151" t="s">
        <v>28</v>
      </c>
      <c r="H2151">
        <v>1</v>
      </c>
      <c r="I2151">
        <v>1</v>
      </c>
      <c r="J2151" t="s">
        <v>41</v>
      </c>
      <c r="K2151">
        <v>412</v>
      </c>
      <c r="L2151">
        <v>357</v>
      </c>
      <c r="M2151">
        <v>198</v>
      </c>
      <c r="N2151">
        <v>439</v>
      </c>
      <c r="O2151">
        <v>365</v>
      </c>
      <c r="P2151">
        <v>198</v>
      </c>
      <c r="Q2151">
        <v>403</v>
      </c>
      <c r="R2151">
        <v>349</v>
      </c>
      <c r="S2151">
        <v>189</v>
      </c>
      <c r="T2151" t="s">
        <v>31</v>
      </c>
      <c r="U2151" t="s">
        <v>31</v>
      </c>
      <c r="V2151" t="s">
        <v>31</v>
      </c>
      <c r="W2151" t="s">
        <v>31</v>
      </c>
      <c r="X2151" t="s">
        <v>31</v>
      </c>
      <c r="Y2151" t="s">
        <v>31</v>
      </c>
    </row>
    <row r="2152" spans="1:25" hidden="1">
      <c r="A2152" t="s">
        <v>25</v>
      </c>
      <c r="B2152" t="s">
        <v>26</v>
      </c>
      <c r="C2152" t="s">
        <v>60</v>
      </c>
      <c r="D2152" s="1">
        <v>45263</v>
      </c>
      <c r="E2152" s="2">
        <v>0.5625</v>
      </c>
      <c r="F2152" t="s">
        <v>29</v>
      </c>
      <c r="G2152" t="s">
        <v>39</v>
      </c>
      <c r="H2152">
        <v>1</v>
      </c>
      <c r="I2152">
        <v>0</v>
      </c>
      <c r="J2152" t="s">
        <v>34</v>
      </c>
      <c r="K2152">
        <v>149</v>
      </c>
      <c r="L2152">
        <v>494</v>
      </c>
      <c r="M2152">
        <v>63</v>
      </c>
      <c r="N2152">
        <v>165</v>
      </c>
      <c r="O2152">
        <v>48</v>
      </c>
      <c r="P2152">
        <v>77</v>
      </c>
      <c r="Q2152">
        <v>156</v>
      </c>
      <c r="R2152">
        <v>43</v>
      </c>
      <c r="S2152">
        <v>532</v>
      </c>
      <c r="T2152" t="s">
        <v>31</v>
      </c>
      <c r="U2152" t="s">
        <v>31</v>
      </c>
      <c r="V2152" t="s">
        <v>31</v>
      </c>
      <c r="W2152" t="s">
        <v>31</v>
      </c>
      <c r="X2152" t="s">
        <v>31</v>
      </c>
      <c r="Y2152" t="s">
        <v>31</v>
      </c>
    </row>
    <row r="2153" spans="1:25" hidden="1">
      <c r="A2153" t="s">
        <v>25</v>
      </c>
      <c r="B2153" t="s">
        <v>26</v>
      </c>
      <c r="C2153" t="s">
        <v>60</v>
      </c>
      <c r="D2153" s="1">
        <v>45263</v>
      </c>
      <c r="E2153" s="2">
        <v>0.66666666666666663</v>
      </c>
      <c r="F2153" t="s">
        <v>40</v>
      </c>
      <c r="G2153" t="s">
        <v>50</v>
      </c>
      <c r="H2153">
        <v>0</v>
      </c>
      <c r="I2153">
        <v>0</v>
      </c>
      <c r="J2153" t="s">
        <v>41</v>
      </c>
      <c r="K2153">
        <v>245</v>
      </c>
      <c r="L2153">
        <v>342</v>
      </c>
      <c r="M2153">
        <v>306</v>
      </c>
      <c r="N2153">
        <v>273</v>
      </c>
      <c r="O2153">
        <v>355</v>
      </c>
      <c r="P2153">
        <v>309</v>
      </c>
      <c r="Q2153">
        <v>24</v>
      </c>
      <c r="R2153">
        <v>338</v>
      </c>
      <c r="S2153">
        <v>285</v>
      </c>
      <c r="T2153" t="s">
        <v>31</v>
      </c>
      <c r="U2153" t="s">
        <v>31</v>
      </c>
      <c r="V2153" t="s">
        <v>31</v>
      </c>
      <c r="W2153" t="s">
        <v>31</v>
      </c>
      <c r="X2153" t="s">
        <v>31</v>
      </c>
      <c r="Y2153" t="s">
        <v>31</v>
      </c>
    </row>
    <row r="2154" spans="1:25" hidden="1">
      <c r="A2154" t="s">
        <v>25</v>
      </c>
      <c r="B2154" t="s">
        <v>26</v>
      </c>
      <c r="C2154" t="s">
        <v>60</v>
      </c>
      <c r="D2154" s="1">
        <v>45264</v>
      </c>
      <c r="E2154" s="2">
        <v>0.75</v>
      </c>
      <c r="F2154" t="s">
        <v>56</v>
      </c>
      <c r="G2154" t="s">
        <v>52</v>
      </c>
      <c r="H2154">
        <v>1</v>
      </c>
      <c r="I2154">
        <v>1</v>
      </c>
      <c r="J2154" t="s">
        <v>41</v>
      </c>
      <c r="K2154">
        <v>39</v>
      </c>
      <c r="L2154">
        <v>371</v>
      </c>
      <c r="M2154">
        <v>199</v>
      </c>
      <c r="N2154">
        <v>4</v>
      </c>
      <c r="O2154">
        <v>371</v>
      </c>
      <c r="P2154">
        <v>21</v>
      </c>
      <c r="Q2154">
        <v>37</v>
      </c>
      <c r="R2154">
        <v>348</v>
      </c>
      <c r="S2154">
        <v>199</v>
      </c>
      <c r="T2154" t="s">
        <v>31</v>
      </c>
      <c r="U2154" t="s">
        <v>31</v>
      </c>
      <c r="V2154" t="s">
        <v>31</v>
      </c>
      <c r="W2154" t="s">
        <v>31</v>
      </c>
      <c r="X2154" t="s">
        <v>31</v>
      </c>
      <c r="Y2154" t="s">
        <v>31</v>
      </c>
    </row>
    <row r="2155" spans="1:25" hidden="1">
      <c r="A2155" t="s">
        <v>25</v>
      </c>
      <c r="B2155" t="s">
        <v>26</v>
      </c>
      <c r="C2155" t="s">
        <v>60</v>
      </c>
      <c r="D2155" s="1">
        <v>45265</v>
      </c>
      <c r="E2155" s="2">
        <v>0.75</v>
      </c>
      <c r="F2155" t="s">
        <v>45</v>
      </c>
      <c r="G2155" t="s">
        <v>59</v>
      </c>
      <c r="H2155">
        <v>3</v>
      </c>
      <c r="I2155">
        <v>0</v>
      </c>
      <c r="J2155" t="s">
        <v>34</v>
      </c>
      <c r="K2155">
        <v>167</v>
      </c>
      <c r="L2155">
        <v>382</v>
      </c>
      <c r="M2155">
        <v>595</v>
      </c>
      <c r="N2155">
        <v>174</v>
      </c>
      <c r="O2155">
        <v>383</v>
      </c>
      <c r="P2155">
        <v>6</v>
      </c>
      <c r="Q2155">
        <v>166</v>
      </c>
      <c r="R2155">
        <v>364</v>
      </c>
      <c r="S2155">
        <v>54</v>
      </c>
      <c r="T2155" t="s">
        <v>31</v>
      </c>
      <c r="U2155" t="s">
        <v>31</v>
      </c>
      <c r="V2155" t="s">
        <v>31</v>
      </c>
      <c r="W2155" t="s">
        <v>31</v>
      </c>
      <c r="X2155" t="s">
        <v>31</v>
      </c>
      <c r="Y2155" t="s">
        <v>31</v>
      </c>
    </row>
    <row r="2156" spans="1:25" hidden="1">
      <c r="A2156" t="s">
        <v>25</v>
      </c>
      <c r="B2156" t="s">
        <v>26</v>
      </c>
      <c r="C2156" t="s">
        <v>60</v>
      </c>
      <c r="D2156" s="1">
        <v>45265</v>
      </c>
      <c r="E2156" s="2">
        <v>0.75</v>
      </c>
      <c r="F2156" t="s">
        <v>54</v>
      </c>
      <c r="G2156" t="s">
        <v>35</v>
      </c>
      <c r="H2156">
        <v>1</v>
      </c>
      <c r="I2156">
        <v>2</v>
      </c>
      <c r="J2156" t="s">
        <v>30</v>
      </c>
      <c r="K2156">
        <v>64</v>
      </c>
      <c r="L2156">
        <v>502</v>
      </c>
      <c r="M2156">
        <v>148</v>
      </c>
      <c r="N2156">
        <v>657</v>
      </c>
      <c r="O2156">
        <v>502</v>
      </c>
      <c r="P2156">
        <v>157</v>
      </c>
      <c r="Q2156">
        <v>591</v>
      </c>
      <c r="R2156">
        <v>472</v>
      </c>
      <c r="S2156">
        <v>147</v>
      </c>
      <c r="T2156" t="s">
        <v>31</v>
      </c>
      <c r="U2156" t="s">
        <v>31</v>
      </c>
      <c r="V2156" t="s">
        <v>31</v>
      </c>
      <c r="W2156" t="s">
        <v>31</v>
      </c>
      <c r="X2156" t="s">
        <v>31</v>
      </c>
      <c r="Y2156" t="s">
        <v>31</v>
      </c>
    </row>
    <row r="2157" spans="1:25" hidden="1">
      <c r="A2157" t="s">
        <v>25</v>
      </c>
      <c r="B2157" t="s">
        <v>26</v>
      </c>
      <c r="C2157" t="s">
        <v>60</v>
      </c>
      <c r="D2157" s="1">
        <v>45269</v>
      </c>
      <c r="E2157" s="2">
        <v>0.5625</v>
      </c>
      <c r="F2157" t="s">
        <v>35</v>
      </c>
      <c r="G2157" t="s">
        <v>29</v>
      </c>
      <c r="H2157">
        <v>0</v>
      </c>
      <c r="I2157">
        <v>1</v>
      </c>
      <c r="J2157" t="s">
        <v>30</v>
      </c>
      <c r="K2157">
        <v>253</v>
      </c>
      <c r="L2157">
        <v>372</v>
      </c>
      <c r="M2157">
        <v>275</v>
      </c>
      <c r="N2157">
        <v>37</v>
      </c>
      <c r="O2157">
        <v>372</v>
      </c>
      <c r="P2157">
        <v>275</v>
      </c>
      <c r="Q2157">
        <v>255</v>
      </c>
      <c r="R2157">
        <v>36</v>
      </c>
      <c r="S2157">
        <v>257</v>
      </c>
      <c r="T2157" t="s">
        <v>31</v>
      </c>
      <c r="U2157" t="s">
        <v>31</v>
      </c>
      <c r="V2157" t="s">
        <v>31</v>
      </c>
      <c r="W2157" t="s">
        <v>31</v>
      </c>
      <c r="X2157" t="s">
        <v>31</v>
      </c>
      <c r="Y2157" t="s">
        <v>31</v>
      </c>
    </row>
    <row r="2158" spans="1:25" hidden="1">
      <c r="A2158" t="s">
        <v>25</v>
      </c>
      <c r="B2158" t="s">
        <v>26</v>
      </c>
      <c r="C2158" t="s">
        <v>60</v>
      </c>
      <c r="D2158" s="1">
        <v>45269</v>
      </c>
      <c r="E2158" s="2">
        <v>0.66666666666666663</v>
      </c>
      <c r="F2158" t="s">
        <v>56</v>
      </c>
      <c r="G2158" t="s">
        <v>40</v>
      </c>
      <c r="H2158">
        <v>2</v>
      </c>
      <c r="I2158">
        <v>2</v>
      </c>
      <c r="J2158" t="s">
        <v>41</v>
      </c>
      <c r="K2158">
        <v>377</v>
      </c>
      <c r="L2158">
        <v>362</v>
      </c>
      <c r="M2158">
        <v>205</v>
      </c>
      <c r="N2158">
        <v>38</v>
      </c>
      <c r="O2158">
        <v>365</v>
      </c>
      <c r="P2158">
        <v>25</v>
      </c>
      <c r="Q2158">
        <v>349</v>
      </c>
      <c r="R2158">
        <v>35</v>
      </c>
      <c r="S2158">
        <v>204</v>
      </c>
      <c r="T2158" t="s">
        <v>31</v>
      </c>
      <c r="U2158" t="s">
        <v>31</v>
      </c>
      <c r="V2158" t="s">
        <v>31</v>
      </c>
      <c r="W2158" t="s">
        <v>31</v>
      </c>
      <c r="X2158" t="s">
        <v>31</v>
      </c>
      <c r="Y2158" t="s">
        <v>31</v>
      </c>
    </row>
    <row r="2159" spans="1:25" hidden="1">
      <c r="A2159" t="s">
        <v>25</v>
      </c>
      <c r="B2159" t="s">
        <v>26</v>
      </c>
      <c r="C2159" t="s">
        <v>60</v>
      </c>
      <c r="D2159" s="1">
        <v>45269</v>
      </c>
      <c r="E2159" s="2">
        <v>0.66666666666666663</v>
      </c>
      <c r="F2159" t="s">
        <v>59</v>
      </c>
      <c r="G2159" t="s">
        <v>50</v>
      </c>
      <c r="H2159">
        <v>1</v>
      </c>
      <c r="I2159">
        <v>3</v>
      </c>
      <c r="J2159" t="s">
        <v>30</v>
      </c>
      <c r="K2159">
        <v>913</v>
      </c>
      <c r="L2159">
        <v>534</v>
      </c>
      <c r="M2159">
        <v>136</v>
      </c>
      <c r="N2159">
        <v>913</v>
      </c>
      <c r="O2159">
        <v>54</v>
      </c>
      <c r="P2159">
        <v>153</v>
      </c>
      <c r="Q2159">
        <v>819</v>
      </c>
      <c r="R2159">
        <v>494</v>
      </c>
      <c r="S2159">
        <v>135</v>
      </c>
      <c r="T2159" t="s">
        <v>31</v>
      </c>
      <c r="U2159" t="s">
        <v>31</v>
      </c>
      <c r="V2159" t="s">
        <v>31</v>
      </c>
      <c r="W2159" t="s">
        <v>31</v>
      </c>
      <c r="X2159" t="s">
        <v>31</v>
      </c>
      <c r="Y2159" t="s">
        <v>31</v>
      </c>
    </row>
    <row r="2160" spans="1:25" hidden="1">
      <c r="A2160" t="s">
        <v>25</v>
      </c>
      <c r="B2160" t="s">
        <v>26</v>
      </c>
      <c r="C2160" t="s">
        <v>60</v>
      </c>
      <c r="D2160" s="1">
        <v>45270</v>
      </c>
      <c r="E2160" s="2">
        <v>0.5625</v>
      </c>
      <c r="F2160" t="s">
        <v>61</v>
      </c>
      <c r="G2160" t="s">
        <v>54</v>
      </c>
      <c r="H2160">
        <v>1</v>
      </c>
      <c r="I2160">
        <v>2</v>
      </c>
      <c r="J2160" t="s">
        <v>30</v>
      </c>
      <c r="K2160">
        <v>218</v>
      </c>
      <c r="L2160">
        <v>359</v>
      </c>
      <c r="M2160">
        <v>345</v>
      </c>
      <c r="N2160">
        <v>221</v>
      </c>
      <c r="O2160">
        <v>359</v>
      </c>
      <c r="P2160">
        <v>36</v>
      </c>
      <c r="Q2160">
        <v>211</v>
      </c>
      <c r="R2160">
        <v>343</v>
      </c>
      <c r="S2160">
        <v>332</v>
      </c>
      <c r="T2160" t="s">
        <v>31</v>
      </c>
      <c r="U2160" t="s">
        <v>31</v>
      </c>
      <c r="V2160" t="s">
        <v>31</v>
      </c>
      <c r="W2160" t="s">
        <v>31</v>
      </c>
      <c r="X2160" t="s">
        <v>31</v>
      </c>
      <c r="Y2160" t="s">
        <v>31</v>
      </c>
    </row>
    <row r="2161" spans="1:25" hidden="1">
      <c r="A2161" t="s">
        <v>25</v>
      </c>
      <c r="B2161" t="s">
        <v>26</v>
      </c>
      <c r="C2161" t="s">
        <v>60</v>
      </c>
      <c r="D2161" s="1">
        <v>45270</v>
      </c>
      <c r="E2161" s="2">
        <v>0.5625</v>
      </c>
      <c r="F2161" t="s">
        <v>52</v>
      </c>
      <c r="G2161" t="s">
        <v>39</v>
      </c>
      <c r="H2161">
        <v>2</v>
      </c>
      <c r="I2161">
        <v>0</v>
      </c>
      <c r="J2161" t="s">
        <v>34</v>
      </c>
      <c r="K2161">
        <v>27</v>
      </c>
      <c r="L2161">
        <v>353</v>
      </c>
      <c r="M2161">
        <v>267</v>
      </c>
      <c r="N2161">
        <v>27</v>
      </c>
      <c r="O2161">
        <v>358</v>
      </c>
      <c r="P2161">
        <v>31</v>
      </c>
      <c r="Q2161">
        <v>256</v>
      </c>
      <c r="R2161">
        <v>344</v>
      </c>
      <c r="S2161">
        <v>261</v>
      </c>
      <c r="T2161" t="s">
        <v>31</v>
      </c>
      <c r="U2161" t="s">
        <v>31</v>
      </c>
      <c r="V2161" t="s">
        <v>31</v>
      </c>
      <c r="W2161" t="s">
        <v>31</v>
      </c>
      <c r="X2161" t="s">
        <v>31</v>
      </c>
      <c r="Y2161" t="s">
        <v>31</v>
      </c>
    </row>
    <row r="2162" spans="1:25" hidden="1">
      <c r="A2162" t="s">
        <v>25</v>
      </c>
      <c r="B2162" t="s">
        <v>26</v>
      </c>
      <c r="C2162" t="s">
        <v>60</v>
      </c>
      <c r="D2162" s="1">
        <v>45270</v>
      </c>
      <c r="E2162" s="2">
        <v>0.66666666666666663</v>
      </c>
      <c r="F2162" t="s">
        <v>28</v>
      </c>
      <c r="G2162" t="s">
        <v>45</v>
      </c>
      <c r="H2162">
        <v>1</v>
      </c>
      <c r="I2162">
        <v>0</v>
      </c>
      <c r="J2162" t="s">
        <v>34</v>
      </c>
      <c r="K2162">
        <v>155</v>
      </c>
      <c r="L2162">
        <v>431</v>
      </c>
      <c r="M2162">
        <v>651</v>
      </c>
      <c r="N2162">
        <v>169</v>
      </c>
      <c r="O2162">
        <v>475</v>
      </c>
      <c r="P2162">
        <v>651</v>
      </c>
      <c r="Q2162">
        <v>154</v>
      </c>
      <c r="R2162">
        <v>413</v>
      </c>
      <c r="S2162">
        <v>585</v>
      </c>
      <c r="T2162" t="s">
        <v>31</v>
      </c>
      <c r="U2162" t="s">
        <v>31</v>
      </c>
      <c r="V2162" t="s">
        <v>31</v>
      </c>
      <c r="W2162" t="s">
        <v>31</v>
      </c>
      <c r="X2162" t="s">
        <v>31</v>
      </c>
      <c r="Y2162" t="s">
        <v>31</v>
      </c>
    </row>
    <row r="2163" spans="1:25" hidden="1">
      <c r="A2163" t="s">
        <v>25</v>
      </c>
      <c r="B2163" t="s">
        <v>26</v>
      </c>
      <c r="C2163" t="s">
        <v>60</v>
      </c>
      <c r="D2163" s="1">
        <v>45331</v>
      </c>
      <c r="E2163" s="2">
        <v>0.8125</v>
      </c>
      <c r="F2163" t="s">
        <v>29</v>
      </c>
      <c r="G2163" t="s">
        <v>28</v>
      </c>
      <c r="H2163">
        <v>1</v>
      </c>
      <c r="I2163">
        <v>1</v>
      </c>
      <c r="J2163" t="s">
        <v>41</v>
      </c>
      <c r="K2163">
        <v>202</v>
      </c>
      <c r="L2163">
        <v>352</v>
      </c>
      <c r="M2163">
        <v>401</v>
      </c>
      <c r="N2163">
        <v>204</v>
      </c>
      <c r="O2163">
        <v>354</v>
      </c>
      <c r="P2163">
        <v>417</v>
      </c>
      <c r="Q2163">
        <v>196</v>
      </c>
      <c r="R2163">
        <v>343</v>
      </c>
      <c r="S2163">
        <v>376</v>
      </c>
      <c r="T2163" t="s">
        <v>31</v>
      </c>
      <c r="U2163" t="s">
        <v>31</v>
      </c>
      <c r="V2163" t="s">
        <v>31</v>
      </c>
      <c r="W2163" t="s">
        <v>31</v>
      </c>
      <c r="X2163" t="s">
        <v>31</v>
      </c>
      <c r="Y2163" t="s">
        <v>31</v>
      </c>
    </row>
    <row r="2164" spans="1:25" hidden="1">
      <c r="A2164" t="s">
        <v>25</v>
      </c>
      <c r="B2164" t="s">
        <v>26</v>
      </c>
      <c r="C2164" t="s">
        <v>60</v>
      </c>
      <c r="D2164" s="1">
        <v>45332</v>
      </c>
      <c r="E2164" s="2">
        <v>0.66666666666666663</v>
      </c>
      <c r="F2164" t="s">
        <v>45</v>
      </c>
      <c r="G2164" t="s">
        <v>61</v>
      </c>
      <c r="H2164">
        <v>1</v>
      </c>
      <c r="I2164">
        <v>1</v>
      </c>
      <c r="J2164" t="s">
        <v>41</v>
      </c>
      <c r="K2164">
        <v>238</v>
      </c>
      <c r="L2164">
        <v>312</v>
      </c>
      <c r="M2164">
        <v>349</v>
      </c>
      <c r="N2164">
        <v>238</v>
      </c>
      <c r="O2164">
        <v>33</v>
      </c>
      <c r="P2164">
        <v>35</v>
      </c>
      <c r="Q2164">
        <v>225</v>
      </c>
      <c r="R2164">
        <v>31</v>
      </c>
      <c r="S2164">
        <v>334</v>
      </c>
      <c r="T2164" t="s">
        <v>31</v>
      </c>
      <c r="U2164" t="s">
        <v>31</v>
      </c>
      <c r="V2164" t="s">
        <v>31</v>
      </c>
      <c r="W2164" t="s">
        <v>31</v>
      </c>
      <c r="X2164" t="s">
        <v>31</v>
      </c>
      <c r="Y2164" t="s">
        <v>31</v>
      </c>
    </row>
    <row r="2165" spans="1:25" hidden="1">
      <c r="A2165" t="s">
        <v>25</v>
      </c>
      <c r="B2165" t="s">
        <v>26</v>
      </c>
      <c r="C2165" t="s">
        <v>60</v>
      </c>
      <c r="D2165" s="1">
        <v>45332</v>
      </c>
      <c r="E2165" s="2">
        <v>0.66666666666666663</v>
      </c>
      <c r="F2165" t="s">
        <v>40</v>
      </c>
      <c r="G2165" t="s">
        <v>52</v>
      </c>
      <c r="H2165">
        <v>3</v>
      </c>
      <c r="I2165">
        <v>1</v>
      </c>
      <c r="J2165" t="s">
        <v>34</v>
      </c>
      <c r="K2165">
        <v>207</v>
      </c>
      <c r="L2165">
        <v>362</v>
      </c>
      <c r="M2165">
        <v>371</v>
      </c>
      <c r="N2165">
        <v>213</v>
      </c>
      <c r="O2165">
        <v>379</v>
      </c>
      <c r="P2165">
        <v>386</v>
      </c>
      <c r="Q2165">
        <v>204</v>
      </c>
      <c r="R2165">
        <v>354</v>
      </c>
      <c r="S2165">
        <v>343</v>
      </c>
      <c r="T2165" t="s">
        <v>31</v>
      </c>
      <c r="U2165" t="s">
        <v>31</v>
      </c>
      <c r="V2165" t="s">
        <v>31</v>
      </c>
      <c r="W2165" t="s">
        <v>31</v>
      </c>
      <c r="X2165" t="s">
        <v>31</v>
      </c>
      <c r="Y2165" t="s">
        <v>31</v>
      </c>
    </row>
    <row r="2166" spans="1:25" hidden="1">
      <c r="A2166" t="s">
        <v>25</v>
      </c>
      <c r="B2166" t="s">
        <v>26</v>
      </c>
      <c r="C2166" t="s">
        <v>60</v>
      </c>
      <c r="D2166" s="1">
        <v>45333</v>
      </c>
      <c r="E2166" s="2">
        <v>0.5625</v>
      </c>
      <c r="F2166" t="s">
        <v>54</v>
      </c>
      <c r="G2166" t="s">
        <v>59</v>
      </c>
      <c r="H2166">
        <v>0</v>
      </c>
      <c r="I2166">
        <v>2</v>
      </c>
      <c r="J2166" t="s">
        <v>30</v>
      </c>
      <c r="K2166">
        <v>178</v>
      </c>
      <c r="L2166">
        <v>368</v>
      </c>
      <c r="M2166">
        <v>505</v>
      </c>
      <c r="N2166">
        <v>178</v>
      </c>
      <c r="O2166">
        <v>395</v>
      </c>
      <c r="P2166">
        <v>505</v>
      </c>
      <c r="Q2166">
        <v>173</v>
      </c>
      <c r="R2166">
        <v>374</v>
      </c>
      <c r="S2166">
        <v>458</v>
      </c>
      <c r="T2166" t="s">
        <v>31</v>
      </c>
      <c r="U2166" t="s">
        <v>31</v>
      </c>
      <c r="V2166" t="s">
        <v>31</v>
      </c>
      <c r="W2166" t="s">
        <v>31</v>
      </c>
      <c r="X2166" t="s">
        <v>31</v>
      </c>
      <c r="Y2166" t="s">
        <v>31</v>
      </c>
    </row>
    <row r="2167" spans="1:25" hidden="1">
      <c r="A2167" t="s">
        <v>25</v>
      </c>
      <c r="B2167" t="s">
        <v>26</v>
      </c>
      <c r="C2167" t="s">
        <v>60</v>
      </c>
      <c r="D2167" s="1">
        <v>45333</v>
      </c>
      <c r="E2167" s="2">
        <v>0.5625</v>
      </c>
      <c r="F2167" t="s">
        <v>39</v>
      </c>
      <c r="G2167" t="s">
        <v>35</v>
      </c>
      <c r="H2167">
        <v>0</v>
      </c>
      <c r="I2167">
        <v>2</v>
      </c>
      <c r="J2167" t="s">
        <v>30</v>
      </c>
      <c r="K2167">
        <v>375</v>
      </c>
      <c r="L2167">
        <v>353</v>
      </c>
      <c r="M2167">
        <v>209</v>
      </c>
      <c r="N2167">
        <v>375</v>
      </c>
      <c r="O2167">
        <v>377</v>
      </c>
      <c r="P2167">
        <v>21</v>
      </c>
      <c r="Q2167">
        <v>34</v>
      </c>
      <c r="R2167">
        <v>356</v>
      </c>
      <c r="S2167">
        <v>205</v>
      </c>
      <c r="T2167" t="s">
        <v>31</v>
      </c>
      <c r="U2167" t="s">
        <v>31</v>
      </c>
      <c r="V2167" t="s">
        <v>31</v>
      </c>
      <c r="W2167" t="s">
        <v>31</v>
      </c>
      <c r="X2167" t="s">
        <v>31</v>
      </c>
      <c r="Y2167" t="s">
        <v>31</v>
      </c>
    </row>
    <row r="2168" spans="1:25" hidden="1">
      <c r="A2168" t="s">
        <v>25</v>
      </c>
      <c r="B2168" t="s">
        <v>26</v>
      </c>
      <c r="C2168" t="s">
        <v>60</v>
      </c>
      <c r="D2168" s="1">
        <v>45333</v>
      </c>
      <c r="E2168" s="2">
        <v>0.66666666666666663</v>
      </c>
      <c r="F2168" t="s">
        <v>50</v>
      </c>
      <c r="G2168" t="s">
        <v>56</v>
      </c>
      <c r="H2168">
        <v>2</v>
      </c>
      <c r="I2168">
        <v>2</v>
      </c>
      <c r="J2168" t="s">
        <v>41</v>
      </c>
      <c r="K2168">
        <v>155</v>
      </c>
      <c r="L2168">
        <v>428</v>
      </c>
      <c r="M2168">
        <v>648</v>
      </c>
      <c r="N2168">
        <v>155</v>
      </c>
      <c r="O2168">
        <v>45</v>
      </c>
      <c r="P2168">
        <v>7</v>
      </c>
      <c r="Q2168">
        <v>148</v>
      </c>
      <c r="R2168">
        <v>43</v>
      </c>
      <c r="S2168">
        <v>622</v>
      </c>
      <c r="T2168" t="s">
        <v>31</v>
      </c>
      <c r="U2168" t="s">
        <v>31</v>
      </c>
      <c r="V2168" t="s">
        <v>31</v>
      </c>
      <c r="W2168" t="s">
        <v>31</v>
      </c>
      <c r="X2168" t="s">
        <v>31</v>
      </c>
      <c r="Y2168" t="s">
        <v>31</v>
      </c>
    </row>
    <row r="2169" spans="1:25" hidden="1">
      <c r="A2169" t="s">
        <v>25</v>
      </c>
      <c r="B2169" t="s">
        <v>26</v>
      </c>
      <c r="C2169" t="s">
        <v>60</v>
      </c>
      <c r="D2169" s="1">
        <v>45339</v>
      </c>
      <c r="E2169" s="2">
        <v>0.66666666666666663</v>
      </c>
      <c r="F2169" t="s">
        <v>40</v>
      </c>
      <c r="G2169" t="s">
        <v>45</v>
      </c>
      <c r="H2169">
        <v>2</v>
      </c>
      <c r="I2169">
        <v>1</v>
      </c>
      <c r="J2169" t="s">
        <v>34</v>
      </c>
      <c r="K2169">
        <v>186</v>
      </c>
      <c r="L2169">
        <v>369</v>
      </c>
      <c r="M2169">
        <v>45</v>
      </c>
      <c r="N2169">
        <v>188</v>
      </c>
      <c r="O2169">
        <v>369</v>
      </c>
      <c r="P2169">
        <v>458</v>
      </c>
      <c r="Q2169">
        <v>182</v>
      </c>
      <c r="R2169">
        <v>354</v>
      </c>
      <c r="S2169">
        <v>425</v>
      </c>
      <c r="T2169" t="s">
        <v>31</v>
      </c>
      <c r="U2169" t="s">
        <v>31</v>
      </c>
      <c r="V2169" t="s">
        <v>31</v>
      </c>
      <c r="W2169" t="s">
        <v>31</v>
      </c>
      <c r="X2169" t="s">
        <v>31</v>
      </c>
      <c r="Y2169" t="s">
        <v>31</v>
      </c>
    </row>
    <row r="2170" spans="1:25" hidden="1">
      <c r="A2170" t="s">
        <v>25</v>
      </c>
      <c r="B2170" t="s">
        <v>26</v>
      </c>
      <c r="C2170" t="s">
        <v>60</v>
      </c>
      <c r="D2170" s="1">
        <v>45339</v>
      </c>
      <c r="E2170" s="2">
        <v>0.66666666666666663</v>
      </c>
      <c r="F2170" t="s">
        <v>61</v>
      </c>
      <c r="G2170" t="s">
        <v>29</v>
      </c>
      <c r="H2170">
        <v>1</v>
      </c>
      <c r="I2170">
        <v>1</v>
      </c>
      <c r="J2170" t="s">
        <v>41</v>
      </c>
      <c r="K2170">
        <v>749</v>
      </c>
      <c r="L2170">
        <v>451</v>
      </c>
      <c r="M2170">
        <v>148</v>
      </c>
      <c r="N2170">
        <v>804</v>
      </c>
      <c r="O2170">
        <v>451</v>
      </c>
      <c r="P2170">
        <v>151</v>
      </c>
      <c r="Q2170">
        <v>714</v>
      </c>
      <c r="R2170">
        <v>424</v>
      </c>
      <c r="S2170">
        <v>145</v>
      </c>
      <c r="T2170" t="s">
        <v>31</v>
      </c>
      <c r="U2170" t="s">
        <v>31</v>
      </c>
      <c r="V2170" t="s">
        <v>31</v>
      </c>
      <c r="W2170" t="s">
        <v>31</v>
      </c>
      <c r="X2170" t="s">
        <v>31</v>
      </c>
      <c r="Y2170" t="s">
        <v>31</v>
      </c>
    </row>
    <row r="2171" spans="1:25" hidden="1">
      <c r="A2171" t="s">
        <v>25</v>
      </c>
      <c r="B2171" t="s">
        <v>26</v>
      </c>
      <c r="C2171" t="s">
        <v>60</v>
      </c>
      <c r="D2171" s="1">
        <v>45339</v>
      </c>
      <c r="E2171" s="2">
        <v>0.66666666666666663</v>
      </c>
      <c r="F2171" t="s">
        <v>39</v>
      </c>
      <c r="G2171" t="s">
        <v>54</v>
      </c>
      <c r="H2171">
        <v>4</v>
      </c>
      <c r="I2171">
        <v>1</v>
      </c>
      <c r="J2171" t="s">
        <v>34</v>
      </c>
      <c r="K2171">
        <v>18</v>
      </c>
      <c r="L2171">
        <v>396</v>
      </c>
      <c r="M2171">
        <v>449</v>
      </c>
      <c r="N2171">
        <v>18</v>
      </c>
      <c r="O2171">
        <v>41</v>
      </c>
      <c r="P2171">
        <v>46</v>
      </c>
      <c r="Q2171">
        <v>176</v>
      </c>
      <c r="R2171">
        <v>379</v>
      </c>
      <c r="S2171">
        <v>43</v>
      </c>
      <c r="T2171" t="s">
        <v>31</v>
      </c>
      <c r="U2171" t="s">
        <v>31</v>
      </c>
      <c r="V2171" t="s">
        <v>31</v>
      </c>
      <c r="W2171" t="s">
        <v>31</v>
      </c>
      <c r="X2171" t="s">
        <v>31</v>
      </c>
      <c r="Y2171" t="s">
        <v>31</v>
      </c>
    </row>
    <row r="2172" spans="1:25" hidden="1">
      <c r="A2172" t="s">
        <v>25</v>
      </c>
      <c r="B2172" t="s">
        <v>26</v>
      </c>
      <c r="C2172" t="s">
        <v>60</v>
      </c>
      <c r="D2172" s="1">
        <v>45340</v>
      </c>
      <c r="E2172" s="2">
        <v>0.5625</v>
      </c>
      <c r="F2172" t="s">
        <v>59</v>
      </c>
      <c r="G2172" t="s">
        <v>56</v>
      </c>
      <c r="H2172">
        <v>0</v>
      </c>
      <c r="I2172">
        <v>1</v>
      </c>
      <c r="J2172" t="s">
        <v>30</v>
      </c>
      <c r="K2172">
        <v>37</v>
      </c>
      <c r="L2172">
        <v>327</v>
      </c>
      <c r="M2172">
        <v>221</v>
      </c>
      <c r="N2172">
        <v>376</v>
      </c>
      <c r="O2172">
        <v>349</v>
      </c>
      <c r="P2172">
        <v>221</v>
      </c>
      <c r="Q2172">
        <v>344</v>
      </c>
      <c r="R2172">
        <v>325</v>
      </c>
      <c r="S2172">
        <v>214</v>
      </c>
      <c r="T2172" t="s">
        <v>31</v>
      </c>
      <c r="U2172" t="s">
        <v>31</v>
      </c>
      <c r="V2172" t="s">
        <v>31</v>
      </c>
      <c r="W2172" t="s">
        <v>31</v>
      </c>
      <c r="X2172" t="s">
        <v>31</v>
      </c>
      <c r="Y2172" t="s">
        <v>31</v>
      </c>
    </row>
    <row r="2173" spans="1:25" hidden="1">
      <c r="A2173" t="s">
        <v>25</v>
      </c>
      <c r="B2173" t="s">
        <v>26</v>
      </c>
      <c r="C2173" t="s">
        <v>60</v>
      </c>
      <c r="D2173" s="1">
        <v>45340</v>
      </c>
      <c r="E2173" s="2">
        <v>0.5625</v>
      </c>
      <c r="F2173" t="s">
        <v>52</v>
      </c>
      <c r="G2173" t="s">
        <v>50</v>
      </c>
      <c r="H2173">
        <v>0</v>
      </c>
      <c r="I2173">
        <v>0</v>
      </c>
      <c r="J2173" t="s">
        <v>41</v>
      </c>
      <c r="K2173">
        <v>31</v>
      </c>
      <c r="L2173">
        <v>349</v>
      </c>
      <c r="M2173">
        <v>239</v>
      </c>
      <c r="N2173">
        <v>31</v>
      </c>
      <c r="O2173">
        <v>353</v>
      </c>
      <c r="P2173">
        <v>239</v>
      </c>
      <c r="Q2173">
        <v>295</v>
      </c>
      <c r="R2173">
        <v>345</v>
      </c>
      <c r="S2173">
        <v>229</v>
      </c>
      <c r="T2173" t="s">
        <v>31</v>
      </c>
      <c r="U2173" t="s">
        <v>31</v>
      </c>
      <c r="V2173" t="s">
        <v>31</v>
      </c>
      <c r="W2173" t="s">
        <v>31</v>
      </c>
      <c r="X2173" t="s">
        <v>31</v>
      </c>
      <c r="Y2173" t="s">
        <v>31</v>
      </c>
    </row>
    <row r="2174" spans="1:25" hidden="1">
      <c r="A2174" t="s">
        <v>25</v>
      </c>
      <c r="B2174" t="s">
        <v>26</v>
      </c>
      <c r="C2174" t="s">
        <v>60</v>
      </c>
      <c r="D2174" s="1">
        <v>45340</v>
      </c>
      <c r="E2174" s="2">
        <v>0.66666666666666663</v>
      </c>
      <c r="F2174" t="s">
        <v>28</v>
      </c>
      <c r="G2174" t="s">
        <v>35</v>
      </c>
      <c r="H2174">
        <v>1</v>
      </c>
      <c r="I2174">
        <v>1</v>
      </c>
      <c r="J2174" t="s">
        <v>41</v>
      </c>
      <c r="K2174">
        <v>219</v>
      </c>
      <c r="L2174">
        <v>366</v>
      </c>
      <c r="M2174">
        <v>334</v>
      </c>
      <c r="N2174">
        <v>219</v>
      </c>
      <c r="O2174">
        <v>376</v>
      </c>
      <c r="P2174">
        <v>34</v>
      </c>
      <c r="Q2174">
        <v>21</v>
      </c>
      <c r="R2174">
        <v>357</v>
      </c>
      <c r="S2174">
        <v>322</v>
      </c>
      <c r="T2174" t="s">
        <v>31</v>
      </c>
      <c r="U2174" t="s">
        <v>31</v>
      </c>
      <c r="V2174" t="s">
        <v>31</v>
      </c>
      <c r="W2174" t="s">
        <v>31</v>
      </c>
      <c r="X2174" t="s">
        <v>31</v>
      </c>
      <c r="Y2174" t="s">
        <v>31</v>
      </c>
    </row>
    <row r="2175" spans="1:25" hidden="1">
      <c r="A2175" t="s">
        <v>25</v>
      </c>
      <c r="B2175" t="s">
        <v>26</v>
      </c>
      <c r="C2175" t="s">
        <v>60</v>
      </c>
      <c r="D2175" s="1">
        <v>45346</v>
      </c>
      <c r="E2175" s="2">
        <v>0.66666666666666663</v>
      </c>
      <c r="F2175" t="s">
        <v>45</v>
      </c>
      <c r="G2175" t="s">
        <v>52</v>
      </c>
      <c r="H2175">
        <v>1</v>
      </c>
      <c r="I2175">
        <v>2</v>
      </c>
      <c r="J2175" t="s">
        <v>30</v>
      </c>
      <c r="K2175">
        <v>264</v>
      </c>
      <c r="L2175">
        <v>325</v>
      </c>
      <c r="M2175">
        <v>293</v>
      </c>
      <c r="N2175">
        <v>264</v>
      </c>
      <c r="O2175">
        <v>336</v>
      </c>
      <c r="P2175">
        <v>296</v>
      </c>
      <c r="Q2175">
        <v>249</v>
      </c>
      <c r="R2175">
        <v>324</v>
      </c>
      <c r="S2175">
        <v>281</v>
      </c>
      <c r="T2175" t="s">
        <v>31</v>
      </c>
      <c r="U2175" t="s">
        <v>31</v>
      </c>
      <c r="V2175" t="s">
        <v>31</v>
      </c>
      <c r="W2175" t="s">
        <v>31</v>
      </c>
      <c r="X2175" t="s">
        <v>31</v>
      </c>
      <c r="Y2175" t="s">
        <v>31</v>
      </c>
    </row>
    <row r="2176" spans="1:25" hidden="1">
      <c r="A2176" t="s">
        <v>25</v>
      </c>
      <c r="B2176" t="s">
        <v>26</v>
      </c>
      <c r="C2176" t="s">
        <v>60</v>
      </c>
      <c r="D2176" s="1">
        <v>45346</v>
      </c>
      <c r="E2176" s="2">
        <v>0.66666666666666663</v>
      </c>
      <c r="F2176" t="s">
        <v>50</v>
      </c>
      <c r="G2176" t="s">
        <v>39</v>
      </c>
      <c r="H2176">
        <v>0</v>
      </c>
      <c r="I2176">
        <v>1</v>
      </c>
      <c r="J2176" t="s">
        <v>30</v>
      </c>
      <c r="K2176">
        <v>18</v>
      </c>
      <c r="L2176">
        <v>38</v>
      </c>
      <c r="M2176">
        <v>474</v>
      </c>
      <c r="N2176">
        <v>184</v>
      </c>
      <c r="O2176">
        <v>381</v>
      </c>
      <c r="P2176">
        <v>474</v>
      </c>
      <c r="Q2176">
        <v>178</v>
      </c>
      <c r="R2176">
        <v>363</v>
      </c>
      <c r="S2176">
        <v>435</v>
      </c>
      <c r="T2176" t="s">
        <v>31</v>
      </c>
      <c r="U2176" t="s">
        <v>31</v>
      </c>
      <c r="V2176" t="s">
        <v>31</v>
      </c>
      <c r="W2176" t="s">
        <v>31</v>
      </c>
      <c r="X2176" t="s">
        <v>31</v>
      </c>
      <c r="Y2176" t="s">
        <v>31</v>
      </c>
    </row>
    <row r="2177" spans="1:25" hidden="1">
      <c r="A2177" t="s">
        <v>25</v>
      </c>
      <c r="B2177" t="s">
        <v>26</v>
      </c>
      <c r="C2177" t="s">
        <v>60</v>
      </c>
      <c r="D2177" s="1">
        <v>45346</v>
      </c>
      <c r="E2177" s="2">
        <v>0.66666666666666663</v>
      </c>
      <c r="F2177" t="s">
        <v>29</v>
      </c>
      <c r="G2177" t="s">
        <v>59</v>
      </c>
      <c r="H2177">
        <v>7</v>
      </c>
      <c r="I2177">
        <v>0</v>
      </c>
      <c r="J2177" t="s">
        <v>34</v>
      </c>
      <c r="K2177">
        <v>11</v>
      </c>
      <c r="L2177">
        <v>1132</v>
      </c>
      <c r="M2177">
        <v>2854</v>
      </c>
      <c r="N2177">
        <v>112</v>
      </c>
      <c r="O2177">
        <v>1132</v>
      </c>
      <c r="P2177">
        <v>29</v>
      </c>
      <c r="Q2177">
        <v>109</v>
      </c>
      <c r="R2177">
        <v>915</v>
      </c>
      <c r="S2177">
        <v>2349</v>
      </c>
      <c r="T2177" t="s">
        <v>31</v>
      </c>
      <c r="U2177" t="s">
        <v>31</v>
      </c>
      <c r="V2177" t="s">
        <v>31</v>
      </c>
      <c r="W2177" t="s">
        <v>31</v>
      </c>
      <c r="X2177" t="s">
        <v>31</v>
      </c>
      <c r="Y2177" t="s">
        <v>31</v>
      </c>
    </row>
    <row r="2178" spans="1:25" hidden="1">
      <c r="A2178" t="s">
        <v>25</v>
      </c>
      <c r="B2178" t="s">
        <v>26</v>
      </c>
      <c r="C2178" t="s">
        <v>60</v>
      </c>
      <c r="D2178" s="1">
        <v>45347</v>
      </c>
      <c r="E2178" s="2">
        <v>0.5625</v>
      </c>
      <c r="F2178" t="s">
        <v>56</v>
      </c>
      <c r="G2178" t="s">
        <v>61</v>
      </c>
      <c r="H2178">
        <v>2</v>
      </c>
      <c r="I2178">
        <v>0</v>
      </c>
      <c r="J2178" t="s">
        <v>34</v>
      </c>
      <c r="K2178">
        <v>234</v>
      </c>
      <c r="L2178">
        <v>328</v>
      </c>
      <c r="M2178">
        <v>337</v>
      </c>
      <c r="N2178">
        <v>235</v>
      </c>
      <c r="O2178">
        <v>333</v>
      </c>
      <c r="P2178">
        <v>337</v>
      </c>
      <c r="Q2178">
        <v>227</v>
      </c>
      <c r="R2178">
        <v>317</v>
      </c>
      <c r="S2178">
        <v>323</v>
      </c>
      <c r="T2178" t="s">
        <v>31</v>
      </c>
      <c r="U2178" t="s">
        <v>31</v>
      </c>
      <c r="V2178" t="s">
        <v>31</v>
      </c>
      <c r="W2178" t="s">
        <v>31</v>
      </c>
      <c r="X2178" t="s">
        <v>31</v>
      </c>
      <c r="Y2178" t="s">
        <v>31</v>
      </c>
    </row>
    <row r="2179" spans="1:25" hidden="1">
      <c r="A2179" t="s">
        <v>25</v>
      </c>
      <c r="B2179" t="s">
        <v>26</v>
      </c>
      <c r="C2179" t="s">
        <v>60</v>
      </c>
      <c r="D2179" s="1">
        <v>45347</v>
      </c>
      <c r="E2179" s="2">
        <v>0.5625</v>
      </c>
      <c r="F2179" t="s">
        <v>54</v>
      </c>
      <c r="G2179" t="s">
        <v>28</v>
      </c>
      <c r="H2179">
        <v>0</v>
      </c>
      <c r="I2179">
        <v>2</v>
      </c>
      <c r="J2179" t="s">
        <v>30</v>
      </c>
      <c r="K2179">
        <v>589</v>
      </c>
      <c r="L2179">
        <v>422</v>
      </c>
      <c r="M2179">
        <v>16</v>
      </c>
      <c r="N2179">
        <v>6</v>
      </c>
      <c r="O2179">
        <v>433</v>
      </c>
      <c r="P2179">
        <v>175</v>
      </c>
      <c r="Q2179">
        <v>52</v>
      </c>
      <c r="R2179">
        <v>398</v>
      </c>
      <c r="S2179">
        <v>161</v>
      </c>
      <c r="T2179" t="s">
        <v>31</v>
      </c>
      <c r="U2179" t="s">
        <v>31</v>
      </c>
      <c r="V2179" t="s">
        <v>31</v>
      </c>
      <c r="W2179" t="s">
        <v>31</v>
      </c>
      <c r="X2179" t="s">
        <v>31</v>
      </c>
      <c r="Y2179" t="s">
        <v>31</v>
      </c>
    </row>
    <row r="2180" spans="1:25" hidden="1">
      <c r="A2180" t="s">
        <v>25</v>
      </c>
      <c r="B2180" t="s">
        <v>26</v>
      </c>
      <c r="C2180" t="s">
        <v>60</v>
      </c>
      <c r="D2180" s="1">
        <v>45347</v>
      </c>
      <c r="E2180" s="2">
        <v>0.66666666666666663</v>
      </c>
      <c r="F2180" t="s">
        <v>35</v>
      </c>
      <c r="G2180" t="s">
        <v>40</v>
      </c>
      <c r="H2180">
        <v>3</v>
      </c>
      <c r="I2180">
        <v>0</v>
      </c>
      <c r="J2180" t="s">
        <v>34</v>
      </c>
      <c r="K2180">
        <v>181</v>
      </c>
      <c r="L2180">
        <v>387</v>
      </c>
      <c r="M2180">
        <v>457</v>
      </c>
      <c r="N2180">
        <v>188</v>
      </c>
      <c r="O2180">
        <v>39</v>
      </c>
      <c r="P2180">
        <v>462</v>
      </c>
      <c r="Q2180">
        <v>179</v>
      </c>
      <c r="R2180">
        <v>37</v>
      </c>
      <c r="S2180">
        <v>428</v>
      </c>
      <c r="T2180" t="s">
        <v>31</v>
      </c>
      <c r="U2180" t="s">
        <v>31</v>
      </c>
      <c r="V2180" t="s">
        <v>31</v>
      </c>
      <c r="W2180" t="s">
        <v>31</v>
      </c>
      <c r="X2180" t="s">
        <v>31</v>
      </c>
      <c r="Y2180" t="s">
        <v>31</v>
      </c>
    </row>
    <row r="2181" spans="1:25" hidden="1">
      <c r="A2181" t="s">
        <v>25</v>
      </c>
      <c r="B2181" t="s">
        <v>26</v>
      </c>
      <c r="C2181" t="s">
        <v>60</v>
      </c>
      <c r="D2181" s="1">
        <v>45354</v>
      </c>
      <c r="E2181" s="2">
        <v>0.66666666666666663</v>
      </c>
      <c r="F2181" t="s">
        <v>45</v>
      </c>
      <c r="G2181" t="s">
        <v>50</v>
      </c>
      <c r="H2181">
        <v>0</v>
      </c>
      <c r="I2181">
        <v>0</v>
      </c>
      <c r="J2181" t="s">
        <v>41</v>
      </c>
      <c r="K2181">
        <v>383</v>
      </c>
      <c r="L2181">
        <v>322</v>
      </c>
      <c r="M2181">
        <v>219</v>
      </c>
      <c r="N2181">
        <v>383</v>
      </c>
      <c r="O2181">
        <v>33</v>
      </c>
      <c r="P2181">
        <v>22</v>
      </c>
      <c r="Q2181">
        <v>359</v>
      </c>
      <c r="R2181">
        <v>316</v>
      </c>
      <c r="S2181">
        <v>212</v>
      </c>
      <c r="T2181" t="s">
        <v>31</v>
      </c>
      <c r="U2181" t="s">
        <v>31</v>
      </c>
      <c r="V2181" t="s">
        <v>31</v>
      </c>
      <c r="W2181" t="s">
        <v>31</v>
      </c>
      <c r="X2181" t="s">
        <v>31</v>
      </c>
      <c r="Y2181" t="s">
        <v>31</v>
      </c>
    </row>
    <row r="2182" spans="1:25" hidden="1">
      <c r="A2182" t="s">
        <v>25</v>
      </c>
      <c r="B2182" t="s">
        <v>26</v>
      </c>
      <c r="C2182" t="s">
        <v>60</v>
      </c>
      <c r="D2182" s="1">
        <v>45354</v>
      </c>
      <c r="E2182" s="2">
        <v>0.66666666666666663</v>
      </c>
      <c r="F2182" t="s">
        <v>61</v>
      </c>
      <c r="G2182" t="s">
        <v>40</v>
      </c>
      <c r="H2182">
        <v>1</v>
      </c>
      <c r="I2182">
        <v>2</v>
      </c>
      <c r="J2182" t="s">
        <v>30</v>
      </c>
      <c r="K2182">
        <v>372</v>
      </c>
      <c r="L2182">
        <v>339</v>
      </c>
      <c r="M2182">
        <v>215</v>
      </c>
      <c r="N2182">
        <v>372</v>
      </c>
      <c r="O2182">
        <v>339</v>
      </c>
      <c r="P2182">
        <v>225</v>
      </c>
      <c r="Q2182">
        <v>337</v>
      </c>
      <c r="R2182">
        <v>326</v>
      </c>
      <c r="S2182">
        <v>217</v>
      </c>
      <c r="T2182" t="s">
        <v>31</v>
      </c>
      <c r="U2182" t="s">
        <v>31</v>
      </c>
      <c r="V2182" t="s">
        <v>31</v>
      </c>
      <c r="W2182" t="s">
        <v>31</v>
      </c>
      <c r="X2182" t="s">
        <v>31</v>
      </c>
      <c r="Y2182" t="s">
        <v>31</v>
      </c>
    </row>
    <row r="2183" spans="1:25" hidden="1">
      <c r="A2183" t="s">
        <v>25</v>
      </c>
      <c r="B2183" t="s">
        <v>26</v>
      </c>
      <c r="C2183" t="s">
        <v>60</v>
      </c>
      <c r="D2183" s="1">
        <v>45354</v>
      </c>
      <c r="E2183" s="2">
        <v>0.66666666666666663</v>
      </c>
      <c r="F2183" t="s">
        <v>29</v>
      </c>
      <c r="G2183" t="s">
        <v>56</v>
      </c>
      <c r="H2183">
        <v>1</v>
      </c>
      <c r="I2183">
        <v>0</v>
      </c>
      <c r="J2183" t="s">
        <v>34</v>
      </c>
      <c r="K2183">
        <v>127</v>
      </c>
      <c r="L2183">
        <v>621</v>
      </c>
      <c r="M2183">
        <v>1147</v>
      </c>
      <c r="N2183">
        <v>13</v>
      </c>
      <c r="O2183">
        <v>63</v>
      </c>
      <c r="P2183">
        <v>13</v>
      </c>
      <c r="Q2183">
        <v>125</v>
      </c>
      <c r="R2183">
        <v>568</v>
      </c>
      <c r="S2183">
        <v>1138</v>
      </c>
      <c r="T2183" t="s">
        <v>31</v>
      </c>
      <c r="U2183" t="s">
        <v>31</v>
      </c>
      <c r="V2183" t="s">
        <v>31</v>
      </c>
      <c r="W2183" t="s">
        <v>31</v>
      </c>
      <c r="X2183" t="s">
        <v>31</v>
      </c>
      <c r="Y2183" t="s">
        <v>31</v>
      </c>
    </row>
    <row r="2184" spans="1:25" hidden="1">
      <c r="A2184" t="s">
        <v>25</v>
      </c>
      <c r="B2184" t="s">
        <v>26</v>
      </c>
      <c r="C2184" t="s">
        <v>60</v>
      </c>
      <c r="D2184" s="1">
        <v>45354</v>
      </c>
      <c r="E2184" s="2">
        <v>0.66666666666666663</v>
      </c>
      <c r="F2184" t="s">
        <v>35</v>
      </c>
      <c r="G2184" t="s">
        <v>59</v>
      </c>
      <c r="H2184">
        <v>1</v>
      </c>
      <c r="I2184">
        <v>1</v>
      </c>
      <c r="J2184" t="s">
        <v>41</v>
      </c>
      <c r="K2184">
        <v>116</v>
      </c>
      <c r="L2184">
        <v>832</v>
      </c>
      <c r="M2184">
        <v>1785</v>
      </c>
      <c r="N2184">
        <v>118</v>
      </c>
      <c r="O2184">
        <v>85</v>
      </c>
      <c r="P2184">
        <v>1785</v>
      </c>
      <c r="Q2184">
        <v>115</v>
      </c>
      <c r="R2184">
        <v>752</v>
      </c>
      <c r="S2184">
        <v>1524</v>
      </c>
      <c r="T2184" t="s">
        <v>31</v>
      </c>
      <c r="U2184" t="s">
        <v>31</v>
      </c>
      <c r="V2184" t="s">
        <v>31</v>
      </c>
      <c r="W2184" t="s">
        <v>31</v>
      </c>
      <c r="X2184" t="s">
        <v>31</v>
      </c>
      <c r="Y2184" t="s">
        <v>31</v>
      </c>
    </row>
    <row r="2185" spans="1:25" hidden="1">
      <c r="A2185" t="s">
        <v>25</v>
      </c>
      <c r="B2185" t="s">
        <v>26</v>
      </c>
      <c r="C2185" t="s">
        <v>60</v>
      </c>
      <c r="D2185" s="1">
        <v>45354</v>
      </c>
      <c r="E2185" s="2">
        <v>0.66666666666666663</v>
      </c>
      <c r="F2185" t="s">
        <v>28</v>
      </c>
      <c r="G2185" t="s">
        <v>39</v>
      </c>
      <c r="H2185">
        <v>4</v>
      </c>
      <c r="I2185">
        <v>0</v>
      </c>
      <c r="J2185" t="s">
        <v>34</v>
      </c>
      <c r="K2185">
        <v>178</v>
      </c>
      <c r="L2185">
        <v>395</v>
      </c>
      <c r="M2185">
        <v>465</v>
      </c>
      <c r="N2185">
        <v>191</v>
      </c>
      <c r="O2185">
        <v>407</v>
      </c>
      <c r="P2185">
        <v>465</v>
      </c>
      <c r="Q2185">
        <v>177</v>
      </c>
      <c r="R2185">
        <v>378</v>
      </c>
      <c r="S2185">
        <v>424</v>
      </c>
      <c r="T2185" t="s">
        <v>31</v>
      </c>
      <c r="U2185" t="s">
        <v>31</v>
      </c>
      <c r="V2185" t="s">
        <v>31</v>
      </c>
      <c r="W2185" t="s">
        <v>31</v>
      </c>
      <c r="X2185" t="s">
        <v>31</v>
      </c>
      <c r="Y2185" t="s">
        <v>31</v>
      </c>
    </row>
    <row r="2186" spans="1:25" hidden="1">
      <c r="A2186" t="s">
        <v>25</v>
      </c>
      <c r="B2186" t="s">
        <v>26</v>
      </c>
      <c r="C2186" t="s">
        <v>60</v>
      </c>
      <c r="D2186" s="1">
        <v>45354</v>
      </c>
      <c r="E2186" s="2">
        <v>0.66666666666666663</v>
      </c>
      <c r="F2186" t="s">
        <v>54</v>
      </c>
      <c r="G2186" t="s">
        <v>52</v>
      </c>
      <c r="H2186">
        <v>1</v>
      </c>
      <c r="I2186">
        <v>0</v>
      </c>
      <c r="J2186" t="s">
        <v>34</v>
      </c>
      <c r="K2186">
        <v>352</v>
      </c>
      <c r="L2186">
        <v>353</v>
      </c>
      <c r="M2186">
        <v>217</v>
      </c>
      <c r="N2186">
        <v>353</v>
      </c>
      <c r="O2186">
        <v>359</v>
      </c>
      <c r="P2186">
        <v>22</v>
      </c>
      <c r="Q2186">
        <v>334</v>
      </c>
      <c r="R2186">
        <v>343</v>
      </c>
      <c r="S2186">
        <v>211</v>
      </c>
      <c r="T2186" t="s">
        <v>31</v>
      </c>
      <c r="U2186" t="s">
        <v>31</v>
      </c>
      <c r="V2186" t="s">
        <v>31</v>
      </c>
      <c r="W2186" t="s">
        <v>31</v>
      </c>
      <c r="X2186" t="s">
        <v>31</v>
      </c>
      <c r="Y2186" t="s">
        <v>31</v>
      </c>
    </row>
    <row r="2187" spans="1:25" hidden="1">
      <c r="A2187" t="s">
        <v>25</v>
      </c>
      <c r="B2187" t="s">
        <v>26</v>
      </c>
      <c r="C2187" t="s">
        <v>60</v>
      </c>
      <c r="D2187" s="1">
        <v>45360</v>
      </c>
      <c r="E2187" s="2">
        <v>0.66666666666666663</v>
      </c>
      <c r="F2187" t="s">
        <v>50</v>
      </c>
      <c r="G2187" t="s">
        <v>29</v>
      </c>
      <c r="H2187">
        <v>0</v>
      </c>
      <c r="I2187">
        <v>1</v>
      </c>
      <c r="J2187" t="s">
        <v>30</v>
      </c>
      <c r="K2187">
        <v>411</v>
      </c>
      <c r="L2187">
        <v>365</v>
      </c>
      <c r="M2187">
        <v>195</v>
      </c>
      <c r="N2187">
        <v>433</v>
      </c>
      <c r="O2187">
        <v>381</v>
      </c>
      <c r="P2187">
        <v>195</v>
      </c>
      <c r="Q2187">
        <v>404</v>
      </c>
      <c r="R2187">
        <v>354</v>
      </c>
      <c r="S2187">
        <v>187</v>
      </c>
      <c r="T2187" t="s">
        <v>31</v>
      </c>
      <c r="U2187" t="s">
        <v>31</v>
      </c>
      <c r="V2187" t="s">
        <v>31</v>
      </c>
      <c r="W2187" t="s">
        <v>31</v>
      </c>
      <c r="X2187" t="s">
        <v>31</v>
      </c>
      <c r="Y2187" t="s">
        <v>31</v>
      </c>
    </row>
    <row r="2188" spans="1:25" hidden="1">
      <c r="A2188" t="s">
        <v>25</v>
      </c>
      <c r="B2188" t="s">
        <v>26</v>
      </c>
      <c r="C2188" t="s">
        <v>60</v>
      </c>
      <c r="D2188" s="1">
        <v>45361</v>
      </c>
      <c r="E2188" s="2">
        <v>0.66666666666666663</v>
      </c>
      <c r="F2188" t="s">
        <v>56</v>
      </c>
      <c r="G2188" t="s">
        <v>35</v>
      </c>
      <c r="H2188">
        <v>1</v>
      </c>
      <c r="I2188">
        <v>1</v>
      </c>
      <c r="J2188" t="s">
        <v>41</v>
      </c>
      <c r="K2188">
        <v>374</v>
      </c>
      <c r="L2188">
        <v>276</v>
      </c>
      <c r="M2188">
        <v>234</v>
      </c>
      <c r="N2188">
        <v>401</v>
      </c>
      <c r="O2188">
        <v>325</v>
      </c>
      <c r="P2188">
        <v>244</v>
      </c>
      <c r="Q2188">
        <v>358</v>
      </c>
      <c r="R2188">
        <v>278</v>
      </c>
      <c r="S2188">
        <v>231</v>
      </c>
      <c r="T2188" t="s">
        <v>31</v>
      </c>
      <c r="U2188" t="s">
        <v>31</v>
      </c>
      <c r="V2188" t="s">
        <v>31</v>
      </c>
      <c r="W2188" t="s">
        <v>31</v>
      </c>
      <c r="X2188" t="s">
        <v>31</v>
      </c>
      <c r="Y2188" t="s">
        <v>31</v>
      </c>
    </row>
    <row r="2189" spans="1:25" hidden="1">
      <c r="A2189" t="s">
        <v>25</v>
      </c>
      <c r="B2189" t="s">
        <v>26</v>
      </c>
      <c r="C2189" t="s">
        <v>60</v>
      </c>
      <c r="D2189" s="1">
        <v>45361</v>
      </c>
      <c r="E2189" s="2">
        <v>0.66666666666666663</v>
      </c>
      <c r="F2189" t="s">
        <v>59</v>
      </c>
      <c r="G2189" t="s">
        <v>61</v>
      </c>
      <c r="H2189">
        <v>2</v>
      </c>
      <c r="I2189">
        <v>0</v>
      </c>
      <c r="J2189" t="s">
        <v>34</v>
      </c>
      <c r="K2189">
        <v>403</v>
      </c>
      <c r="L2189">
        <v>337</v>
      </c>
      <c r="M2189">
        <v>207</v>
      </c>
      <c r="N2189">
        <v>403</v>
      </c>
      <c r="O2189">
        <v>355</v>
      </c>
      <c r="P2189">
        <v>211</v>
      </c>
      <c r="Q2189">
        <v>372</v>
      </c>
      <c r="R2189">
        <v>325</v>
      </c>
      <c r="S2189">
        <v>204</v>
      </c>
      <c r="T2189" t="s">
        <v>31</v>
      </c>
      <c r="U2189" t="s">
        <v>31</v>
      </c>
      <c r="V2189" t="s">
        <v>31</v>
      </c>
      <c r="W2189" t="s">
        <v>31</v>
      </c>
      <c r="X2189" t="s">
        <v>31</v>
      </c>
      <c r="Y2189" t="s">
        <v>31</v>
      </c>
    </row>
    <row r="2190" spans="1:25" hidden="1">
      <c r="A2190" t="s">
        <v>25</v>
      </c>
      <c r="B2190" t="s">
        <v>26</v>
      </c>
      <c r="C2190" t="s">
        <v>60</v>
      </c>
      <c r="D2190" s="1">
        <v>45361</v>
      </c>
      <c r="E2190" s="2">
        <v>0.66666666666666663</v>
      </c>
      <c r="F2190" t="s">
        <v>40</v>
      </c>
      <c r="G2190" t="s">
        <v>54</v>
      </c>
      <c r="H2190">
        <v>2</v>
      </c>
      <c r="I2190">
        <v>0</v>
      </c>
      <c r="J2190" t="s">
        <v>34</v>
      </c>
      <c r="K2190">
        <v>149</v>
      </c>
      <c r="L2190">
        <v>453</v>
      </c>
      <c r="M2190">
        <v>726</v>
      </c>
      <c r="N2190">
        <v>151</v>
      </c>
      <c r="O2190">
        <v>46</v>
      </c>
      <c r="P2190">
        <v>726</v>
      </c>
      <c r="Q2190">
        <v>147</v>
      </c>
      <c r="R2190">
        <v>437</v>
      </c>
      <c r="S2190">
        <v>647</v>
      </c>
      <c r="T2190" t="s">
        <v>31</v>
      </c>
      <c r="U2190" t="s">
        <v>31</v>
      </c>
      <c r="V2190" t="s">
        <v>31</v>
      </c>
      <c r="W2190" t="s">
        <v>31</v>
      </c>
      <c r="X2190" t="s">
        <v>31</v>
      </c>
      <c r="Y2190" t="s">
        <v>31</v>
      </c>
    </row>
    <row r="2191" spans="1:25" hidden="1">
      <c r="A2191" t="s">
        <v>25</v>
      </c>
      <c r="B2191" t="s">
        <v>26</v>
      </c>
      <c r="C2191" t="s">
        <v>60</v>
      </c>
      <c r="D2191" s="1">
        <v>45361</v>
      </c>
      <c r="E2191" s="2">
        <v>0.66666666666666663</v>
      </c>
      <c r="F2191" t="s">
        <v>52</v>
      </c>
      <c r="G2191" t="s">
        <v>28</v>
      </c>
      <c r="H2191">
        <v>1</v>
      </c>
      <c r="I2191">
        <v>1</v>
      </c>
      <c r="J2191" t="s">
        <v>41</v>
      </c>
      <c r="K2191">
        <v>342</v>
      </c>
      <c r="L2191">
        <v>327</v>
      </c>
      <c r="M2191">
        <v>233</v>
      </c>
      <c r="N2191">
        <v>35</v>
      </c>
      <c r="O2191">
        <v>338</v>
      </c>
      <c r="P2191">
        <v>233</v>
      </c>
      <c r="Q2191">
        <v>33</v>
      </c>
      <c r="R2191">
        <v>322</v>
      </c>
      <c r="S2191">
        <v>221</v>
      </c>
      <c r="T2191" t="s">
        <v>31</v>
      </c>
      <c r="U2191" t="s">
        <v>31</v>
      </c>
      <c r="V2191" t="s">
        <v>31</v>
      </c>
      <c r="W2191" t="s">
        <v>31</v>
      </c>
      <c r="X2191" t="s">
        <v>31</v>
      </c>
      <c r="Y2191" t="s">
        <v>31</v>
      </c>
    </row>
    <row r="2192" spans="1:25" hidden="1">
      <c r="A2192" t="s">
        <v>25</v>
      </c>
      <c r="B2192" t="s">
        <v>26</v>
      </c>
      <c r="C2192" t="s">
        <v>60</v>
      </c>
      <c r="D2192" s="1">
        <v>45361</v>
      </c>
      <c r="E2192" s="2">
        <v>0.66666666666666663</v>
      </c>
      <c r="F2192" t="s">
        <v>39</v>
      </c>
      <c r="G2192" t="s">
        <v>45</v>
      </c>
      <c r="H2192">
        <v>1</v>
      </c>
      <c r="I2192">
        <v>1</v>
      </c>
      <c r="J2192" t="s">
        <v>41</v>
      </c>
      <c r="K2192">
        <v>27</v>
      </c>
      <c r="L2192">
        <v>32</v>
      </c>
      <c r="M2192">
        <v>291</v>
      </c>
      <c r="N2192">
        <v>272</v>
      </c>
      <c r="O2192">
        <v>326</v>
      </c>
      <c r="P2192">
        <v>291</v>
      </c>
      <c r="Q2192">
        <v>26</v>
      </c>
      <c r="R2192">
        <v>31</v>
      </c>
      <c r="S2192">
        <v>278</v>
      </c>
      <c r="T2192" t="s">
        <v>31</v>
      </c>
      <c r="U2192" t="s">
        <v>31</v>
      </c>
      <c r="V2192" t="s">
        <v>31</v>
      </c>
      <c r="W2192" t="s">
        <v>31</v>
      </c>
      <c r="X2192" t="s">
        <v>31</v>
      </c>
      <c r="Y2192" t="s">
        <v>31</v>
      </c>
    </row>
    <row r="2193" spans="1:25" hidden="1">
      <c r="A2193" t="s">
        <v>25</v>
      </c>
      <c r="B2193" t="s">
        <v>26</v>
      </c>
      <c r="C2193" t="s">
        <v>60</v>
      </c>
      <c r="D2193" s="1">
        <v>45366</v>
      </c>
      <c r="E2193" s="2">
        <v>0.77083333333333337</v>
      </c>
      <c r="F2193" t="s">
        <v>35</v>
      </c>
      <c r="G2193" t="s">
        <v>50</v>
      </c>
      <c r="H2193">
        <v>0</v>
      </c>
      <c r="I2193">
        <v>0</v>
      </c>
      <c r="J2193" t="s">
        <v>41</v>
      </c>
      <c r="K2193">
        <v>254</v>
      </c>
      <c r="L2193">
        <v>336</v>
      </c>
      <c r="M2193">
        <v>298</v>
      </c>
      <c r="N2193">
        <v>254</v>
      </c>
      <c r="O2193">
        <v>345</v>
      </c>
      <c r="P2193">
        <v>298</v>
      </c>
      <c r="Q2193">
        <v>243</v>
      </c>
      <c r="R2193">
        <v>329</v>
      </c>
      <c r="S2193">
        <v>287</v>
      </c>
      <c r="T2193" t="s">
        <v>31</v>
      </c>
      <c r="U2193" t="s">
        <v>31</v>
      </c>
      <c r="V2193" t="s">
        <v>31</v>
      </c>
      <c r="W2193" t="s">
        <v>31</v>
      </c>
      <c r="X2193" t="s">
        <v>31</v>
      </c>
      <c r="Y2193" t="s">
        <v>31</v>
      </c>
    </row>
    <row r="2194" spans="1:25" hidden="1">
      <c r="A2194" t="s">
        <v>25</v>
      </c>
      <c r="B2194" t="s">
        <v>26</v>
      </c>
      <c r="C2194" t="s">
        <v>60</v>
      </c>
      <c r="D2194" s="1">
        <v>45367</v>
      </c>
      <c r="E2194" s="2">
        <v>0.66666666666666663</v>
      </c>
      <c r="F2194" t="s">
        <v>45</v>
      </c>
      <c r="G2194" t="s">
        <v>40</v>
      </c>
      <c r="H2194">
        <v>1</v>
      </c>
      <c r="I2194">
        <v>1</v>
      </c>
      <c r="J2194" t="s">
        <v>41</v>
      </c>
      <c r="K2194">
        <v>275</v>
      </c>
      <c r="L2194">
        <v>318</v>
      </c>
      <c r="M2194">
        <v>286</v>
      </c>
      <c r="N2194">
        <v>275</v>
      </c>
      <c r="O2194">
        <v>336</v>
      </c>
      <c r="P2194">
        <v>286</v>
      </c>
      <c r="Q2194">
        <v>263</v>
      </c>
      <c r="R2194">
        <v>315</v>
      </c>
      <c r="S2194">
        <v>273</v>
      </c>
      <c r="T2194" t="s">
        <v>31</v>
      </c>
      <c r="U2194" t="s">
        <v>31</v>
      </c>
      <c r="V2194" t="s">
        <v>31</v>
      </c>
      <c r="W2194" t="s">
        <v>31</v>
      </c>
      <c r="X2194" t="s">
        <v>31</v>
      </c>
      <c r="Y2194" t="s">
        <v>31</v>
      </c>
    </row>
    <row r="2195" spans="1:25" hidden="1">
      <c r="A2195" t="s">
        <v>25</v>
      </c>
      <c r="B2195" t="s">
        <v>26</v>
      </c>
      <c r="C2195" t="s">
        <v>60</v>
      </c>
      <c r="D2195" s="1">
        <v>45367</v>
      </c>
      <c r="E2195" s="2">
        <v>0.66666666666666663</v>
      </c>
      <c r="F2195" t="s">
        <v>61</v>
      </c>
      <c r="G2195" t="s">
        <v>59</v>
      </c>
      <c r="H2195">
        <v>0</v>
      </c>
      <c r="I2195">
        <v>0</v>
      </c>
      <c r="J2195" t="s">
        <v>41</v>
      </c>
      <c r="K2195">
        <v>174</v>
      </c>
      <c r="L2195">
        <v>358</v>
      </c>
      <c r="M2195">
        <v>569</v>
      </c>
      <c r="N2195">
        <v>183</v>
      </c>
      <c r="O2195">
        <v>367</v>
      </c>
      <c r="P2195">
        <v>569</v>
      </c>
      <c r="Q2195">
        <v>175</v>
      </c>
      <c r="R2195">
        <v>344</v>
      </c>
      <c r="S2195">
        <v>501</v>
      </c>
      <c r="T2195" t="s">
        <v>31</v>
      </c>
      <c r="U2195" t="s">
        <v>31</v>
      </c>
      <c r="V2195" t="s">
        <v>31</v>
      </c>
      <c r="W2195" t="s">
        <v>31</v>
      </c>
      <c r="X2195" t="s">
        <v>31</v>
      </c>
      <c r="Y2195" t="s">
        <v>31</v>
      </c>
    </row>
    <row r="2196" spans="1:25" hidden="1">
      <c r="A2196" t="s">
        <v>25</v>
      </c>
      <c r="B2196" t="s">
        <v>26</v>
      </c>
      <c r="C2196" t="s">
        <v>60</v>
      </c>
      <c r="D2196" s="1">
        <v>45367</v>
      </c>
      <c r="E2196" s="2">
        <v>0.66666666666666663</v>
      </c>
      <c r="F2196" t="s">
        <v>54</v>
      </c>
      <c r="G2196" t="s">
        <v>39</v>
      </c>
      <c r="H2196">
        <v>1</v>
      </c>
      <c r="I2196">
        <v>1</v>
      </c>
      <c r="J2196" t="s">
        <v>41</v>
      </c>
      <c r="K2196">
        <v>296</v>
      </c>
      <c r="L2196">
        <v>332</v>
      </c>
      <c r="M2196">
        <v>258</v>
      </c>
      <c r="N2196">
        <v>3</v>
      </c>
      <c r="O2196">
        <v>332</v>
      </c>
      <c r="P2196">
        <v>26</v>
      </c>
      <c r="Q2196">
        <v>285</v>
      </c>
      <c r="R2196">
        <v>319</v>
      </c>
      <c r="S2196">
        <v>25</v>
      </c>
      <c r="T2196" t="s">
        <v>31</v>
      </c>
      <c r="U2196" t="s">
        <v>31</v>
      </c>
      <c r="V2196" t="s">
        <v>31</v>
      </c>
      <c r="W2196" t="s">
        <v>31</v>
      </c>
      <c r="X2196" t="s">
        <v>31</v>
      </c>
      <c r="Y2196" t="s">
        <v>31</v>
      </c>
    </row>
    <row r="2197" spans="1:25" hidden="1">
      <c r="A2197" t="s">
        <v>25</v>
      </c>
      <c r="B2197" t="s">
        <v>26</v>
      </c>
      <c r="C2197" t="s">
        <v>60</v>
      </c>
      <c r="D2197" s="1">
        <v>45368</v>
      </c>
      <c r="E2197" s="2">
        <v>0.5625</v>
      </c>
      <c r="F2197" t="s">
        <v>56</v>
      </c>
      <c r="G2197" t="s">
        <v>28</v>
      </c>
      <c r="H2197">
        <v>0</v>
      </c>
      <c r="I2197">
        <v>4</v>
      </c>
      <c r="J2197" t="s">
        <v>30</v>
      </c>
      <c r="K2197">
        <v>526</v>
      </c>
      <c r="L2197">
        <v>388</v>
      </c>
      <c r="M2197">
        <v>172</v>
      </c>
      <c r="N2197">
        <v>528</v>
      </c>
      <c r="O2197">
        <v>388</v>
      </c>
      <c r="P2197">
        <v>176</v>
      </c>
      <c r="Q2197">
        <v>489</v>
      </c>
      <c r="R2197">
        <v>368</v>
      </c>
      <c r="S2197">
        <v>17</v>
      </c>
      <c r="T2197" t="s">
        <v>31</v>
      </c>
      <c r="U2197" t="s">
        <v>31</v>
      </c>
      <c r="V2197" t="s">
        <v>31</v>
      </c>
      <c r="W2197" t="s">
        <v>31</v>
      </c>
      <c r="X2197" t="s">
        <v>31</v>
      </c>
      <c r="Y2197" t="s">
        <v>31</v>
      </c>
    </row>
    <row r="2198" spans="1:25" hidden="1">
      <c r="A2198" t="s">
        <v>25</v>
      </c>
      <c r="B2198" t="s">
        <v>26</v>
      </c>
      <c r="C2198" t="s">
        <v>60</v>
      </c>
      <c r="D2198" s="1">
        <v>45368</v>
      </c>
      <c r="E2198" s="2">
        <v>0.66666666666666663</v>
      </c>
      <c r="F2198" t="s">
        <v>29</v>
      </c>
      <c r="G2198" t="s">
        <v>52</v>
      </c>
      <c r="H2198">
        <v>5</v>
      </c>
      <c r="I2198">
        <v>1</v>
      </c>
      <c r="J2198" t="s">
        <v>34</v>
      </c>
      <c r="K2198">
        <v>125</v>
      </c>
      <c r="L2198">
        <v>615</v>
      </c>
      <c r="M2198">
        <v>1301</v>
      </c>
      <c r="N2198">
        <v>13</v>
      </c>
      <c r="O2198">
        <v>622</v>
      </c>
      <c r="P2198">
        <v>133</v>
      </c>
      <c r="Q2198">
        <v>126</v>
      </c>
      <c r="R2198">
        <v>561</v>
      </c>
      <c r="S2198">
        <v>109</v>
      </c>
      <c r="T2198" t="s">
        <v>31</v>
      </c>
      <c r="U2198" t="s">
        <v>31</v>
      </c>
      <c r="V2198" t="s">
        <v>31</v>
      </c>
      <c r="W2198" t="s">
        <v>31</v>
      </c>
      <c r="X2198" t="s">
        <v>31</v>
      </c>
      <c r="Y2198" t="s">
        <v>31</v>
      </c>
    </row>
    <row r="2199" spans="1:25" hidden="1">
      <c r="A2199" t="s">
        <v>25</v>
      </c>
      <c r="B2199" t="s">
        <v>26</v>
      </c>
      <c r="C2199" t="s">
        <v>60</v>
      </c>
      <c r="D2199" s="1">
        <v>45380</v>
      </c>
      <c r="E2199" s="2">
        <v>0.77083333333333337</v>
      </c>
      <c r="F2199" t="s">
        <v>40</v>
      </c>
      <c r="G2199" t="s">
        <v>61</v>
      </c>
      <c r="H2199">
        <v>0</v>
      </c>
      <c r="I2199">
        <v>0</v>
      </c>
      <c r="J2199" t="s">
        <v>41</v>
      </c>
      <c r="K2199">
        <v>166</v>
      </c>
      <c r="L2199">
        <v>383</v>
      </c>
      <c r="M2199">
        <v>571</v>
      </c>
      <c r="N2199">
        <v>171</v>
      </c>
      <c r="O2199">
        <v>386</v>
      </c>
      <c r="P2199">
        <v>571</v>
      </c>
      <c r="Q2199">
        <v>165</v>
      </c>
      <c r="R2199">
        <v>369</v>
      </c>
      <c r="S2199">
        <v>521</v>
      </c>
      <c r="T2199" t="s">
        <v>31</v>
      </c>
      <c r="U2199" t="s">
        <v>31</v>
      </c>
      <c r="V2199" t="s">
        <v>31</v>
      </c>
      <c r="W2199" t="s">
        <v>31</v>
      </c>
      <c r="X2199" t="s">
        <v>31</v>
      </c>
      <c r="Y2199" t="s">
        <v>31</v>
      </c>
    </row>
    <row r="2200" spans="1:25" hidden="1">
      <c r="A2200" t="s">
        <v>25</v>
      </c>
      <c r="B2200" t="s">
        <v>26</v>
      </c>
      <c r="C2200" t="s">
        <v>60</v>
      </c>
      <c r="D2200" s="1">
        <v>45381</v>
      </c>
      <c r="E2200" s="2">
        <v>0.66666666666666663</v>
      </c>
      <c r="F2200" t="s">
        <v>59</v>
      </c>
      <c r="G2200" t="s">
        <v>54</v>
      </c>
      <c r="H2200">
        <v>1</v>
      </c>
      <c r="I2200">
        <v>2</v>
      </c>
      <c r="J2200" t="s">
        <v>30</v>
      </c>
      <c r="K2200">
        <v>398</v>
      </c>
      <c r="L2200">
        <v>31</v>
      </c>
      <c r="M2200">
        <v>217</v>
      </c>
      <c r="N2200">
        <v>398</v>
      </c>
      <c r="O2200">
        <v>325</v>
      </c>
      <c r="P2200">
        <v>221</v>
      </c>
      <c r="Q2200">
        <v>362</v>
      </c>
      <c r="R2200">
        <v>31</v>
      </c>
      <c r="S2200">
        <v>214</v>
      </c>
      <c r="T2200" t="s">
        <v>31</v>
      </c>
      <c r="U2200" t="s">
        <v>31</v>
      </c>
      <c r="V2200" t="s">
        <v>31</v>
      </c>
      <c r="W2200" t="s">
        <v>31</v>
      </c>
      <c r="X2200" t="s">
        <v>31</v>
      </c>
      <c r="Y2200" t="s">
        <v>31</v>
      </c>
    </row>
    <row r="2201" spans="1:25" hidden="1">
      <c r="A2201" t="s">
        <v>25</v>
      </c>
      <c r="B2201" t="s">
        <v>26</v>
      </c>
      <c r="C2201" t="s">
        <v>60</v>
      </c>
      <c r="D2201" s="1">
        <v>45381</v>
      </c>
      <c r="E2201" s="2">
        <v>0.66666666666666663</v>
      </c>
      <c r="F2201" t="s">
        <v>39</v>
      </c>
      <c r="G2201" t="s">
        <v>45</v>
      </c>
      <c r="H2201">
        <v>0</v>
      </c>
      <c r="I2201">
        <v>0</v>
      </c>
      <c r="J2201" t="s">
        <v>41</v>
      </c>
      <c r="K2201">
        <v>276</v>
      </c>
      <c r="L2201">
        <v>314</v>
      </c>
      <c r="M2201">
        <v>283</v>
      </c>
      <c r="N2201">
        <v>276</v>
      </c>
      <c r="O2201">
        <v>324</v>
      </c>
      <c r="P2201">
        <v>286</v>
      </c>
      <c r="Q2201">
        <v>266</v>
      </c>
      <c r="R2201">
        <v>308</v>
      </c>
      <c r="S2201">
        <v>273</v>
      </c>
      <c r="T2201" t="s">
        <v>31</v>
      </c>
      <c r="U2201" t="s">
        <v>31</v>
      </c>
      <c r="V2201" t="s">
        <v>31</v>
      </c>
      <c r="W2201" t="s">
        <v>31</v>
      </c>
      <c r="X2201" t="s">
        <v>31</v>
      </c>
      <c r="Y2201" t="s">
        <v>31</v>
      </c>
    </row>
    <row r="2202" spans="1:25" hidden="1">
      <c r="A2202" t="s">
        <v>25</v>
      </c>
      <c r="B2202" t="s">
        <v>26</v>
      </c>
      <c r="C2202" t="s">
        <v>60</v>
      </c>
      <c r="D2202" s="1">
        <v>45382</v>
      </c>
      <c r="E2202" s="2">
        <v>0.5625</v>
      </c>
      <c r="F2202" t="s">
        <v>52</v>
      </c>
      <c r="G2202" t="s">
        <v>35</v>
      </c>
      <c r="H2202">
        <v>0</v>
      </c>
      <c r="I2202">
        <v>3</v>
      </c>
      <c r="J2202" t="s">
        <v>30</v>
      </c>
      <c r="K2202">
        <v>368</v>
      </c>
      <c r="L2202">
        <v>334</v>
      </c>
      <c r="M2202">
        <v>216</v>
      </c>
      <c r="N2202">
        <v>368</v>
      </c>
      <c r="O2202">
        <v>381</v>
      </c>
      <c r="P2202">
        <v>224</v>
      </c>
      <c r="Q2202">
        <v>328</v>
      </c>
      <c r="R2202">
        <v>339</v>
      </c>
      <c r="S2202">
        <v>214</v>
      </c>
      <c r="T2202" t="s">
        <v>31</v>
      </c>
      <c r="U2202" t="s">
        <v>31</v>
      </c>
      <c r="V2202" t="s">
        <v>31</v>
      </c>
      <c r="W2202" t="s">
        <v>31</v>
      </c>
      <c r="X2202" t="s">
        <v>31</v>
      </c>
      <c r="Y2202" t="s">
        <v>31</v>
      </c>
    </row>
    <row r="2203" spans="1:25" hidden="1">
      <c r="A2203" t="s">
        <v>25</v>
      </c>
      <c r="B2203" t="s">
        <v>26</v>
      </c>
      <c r="C2203" t="s">
        <v>60</v>
      </c>
      <c r="D2203" s="1">
        <v>45382</v>
      </c>
      <c r="E2203" s="2">
        <v>0.5625</v>
      </c>
      <c r="F2203" t="s">
        <v>50</v>
      </c>
      <c r="G2203" t="s">
        <v>56</v>
      </c>
      <c r="H2203">
        <v>1</v>
      </c>
      <c r="I2203">
        <v>0</v>
      </c>
      <c r="J2203" t="s">
        <v>34</v>
      </c>
      <c r="K2203">
        <v>171</v>
      </c>
      <c r="L2203">
        <v>371</v>
      </c>
      <c r="M2203">
        <v>544</v>
      </c>
      <c r="N2203">
        <v>175</v>
      </c>
      <c r="O2203">
        <v>385</v>
      </c>
      <c r="P2203">
        <v>55</v>
      </c>
      <c r="Q2203">
        <v>17</v>
      </c>
      <c r="R2203">
        <v>367</v>
      </c>
      <c r="S2203">
        <v>493</v>
      </c>
      <c r="T2203" t="s">
        <v>31</v>
      </c>
      <c r="U2203" t="s">
        <v>31</v>
      </c>
      <c r="V2203" t="s">
        <v>31</v>
      </c>
      <c r="W2203" t="s">
        <v>31</v>
      </c>
      <c r="X2203" t="s">
        <v>31</v>
      </c>
      <c r="Y2203" t="s">
        <v>31</v>
      </c>
    </row>
    <row r="2204" spans="1:25" hidden="1">
      <c r="A2204" t="s">
        <v>25</v>
      </c>
      <c r="B2204" t="s">
        <v>26</v>
      </c>
      <c r="C2204" t="s">
        <v>60</v>
      </c>
      <c r="D2204" s="1">
        <v>45382</v>
      </c>
      <c r="E2204" s="2">
        <v>0.66666666666666663</v>
      </c>
      <c r="F2204" t="s">
        <v>28</v>
      </c>
      <c r="G2204" t="s">
        <v>29</v>
      </c>
      <c r="H2204">
        <v>0</v>
      </c>
      <c r="I2204">
        <v>1</v>
      </c>
      <c r="J2204" t="s">
        <v>30</v>
      </c>
      <c r="K2204">
        <v>366</v>
      </c>
      <c r="L2204">
        <v>343</v>
      </c>
      <c r="M2204">
        <v>213</v>
      </c>
      <c r="N2204">
        <v>368</v>
      </c>
      <c r="O2204">
        <v>35</v>
      </c>
      <c r="P2204">
        <v>22</v>
      </c>
      <c r="Q2204">
        <v>347</v>
      </c>
      <c r="R2204">
        <v>333</v>
      </c>
      <c r="S2204">
        <v>209</v>
      </c>
      <c r="T2204" t="s">
        <v>31</v>
      </c>
      <c r="U2204" t="s">
        <v>31</v>
      </c>
      <c r="V2204" t="s">
        <v>31</v>
      </c>
      <c r="W2204" t="s">
        <v>31</v>
      </c>
      <c r="X2204" t="s">
        <v>31</v>
      </c>
      <c r="Y2204" t="s">
        <v>31</v>
      </c>
    </row>
    <row r="2205" spans="1:25" hidden="1">
      <c r="A2205" t="s">
        <v>25</v>
      </c>
      <c r="B2205" t="s">
        <v>26</v>
      </c>
      <c r="C2205" t="s">
        <v>60</v>
      </c>
      <c r="D2205" s="1">
        <v>45387</v>
      </c>
      <c r="E2205" s="2">
        <v>0.77083333333333337</v>
      </c>
      <c r="F2205" t="s">
        <v>45</v>
      </c>
      <c r="G2205" t="s">
        <v>54</v>
      </c>
      <c r="H2205">
        <v>0</v>
      </c>
      <c r="I2205">
        <v>0</v>
      </c>
      <c r="J2205" t="s">
        <v>41</v>
      </c>
      <c r="K2205">
        <v>2</v>
      </c>
      <c r="L2205">
        <v>324</v>
      </c>
      <c r="M2205">
        <v>44</v>
      </c>
      <c r="N2205">
        <v>211</v>
      </c>
      <c r="O2205">
        <v>336</v>
      </c>
      <c r="P2205">
        <v>44</v>
      </c>
      <c r="Q2205">
        <v>203</v>
      </c>
      <c r="R2205">
        <v>317</v>
      </c>
      <c r="S2205">
        <v>391</v>
      </c>
      <c r="T2205" t="s">
        <v>31</v>
      </c>
      <c r="U2205" t="s">
        <v>31</v>
      </c>
      <c r="V2205" t="s">
        <v>31</v>
      </c>
      <c r="W2205" t="s">
        <v>31</v>
      </c>
      <c r="X2205" t="s">
        <v>31</v>
      </c>
      <c r="Y2205" t="s">
        <v>31</v>
      </c>
    </row>
    <row r="2206" spans="1:25" hidden="1">
      <c r="A2206" t="s">
        <v>25</v>
      </c>
      <c r="B2206" t="s">
        <v>26</v>
      </c>
      <c r="C2206" t="s">
        <v>60</v>
      </c>
      <c r="D2206" s="1">
        <v>45388</v>
      </c>
      <c r="E2206" s="2">
        <v>0.66666666666666663</v>
      </c>
      <c r="F2206" t="s">
        <v>40</v>
      </c>
      <c r="G2206" t="s">
        <v>59</v>
      </c>
      <c r="H2206">
        <v>1</v>
      </c>
      <c r="I2206">
        <v>1</v>
      </c>
      <c r="J2206" t="s">
        <v>41</v>
      </c>
      <c r="K2206">
        <v>139</v>
      </c>
      <c r="L2206">
        <v>473</v>
      </c>
      <c r="M2206">
        <v>917</v>
      </c>
      <c r="N2206">
        <v>14</v>
      </c>
      <c r="O2206">
        <v>5</v>
      </c>
      <c r="P2206">
        <v>96</v>
      </c>
      <c r="Q2206">
        <v>135</v>
      </c>
      <c r="R2206">
        <v>467</v>
      </c>
      <c r="S2206">
        <v>862</v>
      </c>
      <c r="T2206" t="s">
        <v>31</v>
      </c>
      <c r="U2206" t="s">
        <v>31</v>
      </c>
      <c r="V2206" t="s">
        <v>31</v>
      </c>
      <c r="W2206" t="s">
        <v>31</v>
      </c>
      <c r="X2206" t="s">
        <v>31</v>
      </c>
      <c r="Y2206" t="s">
        <v>31</v>
      </c>
    </row>
    <row r="2207" spans="1:25" hidden="1">
      <c r="A2207" t="s">
        <v>25</v>
      </c>
      <c r="B2207" t="s">
        <v>26</v>
      </c>
      <c r="C2207" t="s">
        <v>60</v>
      </c>
      <c r="D2207" s="1">
        <v>45388</v>
      </c>
      <c r="E2207" s="2">
        <v>0.77083333333333337</v>
      </c>
      <c r="F2207" t="s">
        <v>61</v>
      </c>
      <c r="G2207" t="s">
        <v>39</v>
      </c>
      <c r="H2207">
        <v>0</v>
      </c>
      <c r="I2207">
        <v>0</v>
      </c>
      <c r="J2207" t="s">
        <v>41</v>
      </c>
      <c r="K2207">
        <v>269</v>
      </c>
      <c r="L2207">
        <v>302</v>
      </c>
      <c r="M2207">
        <v>303</v>
      </c>
      <c r="N2207">
        <v>291</v>
      </c>
      <c r="O2207">
        <v>32</v>
      </c>
      <c r="P2207">
        <v>303</v>
      </c>
      <c r="Q2207">
        <v>266</v>
      </c>
      <c r="R2207">
        <v>301</v>
      </c>
      <c r="S2207">
        <v>28</v>
      </c>
      <c r="T2207" t="s">
        <v>31</v>
      </c>
      <c r="U2207" t="s">
        <v>31</v>
      </c>
      <c r="V2207" t="s">
        <v>31</v>
      </c>
      <c r="W2207" t="s">
        <v>31</v>
      </c>
      <c r="X2207" t="s">
        <v>31</v>
      </c>
      <c r="Y2207" t="s">
        <v>31</v>
      </c>
    </row>
    <row r="2208" spans="1:25" hidden="1">
      <c r="A2208" t="s">
        <v>25</v>
      </c>
      <c r="B2208" t="s">
        <v>26</v>
      </c>
      <c r="C2208" t="s">
        <v>60</v>
      </c>
      <c r="D2208" s="1">
        <v>45389</v>
      </c>
      <c r="E2208" s="2">
        <v>0.5625</v>
      </c>
      <c r="F2208" t="s">
        <v>56</v>
      </c>
      <c r="G2208" t="s">
        <v>52</v>
      </c>
      <c r="H2208">
        <v>2</v>
      </c>
      <c r="I2208">
        <v>2</v>
      </c>
      <c r="J2208" t="s">
        <v>41</v>
      </c>
      <c r="K2208">
        <v>259</v>
      </c>
      <c r="L2208">
        <v>309</v>
      </c>
      <c r="M2208">
        <v>309</v>
      </c>
      <c r="N2208">
        <v>261</v>
      </c>
      <c r="O2208">
        <v>32</v>
      </c>
      <c r="P2208">
        <v>309</v>
      </c>
      <c r="Q2208">
        <v>251</v>
      </c>
      <c r="R2208">
        <v>306</v>
      </c>
      <c r="S2208">
        <v>293</v>
      </c>
      <c r="T2208" t="s">
        <v>31</v>
      </c>
      <c r="U2208" t="s">
        <v>31</v>
      </c>
      <c r="V2208" t="s">
        <v>31</v>
      </c>
      <c r="W2208" t="s">
        <v>31</v>
      </c>
      <c r="X2208" t="s">
        <v>31</v>
      </c>
      <c r="Y2208" t="s">
        <v>31</v>
      </c>
    </row>
    <row r="2209" spans="1:25" hidden="1">
      <c r="A2209" t="s">
        <v>25</v>
      </c>
      <c r="B2209" t="s">
        <v>26</v>
      </c>
      <c r="C2209" t="s">
        <v>60</v>
      </c>
      <c r="D2209" s="1">
        <v>45389</v>
      </c>
      <c r="E2209" s="2">
        <v>0.5625</v>
      </c>
      <c r="F2209" t="s">
        <v>28</v>
      </c>
      <c r="G2209" t="s">
        <v>50</v>
      </c>
      <c r="H2209">
        <v>1</v>
      </c>
      <c r="I2209">
        <v>0</v>
      </c>
      <c r="J2209" t="s">
        <v>34</v>
      </c>
      <c r="K2209">
        <v>196</v>
      </c>
      <c r="L2209">
        <v>347</v>
      </c>
      <c r="M2209">
        <v>423</v>
      </c>
      <c r="N2209">
        <v>207</v>
      </c>
      <c r="O2209">
        <v>354</v>
      </c>
      <c r="P2209">
        <v>423</v>
      </c>
      <c r="Q2209">
        <v>197</v>
      </c>
      <c r="R2209">
        <v>337</v>
      </c>
      <c r="S2209">
        <v>385</v>
      </c>
      <c r="T2209" t="s">
        <v>31</v>
      </c>
      <c r="U2209" t="s">
        <v>31</v>
      </c>
      <c r="V2209" t="s">
        <v>31</v>
      </c>
      <c r="W2209" t="s">
        <v>31</v>
      </c>
      <c r="X2209" t="s">
        <v>31</v>
      </c>
      <c r="Y2209" t="s">
        <v>31</v>
      </c>
    </row>
    <row r="2210" spans="1:25" hidden="1">
      <c r="A2210" t="s">
        <v>25</v>
      </c>
      <c r="B2210" t="s">
        <v>26</v>
      </c>
      <c r="C2210" t="s">
        <v>60</v>
      </c>
      <c r="D2210" s="1">
        <v>45389</v>
      </c>
      <c r="E2210" s="2">
        <v>0.66666666666666663</v>
      </c>
      <c r="F2210" t="s">
        <v>29</v>
      </c>
      <c r="G2210" t="s">
        <v>35</v>
      </c>
      <c r="H2210">
        <v>1</v>
      </c>
      <c r="I2210">
        <v>1</v>
      </c>
      <c r="J2210" t="s">
        <v>41</v>
      </c>
      <c r="K2210">
        <v>169</v>
      </c>
      <c r="L2210">
        <v>395</v>
      </c>
      <c r="M2210">
        <v>522</v>
      </c>
      <c r="N2210">
        <v>177</v>
      </c>
      <c r="O2210">
        <v>395</v>
      </c>
      <c r="P2210">
        <v>522</v>
      </c>
      <c r="Q2210">
        <v>17</v>
      </c>
      <c r="R2210">
        <v>374</v>
      </c>
      <c r="S2210">
        <v>472</v>
      </c>
      <c r="T2210" t="s">
        <v>31</v>
      </c>
      <c r="U2210" t="s">
        <v>31</v>
      </c>
      <c r="V2210" t="s">
        <v>31</v>
      </c>
      <c r="W2210" t="s">
        <v>31</v>
      </c>
      <c r="X2210" t="s">
        <v>31</v>
      </c>
      <c r="Y2210" t="s">
        <v>31</v>
      </c>
    </row>
    <row r="2211" spans="1:25" hidden="1">
      <c r="A2211" t="s">
        <v>25</v>
      </c>
      <c r="B2211" t="s">
        <v>26</v>
      </c>
      <c r="C2211" t="s">
        <v>60</v>
      </c>
      <c r="D2211" s="1">
        <v>45394</v>
      </c>
      <c r="E2211" s="2">
        <v>0.77083333333333337</v>
      </c>
      <c r="F2211" t="s">
        <v>50</v>
      </c>
      <c r="G2211" t="s">
        <v>29</v>
      </c>
      <c r="H2211">
        <v>3</v>
      </c>
      <c r="I2211">
        <v>1</v>
      </c>
      <c r="J2211" t="s">
        <v>34</v>
      </c>
      <c r="K2211">
        <v>464</v>
      </c>
      <c r="L2211">
        <v>364</v>
      </c>
      <c r="M2211">
        <v>183</v>
      </c>
      <c r="N2211">
        <v>464</v>
      </c>
      <c r="O2211">
        <v>37</v>
      </c>
      <c r="P2211">
        <v>196</v>
      </c>
      <c r="Q2211">
        <v>417</v>
      </c>
      <c r="R2211">
        <v>354</v>
      </c>
      <c r="S2211">
        <v>184</v>
      </c>
      <c r="T2211" t="s">
        <v>31</v>
      </c>
      <c r="U2211" t="s">
        <v>31</v>
      </c>
      <c r="V2211" t="s">
        <v>31</v>
      </c>
      <c r="W2211" t="s">
        <v>31</v>
      </c>
      <c r="X2211" t="s">
        <v>31</v>
      </c>
      <c r="Y2211" t="s">
        <v>31</v>
      </c>
    </row>
    <row r="2212" spans="1:25" hidden="1">
      <c r="A2212" t="s">
        <v>25</v>
      </c>
      <c r="B2212" t="s">
        <v>26</v>
      </c>
      <c r="C2212" t="s">
        <v>60</v>
      </c>
      <c r="D2212" s="1">
        <v>45395</v>
      </c>
      <c r="E2212" s="2">
        <v>0.66666666666666663</v>
      </c>
      <c r="F2212" t="s">
        <v>59</v>
      </c>
      <c r="G2212" t="s">
        <v>45</v>
      </c>
      <c r="H2212">
        <v>0</v>
      </c>
      <c r="I2212">
        <v>1</v>
      </c>
      <c r="J2212" t="s">
        <v>30</v>
      </c>
      <c r="K2212">
        <v>512</v>
      </c>
      <c r="L2212">
        <v>346</v>
      </c>
      <c r="M2212">
        <v>181</v>
      </c>
      <c r="N2212">
        <v>512</v>
      </c>
      <c r="O2212">
        <v>35</v>
      </c>
      <c r="P2212">
        <v>19</v>
      </c>
      <c r="Q2212">
        <v>479</v>
      </c>
      <c r="R2212">
        <v>336</v>
      </c>
      <c r="S2212">
        <v>179</v>
      </c>
      <c r="T2212" t="s">
        <v>31</v>
      </c>
      <c r="U2212" t="s">
        <v>31</v>
      </c>
      <c r="V2212" t="s">
        <v>31</v>
      </c>
      <c r="W2212" t="s">
        <v>31</v>
      </c>
      <c r="X2212" t="s">
        <v>31</v>
      </c>
      <c r="Y2212" t="s">
        <v>31</v>
      </c>
    </row>
    <row r="2213" spans="1:25" hidden="1">
      <c r="A2213" t="s">
        <v>25</v>
      </c>
      <c r="B2213" t="s">
        <v>26</v>
      </c>
      <c r="C2213" t="s">
        <v>60</v>
      </c>
      <c r="D2213" s="1">
        <v>45395</v>
      </c>
      <c r="E2213" s="2">
        <v>0.66666666666666663</v>
      </c>
      <c r="F2213" t="s">
        <v>54</v>
      </c>
      <c r="G2213" t="s">
        <v>61</v>
      </c>
      <c r="H2213">
        <v>2</v>
      </c>
      <c r="I2213">
        <v>1</v>
      </c>
      <c r="J2213" t="s">
        <v>34</v>
      </c>
      <c r="K2213">
        <v>267</v>
      </c>
      <c r="L2213">
        <v>296</v>
      </c>
      <c r="M2213">
        <v>312</v>
      </c>
      <c r="N2213">
        <v>268</v>
      </c>
      <c r="O2213">
        <v>314</v>
      </c>
      <c r="P2213">
        <v>312</v>
      </c>
      <c r="Q2213">
        <v>257</v>
      </c>
      <c r="R2213">
        <v>299</v>
      </c>
      <c r="S2213">
        <v>293</v>
      </c>
      <c r="T2213" t="s">
        <v>31</v>
      </c>
      <c r="U2213" t="s">
        <v>31</v>
      </c>
      <c r="V2213" t="s">
        <v>31</v>
      </c>
      <c r="W2213" t="s">
        <v>31</v>
      </c>
      <c r="X2213" t="s">
        <v>31</v>
      </c>
      <c r="Y2213" t="s">
        <v>31</v>
      </c>
    </row>
    <row r="2214" spans="1:25" hidden="1">
      <c r="A2214" t="s">
        <v>25</v>
      </c>
      <c r="B2214" t="s">
        <v>26</v>
      </c>
      <c r="C2214" t="s">
        <v>60</v>
      </c>
      <c r="D2214" s="1">
        <v>45395</v>
      </c>
      <c r="E2214" s="2">
        <v>0.66666666666666663</v>
      </c>
      <c r="F2214" t="s">
        <v>39</v>
      </c>
      <c r="G2214" t="s">
        <v>40</v>
      </c>
      <c r="H2214">
        <v>0</v>
      </c>
      <c r="I2214">
        <v>1</v>
      </c>
      <c r="J2214" t="s">
        <v>30</v>
      </c>
      <c r="K2214">
        <v>304</v>
      </c>
      <c r="L2214">
        <v>316</v>
      </c>
      <c r="M2214">
        <v>258</v>
      </c>
      <c r="N2214">
        <v>307</v>
      </c>
      <c r="O2214">
        <v>33</v>
      </c>
      <c r="P2214">
        <v>26</v>
      </c>
      <c r="Q2214">
        <v>288</v>
      </c>
      <c r="R2214">
        <v>312</v>
      </c>
      <c r="S2214">
        <v>251</v>
      </c>
      <c r="T2214" t="s">
        <v>31</v>
      </c>
      <c r="U2214" t="s">
        <v>31</v>
      </c>
      <c r="V2214" t="s">
        <v>31</v>
      </c>
      <c r="W2214" t="s">
        <v>31</v>
      </c>
      <c r="X2214" t="s">
        <v>31</v>
      </c>
      <c r="Y2214" t="s">
        <v>31</v>
      </c>
    </row>
    <row r="2215" spans="1:25" hidden="1">
      <c r="A2215" t="s">
        <v>25</v>
      </c>
      <c r="B2215" t="s">
        <v>26</v>
      </c>
      <c r="C2215" t="s">
        <v>60</v>
      </c>
      <c r="D2215" s="1">
        <v>45396</v>
      </c>
      <c r="E2215" s="2">
        <v>0.5625</v>
      </c>
      <c r="F2215" t="s">
        <v>52</v>
      </c>
      <c r="G2215" t="s">
        <v>28</v>
      </c>
      <c r="H2215">
        <v>1</v>
      </c>
      <c r="I2215">
        <v>3</v>
      </c>
      <c r="J2215" t="s">
        <v>30</v>
      </c>
      <c r="K2215">
        <v>529</v>
      </c>
      <c r="L2215">
        <v>38</v>
      </c>
      <c r="M2215">
        <v>171</v>
      </c>
      <c r="N2215">
        <v>547</v>
      </c>
      <c r="O2215">
        <v>385</v>
      </c>
      <c r="P2215">
        <v>176</v>
      </c>
      <c r="Q2215">
        <v>489</v>
      </c>
      <c r="R2215">
        <v>368</v>
      </c>
      <c r="S2215">
        <v>17</v>
      </c>
      <c r="T2215" t="s">
        <v>31</v>
      </c>
      <c r="U2215" t="s">
        <v>31</v>
      </c>
      <c r="V2215" t="s">
        <v>31</v>
      </c>
      <c r="W2215" t="s">
        <v>31</v>
      </c>
      <c r="X2215" t="s">
        <v>31</v>
      </c>
      <c r="Y2215" t="s">
        <v>31</v>
      </c>
    </row>
    <row r="2216" spans="1:25" hidden="1">
      <c r="A2216" t="s">
        <v>25</v>
      </c>
      <c r="B2216" t="s">
        <v>26</v>
      </c>
      <c r="C2216" t="s">
        <v>60</v>
      </c>
      <c r="D2216" s="1">
        <v>45396</v>
      </c>
      <c r="E2216" s="2">
        <v>0.66666666666666663</v>
      </c>
      <c r="F2216" t="s">
        <v>35</v>
      </c>
      <c r="G2216" t="s">
        <v>56</v>
      </c>
      <c r="H2216">
        <v>1</v>
      </c>
      <c r="I2216">
        <v>1</v>
      </c>
      <c r="J2216" t="s">
        <v>41</v>
      </c>
      <c r="K2216">
        <v>16</v>
      </c>
      <c r="L2216">
        <v>416</v>
      </c>
      <c r="M2216">
        <v>589</v>
      </c>
      <c r="N2216">
        <v>167</v>
      </c>
      <c r="O2216">
        <v>42</v>
      </c>
      <c r="P2216">
        <v>59</v>
      </c>
      <c r="Q2216">
        <v>159</v>
      </c>
      <c r="R2216">
        <v>396</v>
      </c>
      <c r="S2216">
        <v>534</v>
      </c>
      <c r="T2216" t="s">
        <v>31</v>
      </c>
      <c r="U2216" t="s">
        <v>31</v>
      </c>
      <c r="V2216" t="s">
        <v>31</v>
      </c>
      <c r="W2216" t="s">
        <v>31</v>
      </c>
      <c r="X2216" t="s">
        <v>31</v>
      </c>
      <c r="Y2216" t="s">
        <v>31</v>
      </c>
    </row>
    <row r="2217" spans="1:25" hidden="1">
      <c r="A2217" t="s">
        <v>25</v>
      </c>
      <c r="B2217" t="s">
        <v>26</v>
      </c>
      <c r="C2217" t="s">
        <v>60</v>
      </c>
      <c r="D2217" s="1">
        <v>45401</v>
      </c>
      <c r="E2217" s="2">
        <v>0.77083333333333337</v>
      </c>
      <c r="F2217" t="s">
        <v>28</v>
      </c>
      <c r="G2217" t="s">
        <v>35</v>
      </c>
      <c r="H2217">
        <v>1</v>
      </c>
      <c r="I2217">
        <v>0</v>
      </c>
      <c r="J2217" t="s">
        <v>34</v>
      </c>
      <c r="K2217">
        <v>184</v>
      </c>
      <c r="L2217">
        <v>368</v>
      </c>
      <c r="M2217">
        <v>452</v>
      </c>
      <c r="N2217">
        <v>191</v>
      </c>
      <c r="O2217">
        <v>4</v>
      </c>
      <c r="P2217">
        <v>452</v>
      </c>
      <c r="Q2217">
        <v>183</v>
      </c>
      <c r="R2217">
        <v>364</v>
      </c>
      <c r="S2217">
        <v>412</v>
      </c>
      <c r="T2217" t="s">
        <v>31</v>
      </c>
      <c r="U2217" t="s">
        <v>31</v>
      </c>
      <c r="V2217" t="s">
        <v>31</v>
      </c>
      <c r="W2217" t="s">
        <v>31</v>
      </c>
      <c r="X2217" t="s">
        <v>31</v>
      </c>
      <c r="Y2217" t="s">
        <v>31</v>
      </c>
    </row>
    <row r="2218" spans="1:25" hidden="1">
      <c r="A2218" t="s">
        <v>25</v>
      </c>
      <c r="B2218" t="s">
        <v>26</v>
      </c>
      <c r="C2218" t="s">
        <v>60</v>
      </c>
      <c r="D2218" s="1">
        <v>45402</v>
      </c>
      <c r="E2218" s="2">
        <v>0.66666666666666663</v>
      </c>
      <c r="F2218" t="s">
        <v>45</v>
      </c>
      <c r="G2218" t="s">
        <v>61</v>
      </c>
      <c r="H2218">
        <v>2</v>
      </c>
      <c r="I2218">
        <v>2</v>
      </c>
      <c r="J2218" t="s">
        <v>41</v>
      </c>
      <c r="K2218">
        <v>203</v>
      </c>
      <c r="L2218">
        <v>298</v>
      </c>
      <c r="M2218">
        <v>486</v>
      </c>
      <c r="N2218">
        <v>211</v>
      </c>
      <c r="O2218">
        <v>31</v>
      </c>
      <c r="P2218">
        <v>51</v>
      </c>
      <c r="Q2218">
        <v>198</v>
      </c>
      <c r="R2218">
        <v>296</v>
      </c>
      <c r="S2218">
        <v>451</v>
      </c>
      <c r="T2218" t="s">
        <v>31</v>
      </c>
      <c r="U2218" t="s">
        <v>31</v>
      </c>
      <c r="V2218" t="s">
        <v>31</v>
      </c>
      <c r="W2218" t="s">
        <v>31</v>
      </c>
      <c r="X2218" t="s">
        <v>31</v>
      </c>
      <c r="Y2218" t="s">
        <v>31</v>
      </c>
    </row>
    <row r="2219" spans="1:25" hidden="1">
      <c r="A2219" t="s">
        <v>25</v>
      </c>
      <c r="B2219" t="s">
        <v>26</v>
      </c>
      <c r="C2219" t="s">
        <v>60</v>
      </c>
      <c r="D2219" s="1">
        <v>45402</v>
      </c>
      <c r="E2219" s="2">
        <v>0.66666666666666663</v>
      </c>
      <c r="F2219" t="s">
        <v>40</v>
      </c>
      <c r="G2219" t="s">
        <v>54</v>
      </c>
      <c r="H2219">
        <v>3</v>
      </c>
      <c r="I2219">
        <v>0</v>
      </c>
      <c r="J2219" t="s">
        <v>34</v>
      </c>
      <c r="K2219">
        <v>183</v>
      </c>
      <c r="L2219">
        <v>358</v>
      </c>
      <c r="M2219">
        <v>474</v>
      </c>
      <c r="N2219">
        <v>185</v>
      </c>
      <c r="O2219">
        <v>37</v>
      </c>
      <c r="P2219">
        <v>5</v>
      </c>
      <c r="Q2219">
        <v>178</v>
      </c>
      <c r="R2219">
        <v>355</v>
      </c>
      <c r="S2219">
        <v>453</v>
      </c>
      <c r="T2219" t="s">
        <v>31</v>
      </c>
      <c r="U2219" t="s">
        <v>31</v>
      </c>
      <c r="V2219" t="s">
        <v>31</v>
      </c>
      <c r="W2219" t="s">
        <v>31</v>
      </c>
      <c r="X2219" t="s">
        <v>31</v>
      </c>
      <c r="Y2219" t="s">
        <v>31</v>
      </c>
    </row>
    <row r="2220" spans="1:25" hidden="1">
      <c r="A2220" t="s">
        <v>25</v>
      </c>
      <c r="B2220" t="s">
        <v>26</v>
      </c>
      <c r="C2220" t="s">
        <v>60</v>
      </c>
      <c r="D2220" s="1">
        <v>45402</v>
      </c>
      <c r="E2220" s="2">
        <v>0.66666666666666663</v>
      </c>
      <c r="F2220" t="s">
        <v>39</v>
      </c>
      <c r="G2220" t="s">
        <v>59</v>
      </c>
      <c r="H2220">
        <v>1</v>
      </c>
      <c r="I2220">
        <v>1</v>
      </c>
      <c r="J2220" t="s">
        <v>41</v>
      </c>
      <c r="K2220">
        <v>172</v>
      </c>
      <c r="L2220">
        <v>363</v>
      </c>
      <c r="M2220">
        <v>549</v>
      </c>
      <c r="N2220">
        <v>176</v>
      </c>
      <c r="O2220">
        <v>39</v>
      </c>
      <c r="P2220">
        <v>6</v>
      </c>
      <c r="Q2220">
        <v>168</v>
      </c>
      <c r="R2220">
        <v>363</v>
      </c>
      <c r="S2220">
        <v>516</v>
      </c>
      <c r="T2220" t="s">
        <v>31</v>
      </c>
      <c r="U2220" t="s">
        <v>31</v>
      </c>
      <c r="V2220" t="s">
        <v>31</v>
      </c>
      <c r="W2220" t="s">
        <v>31</v>
      </c>
      <c r="X2220" t="s">
        <v>31</v>
      </c>
      <c r="Y2220" t="s">
        <v>31</v>
      </c>
    </row>
    <row r="2221" spans="1:25" hidden="1">
      <c r="A2221" t="s">
        <v>25</v>
      </c>
      <c r="B2221" t="s">
        <v>26</v>
      </c>
      <c r="C2221" t="s">
        <v>60</v>
      </c>
      <c r="D2221" s="1">
        <v>45403</v>
      </c>
      <c r="E2221" s="2">
        <v>0.5625</v>
      </c>
      <c r="F2221" t="s">
        <v>50</v>
      </c>
      <c r="G2221" t="s">
        <v>52</v>
      </c>
      <c r="H2221">
        <v>1</v>
      </c>
      <c r="I2221">
        <v>3</v>
      </c>
      <c r="J2221" t="s">
        <v>30</v>
      </c>
      <c r="K2221">
        <v>178</v>
      </c>
      <c r="L2221">
        <v>38</v>
      </c>
      <c r="M2221">
        <v>472</v>
      </c>
      <c r="N2221">
        <v>183</v>
      </c>
      <c r="O2221">
        <v>38</v>
      </c>
      <c r="P2221">
        <v>475</v>
      </c>
      <c r="Q2221">
        <v>177</v>
      </c>
      <c r="R2221">
        <v>364</v>
      </c>
      <c r="S2221">
        <v>44</v>
      </c>
      <c r="T2221" t="s">
        <v>31</v>
      </c>
      <c r="U2221" t="s">
        <v>31</v>
      </c>
      <c r="V2221" t="s">
        <v>31</v>
      </c>
      <c r="W2221" t="s">
        <v>31</v>
      </c>
      <c r="X2221" t="s">
        <v>31</v>
      </c>
      <c r="Y2221" t="s">
        <v>31</v>
      </c>
    </row>
    <row r="2222" spans="1:25" hidden="1">
      <c r="A2222" t="s">
        <v>25</v>
      </c>
      <c r="B2222" t="s">
        <v>26</v>
      </c>
      <c r="C2222" t="s">
        <v>60</v>
      </c>
      <c r="D2222" s="1">
        <v>45403</v>
      </c>
      <c r="E2222" s="2">
        <v>0.66666666666666663</v>
      </c>
      <c r="F2222" t="s">
        <v>29</v>
      </c>
      <c r="G2222" t="s">
        <v>56</v>
      </c>
      <c r="H2222">
        <v>4</v>
      </c>
      <c r="I2222">
        <v>2</v>
      </c>
      <c r="J2222" t="s">
        <v>34</v>
      </c>
      <c r="K2222">
        <v>129</v>
      </c>
      <c r="L2222">
        <v>588</v>
      </c>
      <c r="M2222">
        <v>1076</v>
      </c>
      <c r="N2222">
        <v>133</v>
      </c>
      <c r="O2222">
        <v>6</v>
      </c>
      <c r="P2222">
        <v>11</v>
      </c>
      <c r="Q2222">
        <v>128</v>
      </c>
      <c r="R2222">
        <v>555</v>
      </c>
      <c r="S2222">
        <v>975</v>
      </c>
      <c r="T2222" t="s">
        <v>31</v>
      </c>
      <c r="U2222" t="s">
        <v>31</v>
      </c>
      <c r="V2222" t="s">
        <v>31</v>
      </c>
      <c r="W2222" t="s">
        <v>31</v>
      </c>
      <c r="X2222" t="s">
        <v>31</v>
      </c>
      <c r="Y2222" t="s">
        <v>31</v>
      </c>
    </row>
    <row r="2223" spans="1:25" hidden="1">
      <c r="A2223" t="s">
        <v>25</v>
      </c>
      <c r="B2223" t="s">
        <v>26</v>
      </c>
      <c r="C2223" t="s">
        <v>60</v>
      </c>
      <c r="D2223" s="1">
        <v>45405</v>
      </c>
      <c r="E2223" s="2">
        <v>0.72916666666666663</v>
      </c>
      <c r="F2223" t="s">
        <v>59</v>
      </c>
      <c r="G2223" t="s">
        <v>39</v>
      </c>
      <c r="H2223">
        <v>1</v>
      </c>
      <c r="I2223">
        <v>2</v>
      </c>
      <c r="J2223" t="s">
        <v>30</v>
      </c>
      <c r="K2223">
        <v>399</v>
      </c>
      <c r="L2223">
        <v>335</v>
      </c>
      <c r="M2223">
        <v>206</v>
      </c>
      <c r="N2223">
        <v>399</v>
      </c>
      <c r="O2223">
        <v>343</v>
      </c>
      <c r="P2223">
        <v>214</v>
      </c>
      <c r="Q2223">
        <v>373</v>
      </c>
      <c r="R2223">
        <v>325</v>
      </c>
      <c r="S2223">
        <v>204</v>
      </c>
      <c r="T2223" t="s">
        <v>31</v>
      </c>
      <c r="U2223" t="s">
        <v>31</v>
      </c>
      <c r="V2223" t="s">
        <v>31</v>
      </c>
      <c r="W2223" t="s">
        <v>31</v>
      </c>
      <c r="X2223" t="s">
        <v>31</v>
      </c>
      <c r="Y2223" t="s">
        <v>31</v>
      </c>
    </row>
    <row r="2224" spans="1:25" hidden="1">
      <c r="A2224" t="s">
        <v>25</v>
      </c>
      <c r="B2224" t="s">
        <v>26</v>
      </c>
      <c r="C2224" t="s">
        <v>60</v>
      </c>
      <c r="D2224" s="1">
        <v>45405</v>
      </c>
      <c r="E2224" s="2">
        <v>0.72916666666666663</v>
      </c>
      <c r="F2224" t="s">
        <v>54</v>
      </c>
      <c r="G2224" t="s">
        <v>40</v>
      </c>
      <c r="H2224">
        <v>1</v>
      </c>
      <c r="I2224">
        <v>0</v>
      </c>
      <c r="J2224" t="s">
        <v>34</v>
      </c>
      <c r="K2224">
        <v>379</v>
      </c>
      <c r="L2224">
        <v>354</v>
      </c>
      <c r="M2224">
        <v>205</v>
      </c>
      <c r="N2224">
        <v>379</v>
      </c>
      <c r="O2224">
        <v>354</v>
      </c>
      <c r="P2224">
        <v>213</v>
      </c>
      <c r="Q2224">
        <v>352</v>
      </c>
      <c r="R2224">
        <v>342</v>
      </c>
      <c r="S2224">
        <v>205</v>
      </c>
      <c r="T2224" t="s">
        <v>31</v>
      </c>
      <c r="U2224" t="s">
        <v>31</v>
      </c>
      <c r="V2224" t="s">
        <v>31</v>
      </c>
      <c r="W2224" t="s">
        <v>31</v>
      </c>
      <c r="X2224" t="s">
        <v>31</v>
      </c>
      <c r="Y2224" t="s">
        <v>31</v>
      </c>
    </row>
    <row r="2225" spans="1:25" hidden="1">
      <c r="A2225" t="s">
        <v>25</v>
      </c>
      <c r="B2225" t="s">
        <v>26</v>
      </c>
      <c r="C2225" t="s">
        <v>60</v>
      </c>
      <c r="D2225" s="1">
        <v>45405</v>
      </c>
      <c r="E2225" s="2">
        <v>0.8125</v>
      </c>
      <c r="F2225" t="s">
        <v>61</v>
      </c>
      <c r="G2225" t="s">
        <v>45</v>
      </c>
      <c r="H2225">
        <v>2</v>
      </c>
      <c r="I2225">
        <v>1</v>
      </c>
      <c r="J2225" t="s">
        <v>34</v>
      </c>
      <c r="K2225">
        <v>308</v>
      </c>
      <c r="L2225">
        <v>288</v>
      </c>
      <c r="M2225">
        <v>278</v>
      </c>
      <c r="N2225">
        <v>308</v>
      </c>
      <c r="O2225">
        <v>3</v>
      </c>
      <c r="P2225">
        <v>285</v>
      </c>
      <c r="Q2225">
        <v>293</v>
      </c>
      <c r="R2225">
        <v>284</v>
      </c>
      <c r="S2225">
        <v>268</v>
      </c>
      <c r="T2225" t="s">
        <v>31</v>
      </c>
      <c r="U2225" t="s">
        <v>31</v>
      </c>
      <c r="V2225" t="s">
        <v>31</v>
      </c>
      <c r="W2225" t="s">
        <v>31</v>
      </c>
      <c r="X2225" t="s">
        <v>31</v>
      </c>
      <c r="Y2225" t="s">
        <v>31</v>
      </c>
    </row>
    <row r="2226" spans="1:25" hidden="1">
      <c r="A2226" t="s">
        <v>25</v>
      </c>
      <c r="B2226" t="s">
        <v>26</v>
      </c>
      <c r="C2226" t="s">
        <v>60</v>
      </c>
      <c r="D2226" s="1">
        <v>45406</v>
      </c>
      <c r="E2226" s="2">
        <v>0.72916666666666663</v>
      </c>
      <c r="F2226" t="s">
        <v>56</v>
      </c>
      <c r="G2226" t="s">
        <v>29</v>
      </c>
      <c r="H2226">
        <v>4</v>
      </c>
      <c r="I2226">
        <v>3</v>
      </c>
      <c r="J2226" t="s">
        <v>34</v>
      </c>
      <c r="K2226">
        <v>967</v>
      </c>
      <c r="L2226">
        <v>556</v>
      </c>
      <c r="M2226">
        <v>132</v>
      </c>
      <c r="N2226">
        <v>967</v>
      </c>
      <c r="O2226">
        <v>556</v>
      </c>
      <c r="P2226">
        <v>139</v>
      </c>
      <c r="Q2226">
        <v>823</v>
      </c>
      <c r="R2226">
        <v>512</v>
      </c>
      <c r="S2226">
        <v>134</v>
      </c>
      <c r="T2226" t="s">
        <v>31</v>
      </c>
      <c r="U2226" t="s">
        <v>31</v>
      </c>
      <c r="V2226" t="s">
        <v>31</v>
      </c>
      <c r="W2226" t="s">
        <v>31</v>
      </c>
      <c r="X2226" t="s">
        <v>31</v>
      </c>
      <c r="Y2226" t="s">
        <v>31</v>
      </c>
    </row>
    <row r="2227" spans="1:25" hidden="1">
      <c r="A2227" t="s">
        <v>25</v>
      </c>
      <c r="B2227" t="s">
        <v>26</v>
      </c>
      <c r="C2227" t="s">
        <v>60</v>
      </c>
      <c r="D2227" s="1">
        <v>45406</v>
      </c>
      <c r="E2227" s="2">
        <v>0.72916666666666663</v>
      </c>
      <c r="F2227" t="s">
        <v>52</v>
      </c>
      <c r="G2227" t="s">
        <v>50</v>
      </c>
      <c r="H2227">
        <v>1</v>
      </c>
      <c r="I2227">
        <v>2</v>
      </c>
      <c r="J2227" t="s">
        <v>30</v>
      </c>
      <c r="K2227">
        <v>353</v>
      </c>
      <c r="L2227">
        <v>342</v>
      </c>
      <c r="M2227">
        <v>218</v>
      </c>
      <c r="N2227">
        <v>356</v>
      </c>
      <c r="O2227">
        <v>36</v>
      </c>
      <c r="P2227">
        <v>237</v>
      </c>
      <c r="Q2227">
        <v>324</v>
      </c>
      <c r="R2227">
        <v>333</v>
      </c>
      <c r="S2227">
        <v>219</v>
      </c>
      <c r="T2227" t="s">
        <v>31</v>
      </c>
      <c r="U2227" t="s">
        <v>31</v>
      </c>
      <c r="V2227" t="s">
        <v>31</v>
      </c>
      <c r="W2227" t="s">
        <v>31</v>
      </c>
      <c r="X2227" t="s">
        <v>31</v>
      </c>
      <c r="Y2227" t="s">
        <v>31</v>
      </c>
    </row>
    <row r="2228" spans="1:25" hidden="1">
      <c r="A2228" t="s">
        <v>25</v>
      </c>
      <c r="B2228" t="s">
        <v>26</v>
      </c>
      <c r="C2228" t="s">
        <v>60</v>
      </c>
      <c r="D2228" s="1">
        <v>45406</v>
      </c>
      <c r="E2228" s="2">
        <v>0.8125</v>
      </c>
      <c r="F2228" t="s">
        <v>35</v>
      </c>
      <c r="G2228" t="s">
        <v>28</v>
      </c>
      <c r="H2228">
        <v>1</v>
      </c>
      <c r="I2228">
        <v>3</v>
      </c>
      <c r="J2228" t="s">
        <v>30</v>
      </c>
      <c r="K2228">
        <v>388</v>
      </c>
      <c r="L2228">
        <v>34</v>
      </c>
      <c r="M2228">
        <v>207</v>
      </c>
      <c r="N2228">
        <v>388</v>
      </c>
      <c r="O2228">
        <v>345</v>
      </c>
      <c r="P2228">
        <v>249</v>
      </c>
      <c r="Q2228">
        <v>347</v>
      </c>
      <c r="R2228">
        <v>333</v>
      </c>
      <c r="S2228">
        <v>212</v>
      </c>
      <c r="T2228" t="s">
        <v>31</v>
      </c>
      <c r="U2228" t="s">
        <v>31</v>
      </c>
      <c r="V2228" t="s">
        <v>31</v>
      </c>
      <c r="W2228" t="s">
        <v>31</v>
      </c>
      <c r="X2228" t="s">
        <v>31</v>
      </c>
      <c r="Y2228" t="s">
        <v>31</v>
      </c>
    </row>
    <row r="2229" spans="1:25" hidden="1">
      <c r="A2229" t="s">
        <v>25</v>
      </c>
      <c r="B2229" t="s">
        <v>26</v>
      </c>
      <c r="C2229" t="s">
        <v>60</v>
      </c>
      <c r="D2229" s="1">
        <v>45408</v>
      </c>
      <c r="E2229" s="2">
        <v>0.77083333333333337</v>
      </c>
      <c r="F2229" t="s">
        <v>40</v>
      </c>
      <c r="G2229" t="s">
        <v>45</v>
      </c>
      <c r="H2229">
        <v>2</v>
      </c>
      <c r="I2229">
        <v>2</v>
      </c>
      <c r="J2229" t="s">
        <v>41</v>
      </c>
      <c r="K2229">
        <v>175</v>
      </c>
      <c r="L2229">
        <v>371</v>
      </c>
      <c r="M2229">
        <v>51</v>
      </c>
      <c r="N2229">
        <v>19</v>
      </c>
      <c r="O2229">
        <v>372</v>
      </c>
      <c r="P2229">
        <v>526</v>
      </c>
      <c r="Q2229">
        <v>175</v>
      </c>
      <c r="R2229">
        <v>353</v>
      </c>
      <c r="S2229">
        <v>469</v>
      </c>
      <c r="T2229" t="s">
        <v>31</v>
      </c>
      <c r="U2229" t="s">
        <v>31</v>
      </c>
      <c r="V2229" t="s">
        <v>31</v>
      </c>
      <c r="W2229" t="s">
        <v>31</v>
      </c>
      <c r="X2229" t="s">
        <v>31</v>
      </c>
      <c r="Y2229" t="s">
        <v>31</v>
      </c>
    </row>
    <row r="2230" spans="1:25" hidden="1">
      <c r="A2230" t="s">
        <v>25</v>
      </c>
      <c r="B2230" t="s">
        <v>26</v>
      </c>
      <c r="C2230" t="s">
        <v>60</v>
      </c>
      <c r="D2230" s="1">
        <v>45409</v>
      </c>
      <c r="E2230" s="2">
        <v>0.66666666666666663</v>
      </c>
      <c r="F2230" t="s">
        <v>54</v>
      </c>
      <c r="G2230" t="s">
        <v>59</v>
      </c>
      <c r="H2230">
        <v>0</v>
      </c>
      <c r="I2230">
        <v>0</v>
      </c>
      <c r="J2230" t="s">
        <v>41</v>
      </c>
      <c r="K2230">
        <v>169</v>
      </c>
      <c r="L2230">
        <v>381</v>
      </c>
      <c r="M2230">
        <v>547</v>
      </c>
      <c r="N2230">
        <v>178</v>
      </c>
      <c r="O2230">
        <v>383</v>
      </c>
      <c r="P2230">
        <v>556</v>
      </c>
      <c r="Q2230">
        <v>168</v>
      </c>
      <c r="R2230">
        <v>367</v>
      </c>
      <c r="S2230">
        <v>499</v>
      </c>
      <c r="T2230" t="s">
        <v>31</v>
      </c>
      <c r="U2230" t="s">
        <v>31</v>
      </c>
      <c r="V2230" t="s">
        <v>31</v>
      </c>
      <c r="W2230" t="s">
        <v>31</v>
      </c>
      <c r="X2230" t="s">
        <v>31</v>
      </c>
      <c r="Y2230" t="s">
        <v>31</v>
      </c>
    </row>
    <row r="2231" spans="1:25" hidden="1">
      <c r="A2231" t="s">
        <v>25</v>
      </c>
      <c r="B2231" t="s">
        <v>26</v>
      </c>
      <c r="C2231" t="s">
        <v>60</v>
      </c>
      <c r="D2231" s="1">
        <v>45409</v>
      </c>
      <c r="E2231" s="2">
        <v>0.66666666666666663</v>
      </c>
      <c r="F2231" t="s">
        <v>39</v>
      </c>
      <c r="G2231" t="s">
        <v>61</v>
      </c>
      <c r="H2231">
        <v>0</v>
      </c>
      <c r="I2231">
        <v>2</v>
      </c>
      <c r="J2231" t="s">
        <v>30</v>
      </c>
      <c r="K2231">
        <v>25</v>
      </c>
      <c r="L2231">
        <v>313</v>
      </c>
      <c r="M2231">
        <v>32</v>
      </c>
      <c r="N2231">
        <v>25</v>
      </c>
      <c r="O2231">
        <v>335</v>
      </c>
      <c r="P2231">
        <v>325</v>
      </c>
      <c r="Q2231">
        <v>238</v>
      </c>
      <c r="R2231">
        <v>31</v>
      </c>
      <c r="S2231">
        <v>305</v>
      </c>
      <c r="T2231" t="s">
        <v>31</v>
      </c>
      <c r="U2231" t="s">
        <v>31</v>
      </c>
      <c r="V2231" t="s">
        <v>31</v>
      </c>
      <c r="W2231" t="s">
        <v>31</v>
      </c>
      <c r="X2231" t="s">
        <v>31</v>
      </c>
      <c r="Y2231" t="s">
        <v>31</v>
      </c>
    </row>
    <row r="2232" spans="1:25" hidden="1">
      <c r="A2232" t="s">
        <v>25</v>
      </c>
      <c r="B2232" t="s">
        <v>26</v>
      </c>
      <c r="C2232" t="s">
        <v>60</v>
      </c>
      <c r="D2232" s="1">
        <v>45410</v>
      </c>
      <c r="E2232" s="2">
        <v>0.5625</v>
      </c>
      <c r="F2232" t="s">
        <v>52</v>
      </c>
      <c r="G2232" t="s">
        <v>56</v>
      </c>
      <c r="H2232">
        <v>3</v>
      </c>
      <c r="I2232">
        <v>2</v>
      </c>
      <c r="J2232" t="s">
        <v>34</v>
      </c>
      <c r="K2232">
        <v>211</v>
      </c>
      <c r="L2232">
        <v>358</v>
      </c>
      <c r="M2232">
        <v>356</v>
      </c>
      <c r="N2232">
        <v>216</v>
      </c>
      <c r="O2232">
        <v>36</v>
      </c>
      <c r="P2232">
        <v>356</v>
      </c>
      <c r="Q2232">
        <v>208</v>
      </c>
      <c r="R2232">
        <v>347</v>
      </c>
      <c r="S2232">
        <v>333</v>
      </c>
      <c r="T2232" t="s">
        <v>31</v>
      </c>
      <c r="U2232" t="s">
        <v>31</v>
      </c>
      <c r="V2232" t="s">
        <v>31</v>
      </c>
      <c r="W2232" t="s">
        <v>31</v>
      </c>
      <c r="X2232" t="s">
        <v>31</v>
      </c>
      <c r="Y2232" t="s">
        <v>31</v>
      </c>
    </row>
    <row r="2233" spans="1:25" hidden="1">
      <c r="A2233" t="s">
        <v>25</v>
      </c>
      <c r="B2233" t="s">
        <v>26</v>
      </c>
      <c r="C2233" t="s">
        <v>60</v>
      </c>
      <c r="D2233" s="1">
        <v>45410</v>
      </c>
      <c r="E2233" s="2">
        <v>0.5625</v>
      </c>
      <c r="F2233" t="s">
        <v>50</v>
      </c>
      <c r="G2233" t="s">
        <v>35</v>
      </c>
      <c r="H2233">
        <v>5</v>
      </c>
      <c r="I2233">
        <v>0</v>
      </c>
      <c r="J2233" t="s">
        <v>34</v>
      </c>
      <c r="K2233">
        <v>216</v>
      </c>
      <c r="L2233">
        <v>344</v>
      </c>
      <c r="M2233">
        <v>356</v>
      </c>
      <c r="N2233">
        <v>225</v>
      </c>
      <c r="O2233">
        <v>354</v>
      </c>
      <c r="P2233">
        <v>358</v>
      </c>
      <c r="Q2233">
        <v>21</v>
      </c>
      <c r="R2233">
        <v>338</v>
      </c>
      <c r="S2233">
        <v>338</v>
      </c>
      <c r="T2233" t="s">
        <v>31</v>
      </c>
      <c r="U2233" t="s">
        <v>31</v>
      </c>
      <c r="V2233" t="s">
        <v>31</v>
      </c>
      <c r="W2233" t="s">
        <v>31</v>
      </c>
      <c r="X2233" t="s">
        <v>31</v>
      </c>
      <c r="Y2233" t="s">
        <v>31</v>
      </c>
    </row>
    <row r="2234" spans="1:25" hidden="1">
      <c r="A2234" t="s">
        <v>25</v>
      </c>
      <c r="B2234" t="s">
        <v>26</v>
      </c>
      <c r="C2234" t="s">
        <v>60</v>
      </c>
      <c r="D2234" s="1">
        <v>45410</v>
      </c>
      <c r="E2234" s="2">
        <v>0.66666666666666663</v>
      </c>
      <c r="F2234" t="s">
        <v>29</v>
      </c>
      <c r="G2234" t="s">
        <v>28</v>
      </c>
      <c r="H2234">
        <v>2</v>
      </c>
      <c r="I2234">
        <v>2</v>
      </c>
      <c r="J2234" t="s">
        <v>41</v>
      </c>
      <c r="K2234">
        <v>218</v>
      </c>
      <c r="L2234">
        <v>347</v>
      </c>
      <c r="M2234">
        <v>348</v>
      </c>
      <c r="N2234">
        <v>219</v>
      </c>
      <c r="O2234">
        <v>369</v>
      </c>
      <c r="P2234">
        <v>348</v>
      </c>
      <c r="Q2234">
        <v>211</v>
      </c>
      <c r="R2234">
        <v>349</v>
      </c>
      <c r="S2234">
        <v>324</v>
      </c>
      <c r="T2234" t="s">
        <v>31</v>
      </c>
      <c r="U2234" t="s">
        <v>31</v>
      </c>
      <c r="V2234" t="s">
        <v>31</v>
      </c>
      <c r="W2234" t="s">
        <v>31</v>
      </c>
      <c r="X2234" t="s">
        <v>31</v>
      </c>
      <c r="Y2234" t="s">
        <v>31</v>
      </c>
    </row>
    <row r="2235" spans="1:25" hidden="1">
      <c r="A2235" t="s">
        <v>25</v>
      </c>
      <c r="B2235" t="s">
        <v>26</v>
      </c>
      <c r="C2235" t="s">
        <v>60</v>
      </c>
      <c r="D2235" s="1">
        <v>45415</v>
      </c>
      <c r="E2235" s="2">
        <v>0.77083333333333337</v>
      </c>
      <c r="F2235" t="s">
        <v>59</v>
      </c>
      <c r="G2235" t="s">
        <v>40</v>
      </c>
      <c r="H2235">
        <v>2</v>
      </c>
      <c r="I2235">
        <v>0</v>
      </c>
      <c r="J2235" t="s">
        <v>34</v>
      </c>
      <c r="K2235">
        <v>522</v>
      </c>
      <c r="L2235">
        <v>388</v>
      </c>
      <c r="M2235">
        <v>17</v>
      </c>
      <c r="N2235">
        <v>525</v>
      </c>
      <c r="O2235">
        <v>401</v>
      </c>
      <c r="P2235">
        <v>181</v>
      </c>
      <c r="Q2235">
        <v>485</v>
      </c>
      <c r="R2235">
        <v>379</v>
      </c>
      <c r="S2235">
        <v>169</v>
      </c>
      <c r="T2235" t="s">
        <v>31</v>
      </c>
      <c r="U2235" t="s">
        <v>31</v>
      </c>
      <c r="V2235" t="s">
        <v>31</v>
      </c>
      <c r="W2235" t="s">
        <v>31</v>
      </c>
      <c r="X2235" t="s">
        <v>31</v>
      </c>
      <c r="Y2235" t="s">
        <v>31</v>
      </c>
    </row>
    <row r="2236" spans="1:25" hidden="1">
      <c r="A2236" t="s">
        <v>25</v>
      </c>
      <c r="B2236" t="s">
        <v>26</v>
      </c>
      <c r="C2236" t="s">
        <v>60</v>
      </c>
      <c r="D2236" s="1">
        <v>45416</v>
      </c>
      <c r="E2236" s="2">
        <v>0.66666666666666663</v>
      </c>
      <c r="F2236" t="s">
        <v>45</v>
      </c>
      <c r="G2236" t="s">
        <v>39</v>
      </c>
      <c r="H2236">
        <v>0</v>
      </c>
      <c r="I2236">
        <v>1</v>
      </c>
      <c r="J2236" t="s">
        <v>30</v>
      </c>
      <c r="K2236">
        <v>21</v>
      </c>
      <c r="L2236">
        <v>32</v>
      </c>
      <c r="M2236">
        <v>407</v>
      </c>
      <c r="N2236">
        <v>225</v>
      </c>
      <c r="O2236">
        <v>329</v>
      </c>
      <c r="P2236">
        <v>41</v>
      </c>
      <c r="Q2236">
        <v>209</v>
      </c>
      <c r="R2236">
        <v>314</v>
      </c>
      <c r="S2236">
        <v>37</v>
      </c>
      <c r="T2236" t="s">
        <v>31</v>
      </c>
      <c r="U2236" t="s">
        <v>31</v>
      </c>
      <c r="V2236" t="s">
        <v>31</v>
      </c>
      <c r="W2236" t="s">
        <v>31</v>
      </c>
      <c r="X2236" t="s">
        <v>31</v>
      </c>
      <c r="Y2236" t="s">
        <v>31</v>
      </c>
    </row>
    <row r="2237" spans="1:25" hidden="1">
      <c r="A2237" t="s">
        <v>25</v>
      </c>
      <c r="B2237" t="s">
        <v>26</v>
      </c>
      <c r="C2237" t="s">
        <v>60</v>
      </c>
      <c r="D2237" s="1">
        <v>45416</v>
      </c>
      <c r="E2237" s="2">
        <v>0.66666666666666663</v>
      </c>
      <c r="F2237" t="s">
        <v>61</v>
      </c>
      <c r="G2237" t="s">
        <v>54</v>
      </c>
      <c r="H2237">
        <v>3</v>
      </c>
      <c r="I2237">
        <v>2</v>
      </c>
      <c r="J2237" t="s">
        <v>34</v>
      </c>
      <c r="K2237">
        <v>215</v>
      </c>
      <c r="L2237">
        <v>32</v>
      </c>
      <c r="M2237">
        <v>39</v>
      </c>
      <c r="N2237">
        <v>22</v>
      </c>
      <c r="O2237">
        <v>325</v>
      </c>
      <c r="P2237">
        <v>39</v>
      </c>
      <c r="Q2237">
        <v>212</v>
      </c>
      <c r="R2237">
        <v>315</v>
      </c>
      <c r="S2237">
        <v>359</v>
      </c>
      <c r="T2237" t="s">
        <v>31</v>
      </c>
      <c r="U2237" t="s">
        <v>31</v>
      </c>
      <c r="V2237" t="s">
        <v>31</v>
      </c>
      <c r="W2237" t="s">
        <v>31</v>
      </c>
      <c r="X2237" t="s">
        <v>31</v>
      </c>
      <c r="Y2237" t="s">
        <v>31</v>
      </c>
    </row>
    <row r="2238" spans="1:25" hidden="1">
      <c r="A2238" t="s">
        <v>25</v>
      </c>
      <c r="B2238" t="s">
        <v>26</v>
      </c>
      <c r="C2238" t="s">
        <v>60</v>
      </c>
      <c r="D2238" s="1">
        <v>45417</v>
      </c>
      <c r="E2238" s="2">
        <v>0.5625</v>
      </c>
      <c r="F2238" t="s">
        <v>56</v>
      </c>
      <c r="G2238" t="s">
        <v>50</v>
      </c>
      <c r="H2238">
        <v>0</v>
      </c>
      <c r="I2238">
        <v>2</v>
      </c>
      <c r="J2238" t="s">
        <v>30</v>
      </c>
      <c r="K2238">
        <v>439</v>
      </c>
      <c r="L2238">
        <v>396</v>
      </c>
      <c r="M2238">
        <v>18</v>
      </c>
      <c r="N2238">
        <v>457</v>
      </c>
      <c r="O2238">
        <v>413</v>
      </c>
      <c r="P2238">
        <v>187</v>
      </c>
      <c r="Q2238">
        <v>411</v>
      </c>
      <c r="R2238">
        <v>381</v>
      </c>
      <c r="S2238">
        <v>178</v>
      </c>
      <c r="T2238" t="s">
        <v>31</v>
      </c>
      <c r="U2238" t="s">
        <v>31</v>
      </c>
      <c r="V2238" t="s">
        <v>31</v>
      </c>
      <c r="W2238" t="s">
        <v>31</v>
      </c>
      <c r="X2238" t="s">
        <v>31</v>
      </c>
      <c r="Y2238" t="s">
        <v>31</v>
      </c>
    </row>
    <row r="2239" spans="1:25" hidden="1">
      <c r="A2239" t="s">
        <v>25</v>
      </c>
      <c r="B2239" t="s">
        <v>26</v>
      </c>
      <c r="C2239" t="s">
        <v>60</v>
      </c>
      <c r="D2239" s="1">
        <v>45417</v>
      </c>
      <c r="E2239" s="2">
        <v>0.5625</v>
      </c>
      <c r="F2239" t="s">
        <v>28</v>
      </c>
      <c r="G2239" t="s">
        <v>52</v>
      </c>
      <c r="H2239">
        <v>1</v>
      </c>
      <c r="I2239">
        <v>1</v>
      </c>
      <c r="J2239" t="s">
        <v>41</v>
      </c>
      <c r="K2239">
        <v>147</v>
      </c>
      <c r="L2239">
        <v>453</v>
      </c>
      <c r="M2239">
        <v>668</v>
      </c>
      <c r="N2239">
        <v>151</v>
      </c>
      <c r="O2239">
        <v>475</v>
      </c>
      <c r="P2239">
        <v>734</v>
      </c>
      <c r="Q2239">
        <v>145</v>
      </c>
      <c r="R2239">
        <v>446</v>
      </c>
      <c r="S2239">
        <v>638</v>
      </c>
      <c r="T2239" t="s">
        <v>31</v>
      </c>
      <c r="U2239" t="s">
        <v>31</v>
      </c>
      <c r="V2239" t="s">
        <v>31</v>
      </c>
      <c r="W2239" t="s">
        <v>31</v>
      </c>
      <c r="X2239" t="s">
        <v>31</v>
      </c>
      <c r="Y2239" t="s">
        <v>31</v>
      </c>
    </row>
    <row r="2240" spans="1:25" hidden="1">
      <c r="A2240" t="s">
        <v>25</v>
      </c>
      <c r="B2240" t="s">
        <v>26</v>
      </c>
      <c r="C2240" t="s">
        <v>60</v>
      </c>
      <c r="D2240" s="1">
        <v>45417</v>
      </c>
      <c r="E2240" s="2">
        <v>0.66666666666666663</v>
      </c>
      <c r="F2240" t="s">
        <v>35</v>
      </c>
      <c r="G2240" t="s">
        <v>29</v>
      </c>
      <c r="H2240">
        <v>2</v>
      </c>
      <c r="I2240">
        <v>0</v>
      </c>
      <c r="J2240" t="s">
        <v>34</v>
      </c>
      <c r="K2240">
        <v>411</v>
      </c>
      <c r="L2240">
        <v>435</v>
      </c>
      <c r="M2240">
        <v>178</v>
      </c>
      <c r="N2240">
        <v>459</v>
      </c>
      <c r="O2240">
        <v>435</v>
      </c>
      <c r="P2240">
        <v>18</v>
      </c>
      <c r="Q2240">
        <v>402</v>
      </c>
      <c r="R2240">
        <v>402</v>
      </c>
      <c r="S2240">
        <v>175</v>
      </c>
      <c r="T2240" t="s">
        <v>31</v>
      </c>
      <c r="U2240" t="s">
        <v>31</v>
      </c>
      <c r="V2240" t="s">
        <v>31</v>
      </c>
      <c r="W2240" t="s">
        <v>31</v>
      </c>
      <c r="X2240" t="s">
        <v>31</v>
      </c>
      <c r="Y2240" t="s">
        <v>31</v>
      </c>
    </row>
    <row r="2241" spans="1:25" hidden="1">
      <c r="A2241" t="s">
        <v>25</v>
      </c>
      <c r="B2241" t="s">
        <v>26</v>
      </c>
      <c r="C2241" t="s">
        <v>60</v>
      </c>
      <c r="D2241" s="1">
        <v>45423</v>
      </c>
      <c r="E2241" s="2">
        <v>0.66666666666666663</v>
      </c>
      <c r="F2241" t="s">
        <v>59</v>
      </c>
      <c r="G2241" t="s">
        <v>61</v>
      </c>
      <c r="H2241">
        <v>1</v>
      </c>
      <c r="I2241">
        <v>0</v>
      </c>
      <c r="J2241" t="s">
        <v>34</v>
      </c>
      <c r="K2241">
        <v>324</v>
      </c>
      <c r="L2241">
        <v>341</v>
      </c>
      <c r="M2241">
        <v>232</v>
      </c>
      <c r="N2241">
        <v>345</v>
      </c>
      <c r="O2241">
        <v>345</v>
      </c>
      <c r="P2241">
        <v>237</v>
      </c>
      <c r="Q2241">
        <v>315</v>
      </c>
      <c r="R2241">
        <v>328</v>
      </c>
      <c r="S2241">
        <v>226</v>
      </c>
      <c r="T2241" t="s">
        <v>31</v>
      </c>
      <c r="U2241" t="s">
        <v>31</v>
      </c>
      <c r="V2241" t="s">
        <v>31</v>
      </c>
      <c r="W2241" t="s">
        <v>31</v>
      </c>
      <c r="X2241" t="s">
        <v>31</v>
      </c>
      <c r="Y2241" t="s">
        <v>31</v>
      </c>
    </row>
    <row r="2242" spans="1:25" hidden="1">
      <c r="A2242" t="s">
        <v>25</v>
      </c>
      <c r="B2242" t="s">
        <v>26</v>
      </c>
      <c r="C2242" t="s">
        <v>60</v>
      </c>
      <c r="D2242" s="1">
        <v>45423</v>
      </c>
      <c r="E2242" s="2">
        <v>0.66666666666666663</v>
      </c>
      <c r="F2242" t="s">
        <v>40</v>
      </c>
      <c r="G2242" t="s">
        <v>39</v>
      </c>
      <c r="H2242">
        <v>0</v>
      </c>
      <c r="I2242">
        <v>4</v>
      </c>
      <c r="J2242" t="s">
        <v>30</v>
      </c>
      <c r="K2242">
        <v>17</v>
      </c>
      <c r="L2242">
        <v>39</v>
      </c>
      <c r="M2242">
        <v>518</v>
      </c>
      <c r="N2242">
        <v>181</v>
      </c>
      <c r="O2242">
        <v>4</v>
      </c>
      <c r="P2242">
        <v>518</v>
      </c>
      <c r="Q2242">
        <v>17</v>
      </c>
      <c r="R2242">
        <v>382</v>
      </c>
      <c r="S2242">
        <v>47</v>
      </c>
      <c r="T2242" t="s">
        <v>31</v>
      </c>
      <c r="U2242" t="s">
        <v>31</v>
      </c>
      <c r="V2242" t="s">
        <v>31</v>
      </c>
      <c r="W2242" t="s">
        <v>31</v>
      </c>
      <c r="X2242" t="s">
        <v>31</v>
      </c>
      <c r="Y2242" t="s">
        <v>31</v>
      </c>
    </row>
    <row r="2243" spans="1:25" hidden="1">
      <c r="A2243" t="s">
        <v>25</v>
      </c>
      <c r="B2243" t="s">
        <v>26</v>
      </c>
      <c r="C2243" t="s">
        <v>60</v>
      </c>
      <c r="D2243" s="1">
        <v>45423</v>
      </c>
      <c r="E2243" s="2">
        <v>0.66666666666666663</v>
      </c>
      <c r="F2243" t="s">
        <v>54</v>
      </c>
      <c r="G2243" t="s">
        <v>45</v>
      </c>
      <c r="H2243">
        <v>0</v>
      </c>
      <c r="I2243">
        <v>1</v>
      </c>
      <c r="J2243" t="s">
        <v>30</v>
      </c>
      <c r="K2243">
        <v>334</v>
      </c>
      <c r="L2243">
        <v>297</v>
      </c>
      <c r="M2243">
        <v>252</v>
      </c>
      <c r="N2243">
        <v>334</v>
      </c>
      <c r="O2243">
        <v>32</v>
      </c>
      <c r="P2243">
        <v>263</v>
      </c>
      <c r="Q2243">
        <v>311</v>
      </c>
      <c r="R2243">
        <v>3</v>
      </c>
      <c r="S2243">
        <v>244</v>
      </c>
      <c r="T2243" t="s">
        <v>31</v>
      </c>
      <c r="U2243" t="s">
        <v>31</v>
      </c>
      <c r="V2243" t="s">
        <v>31</v>
      </c>
      <c r="W2243" t="s">
        <v>31</v>
      </c>
      <c r="X2243" t="s">
        <v>31</v>
      </c>
      <c r="Y2243" t="s">
        <v>31</v>
      </c>
    </row>
    <row r="2244" spans="1:25" hidden="1">
      <c r="A2244" t="s">
        <v>25</v>
      </c>
      <c r="B2244" t="s">
        <v>26</v>
      </c>
      <c r="C2244" t="s">
        <v>60</v>
      </c>
      <c r="D2244" s="1">
        <v>45424</v>
      </c>
      <c r="E2244" s="2">
        <v>0.66666666666666663</v>
      </c>
      <c r="F2244" t="s">
        <v>56</v>
      </c>
      <c r="G2244" t="s">
        <v>35</v>
      </c>
      <c r="H2244">
        <v>0</v>
      </c>
      <c r="I2244">
        <v>1</v>
      </c>
      <c r="J2244" t="s">
        <v>30</v>
      </c>
      <c r="K2244">
        <v>451</v>
      </c>
      <c r="L2244">
        <v>413</v>
      </c>
      <c r="M2244">
        <v>175</v>
      </c>
      <c r="N2244">
        <v>451</v>
      </c>
      <c r="O2244">
        <v>413</v>
      </c>
      <c r="P2244">
        <v>204</v>
      </c>
      <c r="Q2244">
        <v>416</v>
      </c>
      <c r="R2244">
        <v>395</v>
      </c>
      <c r="S2244">
        <v>175</v>
      </c>
      <c r="T2244" t="s">
        <v>31</v>
      </c>
      <c r="U2244" t="s">
        <v>31</v>
      </c>
      <c r="V2244" t="s">
        <v>31</v>
      </c>
      <c r="W2244" t="s">
        <v>31</v>
      </c>
      <c r="X2244" t="s">
        <v>31</v>
      </c>
      <c r="Y2244" t="s">
        <v>31</v>
      </c>
    </row>
    <row r="2245" spans="1:25" hidden="1">
      <c r="A2245" t="s">
        <v>25</v>
      </c>
      <c r="B2245" t="s">
        <v>26</v>
      </c>
      <c r="C2245" t="s">
        <v>60</v>
      </c>
      <c r="D2245" s="1">
        <v>45424</v>
      </c>
      <c r="E2245" s="2">
        <v>0.66666666666666663</v>
      </c>
      <c r="F2245" t="s">
        <v>52</v>
      </c>
      <c r="G2245" t="s">
        <v>29</v>
      </c>
      <c r="H2245">
        <v>1</v>
      </c>
      <c r="I2245">
        <v>5</v>
      </c>
      <c r="J2245" t="s">
        <v>30</v>
      </c>
      <c r="K2245">
        <v>547</v>
      </c>
      <c r="L2245">
        <v>462</v>
      </c>
      <c r="M2245">
        <v>156</v>
      </c>
      <c r="N2245">
        <v>6</v>
      </c>
      <c r="O2245">
        <v>49</v>
      </c>
      <c r="P2245">
        <v>158</v>
      </c>
      <c r="Q2245">
        <v>533</v>
      </c>
      <c r="R2245">
        <v>459</v>
      </c>
      <c r="S2245">
        <v>151</v>
      </c>
      <c r="T2245" t="s">
        <v>31</v>
      </c>
      <c r="U2245" t="s">
        <v>31</v>
      </c>
      <c r="V2245" t="s">
        <v>31</v>
      </c>
      <c r="W2245" t="s">
        <v>31</v>
      </c>
      <c r="X2245" t="s">
        <v>31</v>
      </c>
      <c r="Y2245" t="s">
        <v>31</v>
      </c>
    </row>
    <row r="2246" spans="1:25" hidden="1">
      <c r="A2246" t="s">
        <v>25</v>
      </c>
      <c r="B2246" t="s">
        <v>26</v>
      </c>
      <c r="C2246" t="s">
        <v>60</v>
      </c>
      <c r="D2246" s="1">
        <v>45424</v>
      </c>
      <c r="E2246" s="2">
        <v>0.66666666666666663</v>
      </c>
      <c r="F2246" t="s">
        <v>50</v>
      </c>
      <c r="G2246" t="s">
        <v>28</v>
      </c>
      <c r="H2246">
        <v>2</v>
      </c>
      <c r="I2246">
        <v>2</v>
      </c>
      <c r="J2246" t="s">
        <v>41</v>
      </c>
      <c r="K2246">
        <v>28</v>
      </c>
      <c r="L2246">
        <v>337</v>
      </c>
      <c r="M2246">
        <v>264</v>
      </c>
      <c r="N2246">
        <v>28</v>
      </c>
      <c r="O2246">
        <v>35</v>
      </c>
      <c r="P2246">
        <v>268</v>
      </c>
      <c r="Q2246">
        <v>268</v>
      </c>
      <c r="R2246">
        <v>333</v>
      </c>
      <c r="S2246">
        <v>255</v>
      </c>
      <c r="T2246" t="s">
        <v>31</v>
      </c>
      <c r="U2246" t="s">
        <v>31</v>
      </c>
      <c r="V2246" t="s">
        <v>31</v>
      </c>
      <c r="W2246" t="s">
        <v>31</v>
      </c>
      <c r="X2246" t="s">
        <v>31</v>
      </c>
      <c r="Y2246" t="s">
        <v>31</v>
      </c>
    </row>
    <row r="2247" spans="1:25" hidden="1">
      <c r="A2247" t="s">
        <v>25</v>
      </c>
      <c r="B2247" t="s">
        <v>26</v>
      </c>
      <c r="C2247" t="s">
        <v>60</v>
      </c>
      <c r="D2247" s="1">
        <v>45430</v>
      </c>
      <c r="E2247" s="2">
        <v>0.66666666666666663</v>
      </c>
      <c r="F2247" t="s">
        <v>45</v>
      </c>
      <c r="G2247" t="s">
        <v>59</v>
      </c>
      <c r="H2247">
        <v>2</v>
      </c>
      <c r="I2247">
        <v>2</v>
      </c>
      <c r="J2247" t="s">
        <v>41</v>
      </c>
      <c r="K2247">
        <v>16</v>
      </c>
      <c r="L2247">
        <v>406</v>
      </c>
      <c r="M2247">
        <v>54</v>
      </c>
      <c r="N2247">
        <v>169</v>
      </c>
      <c r="O2247">
        <v>433</v>
      </c>
      <c r="P2247">
        <v>59</v>
      </c>
      <c r="Q2247">
        <v>162</v>
      </c>
      <c r="R2247">
        <v>395</v>
      </c>
      <c r="S2247">
        <v>513</v>
      </c>
      <c r="T2247" t="s">
        <v>31</v>
      </c>
      <c r="U2247" t="s">
        <v>31</v>
      </c>
      <c r="V2247" t="s">
        <v>31</v>
      </c>
      <c r="W2247" t="s">
        <v>31</v>
      </c>
      <c r="X2247" t="s">
        <v>31</v>
      </c>
      <c r="Y2247" t="s">
        <v>31</v>
      </c>
    </row>
    <row r="2248" spans="1:25" hidden="1">
      <c r="A2248" t="s">
        <v>25</v>
      </c>
      <c r="B2248" t="s">
        <v>26</v>
      </c>
      <c r="C2248" t="s">
        <v>60</v>
      </c>
      <c r="D2248" s="1">
        <v>45430</v>
      </c>
      <c r="E2248" s="2">
        <v>0.66666666666666663</v>
      </c>
      <c r="F2248" t="s">
        <v>61</v>
      </c>
      <c r="G2248" t="s">
        <v>40</v>
      </c>
      <c r="H2248">
        <v>1</v>
      </c>
      <c r="I2248">
        <v>2</v>
      </c>
      <c r="J2248" t="s">
        <v>30</v>
      </c>
      <c r="K2248">
        <v>353</v>
      </c>
      <c r="L2248">
        <v>349</v>
      </c>
      <c r="M2248">
        <v>208</v>
      </c>
      <c r="N2248">
        <v>363</v>
      </c>
      <c r="O2248">
        <v>388</v>
      </c>
      <c r="P2248">
        <v>215</v>
      </c>
      <c r="Q2248">
        <v>331</v>
      </c>
      <c r="R2248">
        <v>355</v>
      </c>
      <c r="S2248">
        <v>207</v>
      </c>
      <c r="T2248" t="s">
        <v>31</v>
      </c>
      <c r="U2248" t="s">
        <v>31</v>
      </c>
      <c r="V2248" t="s">
        <v>31</v>
      </c>
      <c r="W2248" t="s">
        <v>31</v>
      </c>
      <c r="X2248" t="s">
        <v>31</v>
      </c>
      <c r="Y2248" t="s">
        <v>31</v>
      </c>
    </row>
    <row r="2249" spans="1:25" hidden="1">
      <c r="A2249" t="s">
        <v>25</v>
      </c>
      <c r="B2249" t="s">
        <v>26</v>
      </c>
      <c r="C2249" t="s">
        <v>60</v>
      </c>
      <c r="D2249" s="1">
        <v>45430</v>
      </c>
      <c r="E2249" s="2">
        <v>0.66666666666666663</v>
      </c>
      <c r="F2249" t="s">
        <v>39</v>
      </c>
      <c r="G2249" t="s">
        <v>54</v>
      </c>
      <c r="H2249">
        <v>3</v>
      </c>
      <c r="I2249">
        <v>1</v>
      </c>
      <c r="J2249" t="s">
        <v>34</v>
      </c>
      <c r="K2249">
        <v>211</v>
      </c>
      <c r="L2249">
        <v>345</v>
      </c>
      <c r="M2249">
        <v>35</v>
      </c>
      <c r="N2249">
        <v>213</v>
      </c>
      <c r="O2249">
        <v>365</v>
      </c>
      <c r="P2249">
        <v>365</v>
      </c>
      <c r="Q2249">
        <v>206</v>
      </c>
      <c r="R2249">
        <v>349</v>
      </c>
      <c r="S2249">
        <v>34</v>
      </c>
      <c r="T2249" t="s">
        <v>31</v>
      </c>
      <c r="U2249" t="s">
        <v>31</v>
      </c>
      <c r="V2249" t="s">
        <v>31</v>
      </c>
      <c r="W2249" t="s">
        <v>31</v>
      </c>
      <c r="X2249" t="s">
        <v>31</v>
      </c>
      <c r="Y2249" t="s">
        <v>31</v>
      </c>
    </row>
    <row r="2250" spans="1:25" hidden="1">
      <c r="A2250" t="s">
        <v>25</v>
      </c>
      <c r="B2250" t="s">
        <v>26</v>
      </c>
      <c r="C2250" t="s">
        <v>60</v>
      </c>
      <c r="D2250" s="1">
        <v>45431</v>
      </c>
      <c r="E2250" s="2">
        <v>0.66666666666666663</v>
      </c>
      <c r="F2250" t="s">
        <v>29</v>
      </c>
      <c r="G2250" t="s">
        <v>50</v>
      </c>
      <c r="H2250">
        <v>7</v>
      </c>
      <c r="I2250">
        <v>1</v>
      </c>
      <c r="J2250" t="s">
        <v>34</v>
      </c>
      <c r="K2250">
        <v>14</v>
      </c>
      <c r="L2250">
        <v>541</v>
      </c>
      <c r="M2250">
        <v>695</v>
      </c>
      <c r="N2250">
        <v>153</v>
      </c>
      <c r="O2250">
        <v>56</v>
      </c>
      <c r="P2250">
        <v>75</v>
      </c>
      <c r="Q2250">
        <v>139</v>
      </c>
      <c r="R2250">
        <v>512</v>
      </c>
      <c r="S2250">
        <v>667</v>
      </c>
      <c r="T2250" t="s">
        <v>31</v>
      </c>
      <c r="U2250" t="s">
        <v>31</v>
      </c>
      <c r="V2250" t="s">
        <v>31</v>
      </c>
      <c r="W2250" t="s">
        <v>31</v>
      </c>
      <c r="X2250" t="s">
        <v>31</v>
      </c>
      <c r="Y2250" t="s">
        <v>31</v>
      </c>
    </row>
    <row r="2251" spans="1:25" hidden="1">
      <c r="A2251" t="s">
        <v>25</v>
      </c>
      <c r="B2251" t="s">
        <v>26</v>
      </c>
      <c r="C2251" t="s">
        <v>60</v>
      </c>
      <c r="D2251" s="1">
        <v>45431</v>
      </c>
      <c r="E2251" s="2">
        <v>0.66666666666666663</v>
      </c>
      <c r="F2251" t="s">
        <v>35</v>
      </c>
      <c r="G2251" t="s">
        <v>52</v>
      </c>
      <c r="H2251">
        <v>0</v>
      </c>
      <c r="I2251">
        <v>3</v>
      </c>
      <c r="J2251" t="s">
        <v>30</v>
      </c>
      <c r="K2251">
        <v>183</v>
      </c>
      <c r="L2251">
        <v>395</v>
      </c>
      <c r="M2251">
        <v>415</v>
      </c>
      <c r="N2251">
        <v>187</v>
      </c>
      <c r="O2251">
        <v>41</v>
      </c>
      <c r="P2251">
        <v>45</v>
      </c>
      <c r="Q2251">
        <v>178</v>
      </c>
      <c r="R2251">
        <v>394</v>
      </c>
      <c r="S2251">
        <v>402</v>
      </c>
      <c r="T2251" t="s">
        <v>31</v>
      </c>
      <c r="U2251" t="s">
        <v>31</v>
      </c>
      <c r="V2251" t="s">
        <v>31</v>
      </c>
      <c r="W2251" t="s">
        <v>31</v>
      </c>
      <c r="X2251" t="s">
        <v>31</v>
      </c>
      <c r="Y2251" t="s">
        <v>31</v>
      </c>
    </row>
    <row r="2252" spans="1:25" hidden="1">
      <c r="A2252" t="s">
        <v>25</v>
      </c>
      <c r="B2252" t="s">
        <v>26</v>
      </c>
      <c r="C2252" t="s">
        <v>60</v>
      </c>
      <c r="D2252" s="1">
        <v>45431</v>
      </c>
      <c r="E2252" s="2">
        <v>0.66666666666666663</v>
      </c>
      <c r="F2252" t="s">
        <v>28</v>
      </c>
      <c r="G2252" t="s">
        <v>56</v>
      </c>
      <c r="H2252">
        <v>2</v>
      </c>
      <c r="I2252">
        <v>0</v>
      </c>
      <c r="J2252" t="s">
        <v>34</v>
      </c>
      <c r="K2252">
        <v>128</v>
      </c>
      <c r="L2252">
        <v>596</v>
      </c>
      <c r="M2252">
        <v>1014</v>
      </c>
      <c r="N2252">
        <v>136</v>
      </c>
      <c r="O2252">
        <v>65</v>
      </c>
      <c r="P2252">
        <v>1035</v>
      </c>
      <c r="Q2252">
        <v>128</v>
      </c>
      <c r="R2252">
        <v>578</v>
      </c>
      <c r="S2252">
        <v>914</v>
      </c>
      <c r="T2252" t="s">
        <v>31</v>
      </c>
      <c r="U2252" t="s">
        <v>31</v>
      </c>
      <c r="V2252" t="s">
        <v>31</v>
      </c>
      <c r="W2252" t="s">
        <v>31</v>
      </c>
      <c r="X2252" t="s">
        <v>31</v>
      </c>
      <c r="Y2252" t="s">
        <v>31</v>
      </c>
    </row>
    <row r="2253" spans="1:25" hidden="1">
      <c r="A2253" t="s">
        <v>25</v>
      </c>
      <c r="B2253" t="s">
        <v>26</v>
      </c>
      <c r="C2253" t="s">
        <v>60</v>
      </c>
      <c r="D2253" s="1">
        <v>45433</v>
      </c>
      <c r="E2253" s="2">
        <v>0.75</v>
      </c>
      <c r="F2253" t="s">
        <v>39</v>
      </c>
      <c r="G2253" t="s">
        <v>40</v>
      </c>
      <c r="H2253">
        <v>1</v>
      </c>
      <c r="I2253">
        <v>2</v>
      </c>
      <c r="J2253" t="s">
        <v>30</v>
      </c>
      <c r="K2253">
        <v>379</v>
      </c>
      <c r="L2253">
        <v>359</v>
      </c>
      <c r="M2253">
        <v>203</v>
      </c>
      <c r="N2253">
        <v>38</v>
      </c>
      <c r="O2253">
        <v>359</v>
      </c>
      <c r="P2253">
        <v>215</v>
      </c>
      <c r="Q2253">
        <v>345</v>
      </c>
      <c r="R2253">
        <v>346</v>
      </c>
      <c r="S2253">
        <v>205</v>
      </c>
      <c r="T2253" t="s">
        <v>31</v>
      </c>
      <c r="U2253" t="s">
        <v>31</v>
      </c>
      <c r="V2253" t="s">
        <v>31</v>
      </c>
      <c r="W2253" t="s">
        <v>31</v>
      </c>
      <c r="X2253" t="s">
        <v>31</v>
      </c>
      <c r="Y2253" t="s">
        <v>31</v>
      </c>
    </row>
    <row r="2254" spans="1:25" hidden="1">
      <c r="A2254" t="s">
        <v>25</v>
      </c>
      <c r="B2254" t="s">
        <v>26</v>
      </c>
      <c r="C2254" t="s">
        <v>60</v>
      </c>
      <c r="D2254" s="1">
        <v>45436</v>
      </c>
      <c r="E2254" s="2">
        <v>0.77083333333333337</v>
      </c>
      <c r="F2254" t="s">
        <v>40</v>
      </c>
      <c r="G2254" t="s">
        <v>52</v>
      </c>
      <c r="H2254">
        <v>2</v>
      </c>
      <c r="I2254">
        <v>1</v>
      </c>
      <c r="J2254" t="s">
        <v>34</v>
      </c>
      <c r="K2254">
        <v>228</v>
      </c>
      <c r="L2254">
        <v>341</v>
      </c>
      <c r="M2254">
        <v>331</v>
      </c>
      <c r="N2254">
        <v>23</v>
      </c>
      <c r="O2254">
        <v>35</v>
      </c>
      <c r="P2254">
        <v>34</v>
      </c>
      <c r="Q2254">
        <v>219</v>
      </c>
      <c r="R2254">
        <v>338</v>
      </c>
      <c r="S2254">
        <v>317</v>
      </c>
      <c r="T2254" t="s">
        <v>31</v>
      </c>
      <c r="U2254" t="s">
        <v>31</v>
      </c>
      <c r="V2254" t="s">
        <v>31</v>
      </c>
      <c r="W2254" t="s">
        <v>31</v>
      </c>
      <c r="X2254" t="s">
        <v>31</v>
      </c>
      <c r="Y2254" t="s">
        <v>31</v>
      </c>
    </row>
    <row r="2255" spans="1:25" hidden="1">
      <c r="A2255" t="s">
        <v>25</v>
      </c>
      <c r="B2255" t="s">
        <v>26</v>
      </c>
      <c r="C2255" t="s">
        <v>60</v>
      </c>
      <c r="D2255" s="1">
        <v>45440</v>
      </c>
      <c r="E2255" s="2">
        <v>0.75</v>
      </c>
      <c r="F2255" t="s">
        <v>52</v>
      </c>
      <c r="G2255" t="s">
        <v>40</v>
      </c>
      <c r="H2255">
        <v>0</v>
      </c>
      <c r="I2255">
        <v>1</v>
      </c>
      <c r="J2255" t="s">
        <v>30</v>
      </c>
      <c r="K2255">
        <v>259</v>
      </c>
      <c r="L2255">
        <v>38</v>
      </c>
      <c r="M2255">
        <v>261</v>
      </c>
      <c r="N2255">
        <v>259</v>
      </c>
      <c r="O2255">
        <v>38</v>
      </c>
      <c r="P2255">
        <v>275</v>
      </c>
      <c r="Q2255">
        <v>246</v>
      </c>
      <c r="R2255">
        <v>367</v>
      </c>
      <c r="S2255">
        <v>257</v>
      </c>
      <c r="T2255" t="s">
        <v>31</v>
      </c>
      <c r="U2255" t="s">
        <v>31</v>
      </c>
      <c r="V2255" t="s">
        <v>31</v>
      </c>
      <c r="W2255" t="s">
        <v>31</v>
      </c>
      <c r="X2255" t="s">
        <v>31</v>
      </c>
      <c r="Y2255" t="s">
        <v>31</v>
      </c>
    </row>
    <row r="2256" spans="1:25" hidden="1">
      <c r="A2256" t="s">
        <v>25</v>
      </c>
      <c r="B2256" t="s">
        <v>26</v>
      </c>
      <c r="C2256" t="s">
        <v>62</v>
      </c>
      <c r="D2256" s="1">
        <v>45506</v>
      </c>
      <c r="E2256" s="2">
        <v>0.8125</v>
      </c>
      <c r="F2256" t="s">
        <v>63</v>
      </c>
      <c r="G2256" t="s">
        <v>29</v>
      </c>
      <c r="H2256">
        <v>2</v>
      </c>
      <c r="I2256">
        <v>3</v>
      </c>
      <c r="J2256" t="s">
        <v>30</v>
      </c>
      <c r="K2256">
        <v>949</v>
      </c>
      <c r="L2256">
        <v>597</v>
      </c>
      <c r="M2256">
        <v>13</v>
      </c>
      <c r="N2256">
        <v>964</v>
      </c>
      <c r="O2256">
        <v>635</v>
      </c>
      <c r="P2256">
        <v>131</v>
      </c>
      <c r="Q2256">
        <v>882</v>
      </c>
      <c r="R2256">
        <v>586</v>
      </c>
      <c r="S2256">
        <v>128</v>
      </c>
      <c r="T2256" t="s">
        <v>64</v>
      </c>
      <c r="U2256" t="s">
        <v>65</v>
      </c>
      <c r="V2256" t="s">
        <v>66</v>
      </c>
      <c r="W2256" t="s">
        <v>31</v>
      </c>
      <c r="X2256" t="s">
        <v>31</v>
      </c>
      <c r="Y2256" t="s">
        <v>31</v>
      </c>
    </row>
    <row r="2257" spans="1:25" hidden="1">
      <c r="A2257" t="s">
        <v>25</v>
      </c>
      <c r="B2257" t="s">
        <v>26</v>
      </c>
      <c r="C2257" t="s">
        <v>62</v>
      </c>
      <c r="D2257" s="1">
        <v>45507</v>
      </c>
      <c r="E2257" s="2">
        <v>0.66666666666666663</v>
      </c>
      <c r="F2257" t="s">
        <v>45</v>
      </c>
      <c r="G2257" t="s">
        <v>54</v>
      </c>
      <c r="H2257">
        <v>1</v>
      </c>
      <c r="I2257">
        <v>2</v>
      </c>
      <c r="J2257" t="s">
        <v>30</v>
      </c>
      <c r="K2257">
        <v>193</v>
      </c>
      <c r="L2257">
        <v>359</v>
      </c>
      <c r="M2257">
        <v>423</v>
      </c>
      <c r="N2257">
        <v>194</v>
      </c>
      <c r="O2257">
        <v>376</v>
      </c>
      <c r="P2257">
        <v>423</v>
      </c>
      <c r="Q2257">
        <v>188</v>
      </c>
      <c r="R2257">
        <v>35</v>
      </c>
      <c r="S2257">
        <v>401</v>
      </c>
      <c r="T2257" t="s">
        <v>67</v>
      </c>
      <c r="U2257" t="s">
        <v>68</v>
      </c>
      <c r="V2257" t="s">
        <v>69</v>
      </c>
      <c r="W2257" t="s">
        <v>31</v>
      </c>
      <c r="X2257" t="s">
        <v>31</v>
      </c>
      <c r="Y2257" t="s">
        <v>31</v>
      </c>
    </row>
    <row r="2258" spans="1:25" hidden="1">
      <c r="A2258" t="s">
        <v>25</v>
      </c>
      <c r="B2258" t="s">
        <v>26</v>
      </c>
      <c r="C2258" t="s">
        <v>62</v>
      </c>
      <c r="D2258" s="1">
        <v>45507</v>
      </c>
      <c r="E2258" s="2">
        <v>0.66666666666666663</v>
      </c>
      <c r="F2258" t="s">
        <v>52</v>
      </c>
      <c r="G2258" t="s">
        <v>50</v>
      </c>
      <c r="H2258">
        <v>1</v>
      </c>
      <c r="I2258">
        <v>2</v>
      </c>
      <c r="J2258" t="s">
        <v>30</v>
      </c>
      <c r="K2258">
        <v>341</v>
      </c>
      <c r="L2258">
        <v>368</v>
      </c>
      <c r="M2258">
        <v>213</v>
      </c>
      <c r="N2258">
        <v>341</v>
      </c>
      <c r="O2258">
        <v>378</v>
      </c>
      <c r="P2258">
        <v>214</v>
      </c>
      <c r="Q2258">
        <v>327</v>
      </c>
      <c r="R2258">
        <v>358</v>
      </c>
      <c r="S2258">
        <v>208</v>
      </c>
      <c r="T2258" t="s">
        <v>70</v>
      </c>
      <c r="U2258" t="s">
        <v>71</v>
      </c>
      <c r="V2258" t="s">
        <v>72</v>
      </c>
      <c r="W2258" t="s">
        <v>31</v>
      </c>
      <c r="X2258" t="s">
        <v>31</v>
      </c>
      <c r="Y2258" t="s">
        <v>31</v>
      </c>
    </row>
    <row r="2259" spans="1:25" hidden="1">
      <c r="A2259" t="s">
        <v>25</v>
      </c>
      <c r="B2259" t="s">
        <v>26</v>
      </c>
      <c r="C2259" t="s">
        <v>62</v>
      </c>
      <c r="D2259" s="1">
        <v>45507</v>
      </c>
      <c r="E2259" s="2">
        <v>0.77083333333333337</v>
      </c>
      <c r="F2259" t="s">
        <v>39</v>
      </c>
      <c r="G2259" t="s">
        <v>56</v>
      </c>
      <c r="H2259">
        <v>4</v>
      </c>
      <c r="I2259">
        <v>1</v>
      </c>
      <c r="J2259" t="s">
        <v>34</v>
      </c>
      <c r="K2259">
        <v>185</v>
      </c>
      <c r="L2259">
        <v>397</v>
      </c>
      <c r="M2259">
        <v>412</v>
      </c>
      <c r="N2259">
        <v>19</v>
      </c>
      <c r="O2259">
        <v>402</v>
      </c>
      <c r="P2259">
        <v>412</v>
      </c>
      <c r="Q2259">
        <v>182</v>
      </c>
      <c r="R2259">
        <v>38</v>
      </c>
      <c r="S2259">
        <v>393</v>
      </c>
      <c r="T2259" t="s">
        <v>73</v>
      </c>
      <c r="U2259" t="s">
        <v>74</v>
      </c>
      <c r="V2259" t="s">
        <v>75</v>
      </c>
      <c r="W2259" t="s">
        <v>31</v>
      </c>
      <c r="X2259" t="s">
        <v>31</v>
      </c>
      <c r="Y2259" t="s">
        <v>31</v>
      </c>
    </row>
    <row r="2260" spans="1:25" hidden="1">
      <c r="A2260" t="s">
        <v>25</v>
      </c>
      <c r="B2260" t="s">
        <v>26</v>
      </c>
      <c r="C2260" t="s">
        <v>62</v>
      </c>
      <c r="D2260" s="1">
        <v>45508</v>
      </c>
      <c r="E2260" s="2">
        <v>0.66666666666666663</v>
      </c>
      <c r="F2260" t="s">
        <v>61</v>
      </c>
      <c r="G2260" t="s">
        <v>40</v>
      </c>
      <c r="H2260">
        <v>1</v>
      </c>
      <c r="I2260">
        <v>0</v>
      </c>
      <c r="J2260" t="s">
        <v>34</v>
      </c>
      <c r="K2260">
        <v>256</v>
      </c>
      <c r="L2260">
        <v>362</v>
      </c>
      <c r="M2260">
        <v>273</v>
      </c>
      <c r="N2260">
        <v>269</v>
      </c>
      <c r="O2260">
        <v>364</v>
      </c>
      <c r="P2260">
        <v>3</v>
      </c>
      <c r="Q2260">
        <v>244</v>
      </c>
      <c r="R2260">
        <v>345</v>
      </c>
      <c r="S2260">
        <v>273</v>
      </c>
      <c r="T2260" t="s">
        <v>76</v>
      </c>
      <c r="U2260" t="s">
        <v>77</v>
      </c>
      <c r="V2260" t="s">
        <v>78</v>
      </c>
      <c r="W2260" t="s">
        <v>31</v>
      </c>
      <c r="X2260" t="s">
        <v>31</v>
      </c>
      <c r="Y2260" t="s">
        <v>31</v>
      </c>
    </row>
    <row r="2261" spans="1:25" hidden="1">
      <c r="A2261" t="s">
        <v>25</v>
      </c>
      <c r="B2261" t="s">
        <v>26</v>
      </c>
      <c r="C2261" t="s">
        <v>62</v>
      </c>
      <c r="D2261" s="1">
        <v>45508</v>
      </c>
      <c r="E2261" s="2">
        <v>0.66666666666666663</v>
      </c>
      <c r="F2261" t="s">
        <v>35</v>
      </c>
      <c r="G2261" t="s">
        <v>28</v>
      </c>
      <c r="H2261">
        <v>1</v>
      </c>
      <c r="I2261">
        <v>0</v>
      </c>
      <c r="J2261" t="s">
        <v>34</v>
      </c>
      <c r="K2261">
        <v>287</v>
      </c>
      <c r="L2261">
        <v>358</v>
      </c>
      <c r="M2261">
        <v>247</v>
      </c>
      <c r="N2261">
        <v>3</v>
      </c>
      <c r="O2261">
        <v>358</v>
      </c>
      <c r="P2261">
        <v>248</v>
      </c>
      <c r="Q2261">
        <v>282</v>
      </c>
      <c r="R2261">
        <v>342</v>
      </c>
      <c r="S2261">
        <v>239</v>
      </c>
      <c r="T2261" t="s">
        <v>79</v>
      </c>
      <c r="U2261" t="s">
        <v>80</v>
      </c>
      <c r="V2261" t="s">
        <v>81</v>
      </c>
      <c r="W2261" t="s">
        <v>31</v>
      </c>
      <c r="X2261" t="s">
        <v>31</v>
      </c>
      <c r="Y2261" t="s">
        <v>31</v>
      </c>
    </row>
    <row r="2262" spans="1:25" hidden="1">
      <c r="A2262" t="s">
        <v>25</v>
      </c>
      <c r="B2262" t="s">
        <v>26</v>
      </c>
      <c r="C2262" t="s">
        <v>62</v>
      </c>
      <c r="D2262" s="1">
        <v>45514</v>
      </c>
      <c r="E2262" s="2">
        <v>0.66666666666666663</v>
      </c>
      <c r="F2262" t="s">
        <v>50</v>
      </c>
      <c r="G2262" t="s">
        <v>45</v>
      </c>
      <c r="H2262">
        <v>1</v>
      </c>
      <c r="I2262">
        <v>2</v>
      </c>
      <c r="J2262" t="s">
        <v>30</v>
      </c>
      <c r="K2262">
        <v>168</v>
      </c>
      <c r="L2262">
        <v>397</v>
      </c>
      <c r="M2262">
        <v>522</v>
      </c>
      <c r="N2262">
        <v>17</v>
      </c>
      <c r="O2262">
        <v>41</v>
      </c>
      <c r="P2262">
        <v>586</v>
      </c>
      <c r="Q2262">
        <v>164</v>
      </c>
      <c r="R2262">
        <v>388</v>
      </c>
      <c r="S2262">
        <v>508</v>
      </c>
      <c r="T2262" t="s">
        <v>82</v>
      </c>
      <c r="U2262" t="s">
        <v>83</v>
      </c>
      <c r="V2262" t="s">
        <v>84</v>
      </c>
      <c r="W2262" t="s">
        <v>31</v>
      </c>
      <c r="X2262" t="s">
        <v>31</v>
      </c>
      <c r="Y2262" t="s">
        <v>31</v>
      </c>
    </row>
    <row r="2263" spans="1:25" hidden="1">
      <c r="A2263" t="s">
        <v>25</v>
      </c>
      <c r="B2263" t="s">
        <v>26</v>
      </c>
      <c r="C2263" t="s">
        <v>62</v>
      </c>
      <c r="D2263" s="1">
        <v>45514</v>
      </c>
      <c r="E2263" s="2">
        <v>0.66666666666666663</v>
      </c>
      <c r="F2263" t="s">
        <v>54</v>
      </c>
      <c r="G2263" t="s">
        <v>63</v>
      </c>
      <c r="H2263">
        <v>0</v>
      </c>
      <c r="I2263">
        <v>0</v>
      </c>
      <c r="J2263" t="s">
        <v>41</v>
      </c>
      <c r="K2263">
        <v>235</v>
      </c>
      <c r="L2263">
        <v>348</v>
      </c>
      <c r="M2263">
        <v>312</v>
      </c>
      <c r="N2263">
        <v>235</v>
      </c>
      <c r="O2263">
        <v>375</v>
      </c>
      <c r="P2263">
        <v>335</v>
      </c>
      <c r="Q2263">
        <v>22</v>
      </c>
      <c r="R2263">
        <v>34</v>
      </c>
      <c r="S2263">
        <v>316</v>
      </c>
      <c r="T2263" t="s">
        <v>85</v>
      </c>
      <c r="U2263" t="s">
        <v>68</v>
      </c>
      <c r="V2263" t="s">
        <v>86</v>
      </c>
      <c r="W2263" t="s">
        <v>31</v>
      </c>
      <c r="X2263" t="s">
        <v>31</v>
      </c>
      <c r="Y2263" t="s">
        <v>31</v>
      </c>
    </row>
    <row r="2264" spans="1:25" hidden="1">
      <c r="A2264" t="s">
        <v>25</v>
      </c>
      <c r="B2264" t="s">
        <v>26</v>
      </c>
      <c r="C2264" t="s">
        <v>62</v>
      </c>
      <c r="D2264" s="1">
        <v>45514</v>
      </c>
      <c r="E2264" s="2">
        <v>0.77083333333333337</v>
      </c>
      <c r="F2264" t="s">
        <v>29</v>
      </c>
      <c r="G2264" t="s">
        <v>61</v>
      </c>
      <c r="H2264">
        <v>5</v>
      </c>
      <c r="I2264">
        <v>1</v>
      </c>
      <c r="J2264" t="s">
        <v>34</v>
      </c>
      <c r="K2264">
        <v>133</v>
      </c>
      <c r="L2264">
        <v>581</v>
      </c>
      <c r="M2264">
        <v>864</v>
      </c>
      <c r="N2264">
        <v>137</v>
      </c>
      <c r="O2264">
        <v>651</v>
      </c>
      <c r="P2264">
        <v>1118</v>
      </c>
      <c r="Q2264">
        <v>132</v>
      </c>
      <c r="R2264">
        <v>551</v>
      </c>
      <c r="S2264">
        <v>795</v>
      </c>
      <c r="T2264" t="s">
        <v>87</v>
      </c>
      <c r="U2264" t="s">
        <v>65</v>
      </c>
      <c r="V2264" t="s">
        <v>88</v>
      </c>
      <c r="W2264" t="s">
        <v>31</v>
      </c>
      <c r="X2264" t="s">
        <v>31</v>
      </c>
      <c r="Y2264" t="s">
        <v>31</v>
      </c>
    </row>
    <row r="2265" spans="1:25" hidden="1">
      <c r="A2265" t="s">
        <v>25</v>
      </c>
      <c r="B2265" t="s">
        <v>26</v>
      </c>
      <c r="C2265" t="s">
        <v>62</v>
      </c>
      <c r="D2265" s="1">
        <v>45515</v>
      </c>
      <c r="E2265" s="2">
        <v>0.66666666666666663</v>
      </c>
      <c r="F2265" t="s">
        <v>56</v>
      </c>
      <c r="G2265" t="s">
        <v>35</v>
      </c>
      <c r="H2265">
        <v>1</v>
      </c>
      <c r="I2265">
        <v>1</v>
      </c>
      <c r="J2265" t="s">
        <v>41</v>
      </c>
      <c r="K2265">
        <v>471</v>
      </c>
      <c r="L2265">
        <v>407</v>
      </c>
      <c r="M2265">
        <v>173</v>
      </c>
      <c r="N2265">
        <v>471</v>
      </c>
      <c r="O2265">
        <v>414</v>
      </c>
      <c r="P2265">
        <v>179</v>
      </c>
      <c r="Q2265">
        <v>43</v>
      </c>
      <c r="R2265">
        <v>395</v>
      </c>
      <c r="S2265">
        <v>173</v>
      </c>
      <c r="T2265" t="s">
        <v>89</v>
      </c>
      <c r="U2265" t="s">
        <v>75</v>
      </c>
      <c r="V2265" t="s">
        <v>90</v>
      </c>
      <c r="W2265" t="s">
        <v>31</v>
      </c>
      <c r="X2265" t="s">
        <v>31</v>
      </c>
      <c r="Y2265" t="s">
        <v>31</v>
      </c>
    </row>
    <row r="2266" spans="1:25" hidden="1">
      <c r="A2266" t="s">
        <v>25</v>
      </c>
      <c r="B2266" t="s">
        <v>26</v>
      </c>
      <c r="C2266" t="s">
        <v>62</v>
      </c>
      <c r="D2266" s="1">
        <v>45515</v>
      </c>
      <c r="E2266" s="2">
        <v>0.66666666666666663</v>
      </c>
      <c r="F2266" t="s">
        <v>40</v>
      </c>
      <c r="G2266" t="s">
        <v>39</v>
      </c>
      <c r="H2266">
        <v>3</v>
      </c>
      <c r="I2266">
        <v>1</v>
      </c>
      <c r="J2266" t="s">
        <v>34</v>
      </c>
      <c r="K2266">
        <v>215</v>
      </c>
      <c r="L2266">
        <v>382</v>
      </c>
      <c r="M2266">
        <v>325</v>
      </c>
      <c r="N2266">
        <v>224</v>
      </c>
      <c r="O2266">
        <v>39</v>
      </c>
      <c r="P2266">
        <v>325</v>
      </c>
      <c r="Q2266">
        <v>215</v>
      </c>
      <c r="R2266">
        <v>365</v>
      </c>
      <c r="S2266">
        <v>305</v>
      </c>
      <c r="T2266" t="s">
        <v>91</v>
      </c>
      <c r="U2266" t="s">
        <v>92</v>
      </c>
      <c r="V2266" t="s">
        <v>93</v>
      </c>
      <c r="W2266" t="s">
        <v>31</v>
      </c>
      <c r="X2266" t="s">
        <v>31</v>
      </c>
      <c r="Y2266" t="s">
        <v>31</v>
      </c>
    </row>
    <row r="2267" spans="1:25" hidden="1">
      <c r="A2267" t="s">
        <v>25</v>
      </c>
      <c r="B2267" t="s">
        <v>26</v>
      </c>
      <c r="C2267" t="s">
        <v>62</v>
      </c>
      <c r="D2267" s="1">
        <v>45515</v>
      </c>
      <c r="E2267" s="2">
        <v>0.66666666666666663</v>
      </c>
      <c r="F2267" t="s">
        <v>28</v>
      </c>
      <c r="G2267" t="s">
        <v>52</v>
      </c>
      <c r="H2267">
        <v>2</v>
      </c>
      <c r="I2267">
        <v>0</v>
      </c>
      <c r="J2267" t="s">
        <v>34</v>
      </c>
      <c r="K2267">
        <v>157</v>
      </c>
      <c r="L2267">
        <v>447</v>
      </c>
      <c r="M2267">
        <v>561</v>
      </c>
      <c r="N2267">
        <v>159</v>
      </c>
      <c r="O2267">
        <v>489</v>
      </c>
      <c r="P2267">
        <v>561</v>
      </c>
      <c r="Q2267">
        <v>154</v>
      </c>
      <c r="R2267">
        <v>44</v>
      </c>
      <c r="S2267">
        <v>526</v>
      </c>
      <c r="T2267" t="s">
        <v>94</v>
      </c>
      <c r="U2267" t="s">
        <v>95</v>
      </c>
      <c r="V2267" t="s">
        <v>65</v>
      </c>
      <c r="W2267" t="s">
        <v>31</v>
      </c>
      <c r="X2267" t="s">
        <v>31</v>
      </c>
      <c r="Y2267" t="s">
        <v>31</v>
      </c>
    </row>
    <row r="2268" spans="1:25" hidden="1">
      <c r="A2268" t="s">
        <v>25</v>
      </c>
      <c r="B2268" t="s">
        <v>26</v>
      </c>
      <c r="C2268" t="s">
        <v>62</v>
      </c>
      <c r="D2268" s="1">
        <v>45521</v>
      </c>
      <c r="E2268" s="2">
        <v>0.66666666666666663</v>
      </c>
      <c r="F2268" t="s">
        <v>56</v>
      </c>
      <c r="G2268" t="s">
        <v>28</v>
      </c>
      <c r="H2268">
        <v>0</v>
      </c>
      <c r="I2268">
        <v>2</v>
      </c>
      <c r="J2268" t="s">
        <v>30</v>
      </c>
      <c r="K2268">
        <v>725</v>
      </c>
      <c r="L2268">
        <v>506</v>
      </c>
      <c r="M2268">
        <v>142</v>
      </c>
      <c r="N2268">
        <v>8</v>
      </c>
      <c r="O2268">
        <v>511</v>
      </c>
      <c r="P2268">
        <v>144</v>
      </c>
      <c r="Q2268">
        <v>714</v>
      </c>
      <c r="R2268">
        <v>476</v>
      </c>
      <c r="S2268">
        <v>139</v>
      </c>
      <c r="T2268" t="s">
        <v>96</v>
      </c>
      <c r="U2268" t="s">
        <v>97</v>
      </c>
      <c r="V2268" t="s">
        <v>98</v>
      </c>
      <c r="W2268" t="s">
        <v>31</v>
      </c>
      <c r="X2268" t="s">
        <v>31</v>
      </c>
      <c r="Y2268" t="s">
        <v>31</v>
      </c>
    </row>
    <row r="2269" spans="1:25" hidden="1">
      <c r="A2269" t="s">
        <v>25</v>
      </c>
      <c r="B2269" t="s">
        <v>26</v>
      </c>
      <c r="C2269" t="s">
        <v>62</v>
      </c>
      <c r="D2269" s="1">
        <v>45521</v>
      </c>
      <c r="E2269" s="2">
        <v>0.66666666666666663</v>
      </c>
      <c r="F2269" t="s">
        <v>63</v>
      </c>
      <c r="G2269" t="s">
        <v>61</v>
      </c>
      <c r="H2269">
        <v>2</v>
      </c>
      <c r="I2269">
        <v>2</v>
      </c>
      <c r="J2269" t="s">
        <v>41</v>
      </c>
      <c r="K2269">
        <v>207</v>
      </c>
      <c r="L2269">
        <v>358</v>
      </c>
      <c r="M2269">
        <v>367</v>
      </c>
      <c r="N2269">
        <v>23</v>
      </c>
      <c r="O2269">
        <v>36</v>
      </c>
      <c r="P2269">
        <v>371</v>
      </c>
      <c r="Q2269">
        <v>206</v>
      </c>
      <c r="R2269">
        <v>345</v>
      </c>
      <c r="S2269">
        <v>348</v>
      </c>
      <c r="T2269" t="s">
        <v>99</v>
      </c>
      <c r="U2269" t="s">
        <v>68</v>
      </c>
      <c r="V2269" t="s">
        <v>92</v>
      </c>
      <c r="W2269" t="s">
        <v>31</v>
      </c>
      <c r="X2269" t="s">
        <v>31</v>
      </c>
      <c r="Y2269" t="s">
        <v>31</v>
      </c>
    </row>
    <row r="2270" spans="1:25" hidden="1">
      <c r="A2270" t="s">
        <v>25</v>
      </c>
      <c r="B2270" t="s">
        <v>26</v>
      </c>
      <c r="C2270" t="s">
        <v>62</v>
      </c>
      <c r="D2270" s="1">
        <v>45521</v>
      </c>
      <c r="E2270" s="2">
        <v>0.77083333333333337</v>
      </c>
      <c r="F2270" t="s">
        <v>50</v>
      </c>
      <c r="G2270" t="s">
        <v>29</v>
      </c>
      <c r="H2270">
        <v>0</v>
      </c>
      <c r="I2270">
        <v>1</v>
      </c>
      <c r="J2270" t="s">
        <v>30</v>
      </c>
      <c r="K2270">
        <v>357</v>
      </c>
      <c r="L2270">
        <v>419</v>
      </c>
      <c r="M2270">
        <v>193</v>
      </c>
      <c r="N2270">
        <v>372</v>
      </c>
      <c r="O2270">
        <v>42</v>
      </c>
      <c r="P2270">
        <v>199</v>
      </c>
      <c r="Q2270">
        <v>35</v>
      </c>
      <c r="R2270">
        <v>402</v>
      </c>
      <c r="S2270">
        <v>19</v>
      </c>
      <c r="T2270" t="s">
        <v>68</v>
      </c>
      <c r="U2270" t="s">
        <v>100</v>
      </c>
      <c r="V2270" t="s">
        <v>101</v>
      </c>
      <c r="W2270" t="s">
        <v>31</v>
      </c>
      <c r="X2270" t="s">
        <v>31</v>
      </c>
      <c r="Y2270" t="s">
        <v>31</v>
      </c>
    </row>
    <row r="2271" spans="1:25" hidden="1">
      <c r="A2271" t="s">
        <v>25</v>
      </c>
      <c r="B2271" t="s">
        <v>26</v>
      </c>
      <c r="C2271" t="s">
        <v>62</v>
      </c>
      <c r="D2271" s="1">
        <v>45522</v>
      </c>
      <c r="E2271" s="2">
        <v>0.66666666666666663</v>
      </c>
      <c r="F2271" t="s">
        <v>45</v>
      </c>
      <c r="G2271" t="s">
        <v>39</v>
      </c>
      <c r="H2271">
        <v>2</v>
      </c>
      <c r="I2271">
        <v>0</v>
      </c>
      <c r="J2271" t="s">
        <v>34</v>
      </c>
      <c r="K2271">
        <v>239</v>
      </c>
      <c r="L2271">
        <v>35</v>
      </c>
      <c r="M2271">
        <v>304</v>
      </c>
      <c r="N2271">
        <v>245</v>
      </c>
      <c r="O2271">
        <v>351</v>
      </c>
      <c r="P2271">
        <v>313</v>
      </c>
      <c r="Q2271">
        <v>235</v>
      </c>
      <c r="R2271">
        <v>336</v>
      </c>
      <c r="S2271">
        <v>292</v>
      </c>
      <c r="T2271" t="s">
        <v>102</v>
      </c>
      <c r="U2271" t="s">
        <v>80</v>
      </c>
      <c r="V2271" t="s">
        <v>103</v>
      </c>
      <c r="W2271" t="s">
        <v>31</v>
      </c>
      <c r="X2271" t="s">
        <v>31</v>
      </c>
      <c r="Y2271" t="s">
        <v>31</v>
      </c>
    </row>
    <row r="2272" spans="1:25" hidden="1">
      <c r="A2272" t="s">
        <v>25</v>
      </c>
      <c r="B2272" t="s">
        <v>26</v>
      </c>
      <c r="C2272" t="s">
        <v>62</v>
      </c>
      <c r="D2272" s="1">
        <v>45522</v>
      </c>
      <c r="E2272" s="2">
        <v>0.66666666666666663</v>
      </c>
      <c r="F2272" t="s">
        <v>52</v>
      </c>
      <c r="G2272" t="s">
        <v>40</v>
      </c>
      <c r="H2272">
        <v>1</v>
      </c>
      <c r="I2272">
        <v>1</v>
      </c>
      <c r="J2272" t="s">
        <v>41</v>
      </c>
      <c r="K2272">
        <v>272</v>
      </c>
      <c r="L2272">
        <v>376</v>
      </c>
      <c r="M2272">
        <v>25</v>
      </c>
      <c r="N2272">
        <v>288</v>
      </c>
      <c r="O2272">
        <v>376</v>
      </c>
      <c r="P2272">
        <v>251</v>
      </c>
      <c r="Q2272">
        <v>266</v>
      </c>
      <c r="R2272">
        <v>36</v>
      </c>
      <c r="S2272">
        <v>245</v>
      </c>
      <c r="T2272" t="s">
        <v>104</v>
      </c>
      <c r="U2272" t="s">
        <v>92</v>
      </c>
      <c r="V2272" t="s">
        <v>105</v>
      </c>
      <c r="W2272" t="s">
        <v>31</v>
      </c>
      <c r="X2272" t="s">
        <v>31</v>
      </c>
      <c r="Y2272" t="s">
        <v>31</v>
      </c>
    </row>
    <row r="2273" spans="1:25" hidden="1">
      <c r="A2273" t="s">
        <v>25</v>
      </c>
      <c r="B2273" t="s">
        <v>26</v>
      </c>
      <c r="C2273" t="s">
        <v>62</v>
      </c>
      <c r="D2273" s="1">
        <v>45522</v>
      </c>
      <c r="E2273" s="2">
        <v>0.66666666666666663</v>
      </c>
      <c r="F2273" t="s">
        <v>35</v>
      </c>
      <c r="G2273" t="s">
        <v>54</v>
      </c>
      <c r="H2273">
        <v>2</v>
      </c>
      <c r="I2273">
        <v>0</v>
      </c>
      <c r="J2273" t="s">
        <v>34</v>
      </c>
      <c r="K2273">
        <v>135</v>
      </c>
      <c r="L2273">
        <v>534</v>
      </c>
      <c r="M2273">
        <v>902</v>
      </c>
      <c r="N2273">
        <v>14</v>
      </c>
      <c r="O2273">
        <v>535</v>
      </c>
      <c r="P2273">
        <v>902</v>
      </c>
      <c r="Q2273">
        <v>135</v>
      </c>
      <c r="R2273">
        <v>506</v>
      </c>
      <c r="S2273">
        <v>786</v>
      </c>
      <c r="T2273" t="s">
        <v>106</v>
      </c>
      <c r="U2273" t="s">
        <v>107</v>
      </c>
      <c r="V2273" t="s">
        <v>108</v>
      </c>
      <c r="W2273" t="s">
        <v>31</v>
      </c>
      <c r="X2273" t="s">
        <v>31</v>
      </c>
      <c r="Y2273" t="s">
        <v>31</v>
      </c>
    </row>
    <row r="2274" spans="1:25" hidden="1">
      <c r="A2274" t="s">
        <v>25</v>
      </c>
      <c r="B2274" t="s">
        <v>26</v>
      </c>
      <c r="C2274" t="s">
        <v>62</v>
      </c>
      <c r="D2274" s="1">
        <v>45528</v>
      </c>
      <c r="E2274" s="2">
        <v>0.66666666666666663</v>
      </c>
      <c r="F2274" t="s">
        <v>54</v>
      </c>
      <c r="G2274" t="s">
        <v>56</v>
      </c>
      <c r="H2274">
        <v>0</v>
      </c>
      <c r="I2274">
        <v>1</v>
      </c>
      <c r="J2274" t="s">
        <v>30</v>
      </c>
      <c r="K2274">
        <v>236</v>
      </c>
      <c r="L2274">
        <v>356</v>
      </c>
      <c r="M2274">
        <v>304</v>
      </c>
      <c r="N2274">
        <v>238</v>
      </c>
      <c r="O2274">
        <v>383</v>
      </c>
      <c r="P2274">
        <v>306</v>
      </c>
      <c r="Q2274">
        <v>23</v>
      </c>
      <c r="R2274">
        <v>349</v>
      </c>
      <c r="S2274">
        <v>291</v>
      </c>
      <c r="T2274" t="s">
        <v>109</v>
      </c>
      <c r="U2274" t="s">
        <v>77</v>
      </c>
      <c r="V2274" t="s">
        <v>110</v>
      </c>
      <c r="W2274" t="s">
        <v>31</v>
      </c>
      <c r="X2274" t="s">
        <v>31</v>
      </c>
      <c r="Y2274" t="s">
        <v>31</v>
      </c>
    </row>
    <row r="2275" spans="1:25" hidden="1">
      <c r="A2275" t="s">
        <v>25</v>
      </c>
      <c r="B2275" t="s">
        <v>26</v>
      </c>
      <c r="C2275" t="s">
        <v>62</v>
      </c>
      <c r="D2275" s="1">
        <v>45528</v>
      </c>
      <c r="E2275" s="2">
        <v>0.77083333333333337</v>
      </c>
      <c r="F2275" t="s">
        <v>28</v>
      </c>
      <c r="G2275" t="s">
        <v>45</v>
      </c>
      <c r="H2275">
        <v>2</v>
      </c>
      <c r="I2275">
        <v>1</v>
      </c>
      <c r="J2275" t="s">
        <v>34</v>
      </c>
      <c r="K2275">
        <v>154</v>
      </c>
      <c r="L2275">
        <v>423</v>
      </c>
      <c r="M2275">
        <v>655</v>
      </c>
      <c r="N2275">
        <v>156</v>
      </c>
      <c r="O2275">
        <v>44</v>
      </c>
      <c r="P2275">
        <v>7</v>
      </c>
      <c r="Q2275">
        <v>151</v>
      </c>
      <c r="R2275">
        <v>413</v>
      </c>
      <c r="S2275">
        <v>625</v>
      </c>
      <c r="T2275" t="s">
        <v>111</v>
      </c>
      <c r="U2275" t="s">
        <v>69</v>
      </c>
      <c r="V2275" t="s">
        <v>112</v>
      </c>
      <c r="W2275" t="s">
        <v>31</v>
      </c>
      <c r="X2275" t="s">
        <v>31</v>
      </c>
      <c r="Y2275" t="s">
        <v>31</v>
      </c>
    </row>
    <row r="2276" spans="1:25" hidden="1">
      <c r="A2276" t="s">
        <v>25</v>
      </c>
      <c r="B2276" t="s">
        <v>26</v>
      </c>
      <c r="C2276" t="s">
        <v>62</v>
      </c>
      <c r="D2276" s="1">
        <v>45529</v>
      </c>
      <c r="E2276" s="2">
        <v>0.66666666666666663</v>
      </c>
      <c r="F2276" t="s">
        <v>40</v>
      </c>
      <c r="G2276" t="s">
        <v>50</v>
      </c>
      <c r="H2276">
        <v>2</v>
      </c>
      <c r="I2276">
        <v>1</v>
      </c>
      <c r="J2276" t="s">
        <v>34</v>
      </c>
      <c r="K2276">
        <v>234</v>
      </c>
      <c r="L2276">
        <v>365</v>
      </c>
      <c r="M2276">
        <v>3</v>
      </c>
      <c r="N2276">
        <v>24</v>
      </c>
      <c r="O2276">
        <v>379</v>
      </c>
      <c r="P2276">
        <v>301</v>
      </c>
      <c r="Q2276">
        <v>228</v>
      </c>
      <c r="R2276">
        <v>358</v>
      </c>
      <c r="S2276">
        <v>288</v>
      </c>
      <c r="T2276" t="s">
        <v>113</v>
      </c>
      <c r="U2276" t="s">
        <v>114</v>
      </c>
      <c r="V2276" t="s">
        <v>110</v>
      </c>
      <c r="W2276" t="s">
        <v>31</v>
      </c>
      <c r="X2276" t="s">
        <v>31</v>
      </c>
      <c r="Y2276" t="s">
        <v>31</v>
      </c>
    </row>
    <row r="2277" spans="1:25" hidden="1">
      <c r="A2277" t="s">
        <v>25</v>
      </c>
      <c r="B2277" t="s">
        <v>26</v>
      </c>
      <c r="C2277" t="s">
        <v>62</v>
      </c>
      <c r="D2277" s="1">
        <v>45529</v>
      </c>
      <c r="E2277" s="2">
        <v>0.66666666666666663</v>
      </c>
      <c r="F2277" t="s">
        <v>61</v>
      </c>
      <c r="G2277" t="s">
        <v>35</v>
      </c>
      <c r="H2277">
        <v>3</v>
      </c>
      <c r="I2277">
        <v>0</v>
      </c>
      <c r="J2277" t="s">
        <v>34</v>
      </c>
      <c r="K2277">
        <v>47</v>
      </c>
      <c r="L2277">
        <v>372</v>
      </c>
      <c r="M2277">
        <v>181</v>
      </c>
      <c r="N2277">
        <v>48</v>
      </c>
      <c r="O2277">
        <v>372</v>
      </c>
      <c r="P2277">
        <v>184</v>
      </c>
      <c r="Q2277">
        <v>443</v>
      </c>
      <c r="R2277">
        <v>357</v>
      </c>
      <c r="S2277">
        <v>178</v>
      </c>
      <c r="T2277" t="s">
        <v>115</v>
      </c>
      <c r="U2277" t="s">
        <v>116</v>
      </c>
      <c r="V2277" t="s">
        <v>117</v>
      </c>
      <c r="W2277" t="s">
        <v>31</v>
      </c>
      <c r="X2277" t="s">
        <v>31</v>
      </c>
      <c r="Y2277" t="s">
        <v>31</v>
      </c>
    </row>
    <row r="2278" spans="1:25" hidden="1">
      <c r="A2278" t="s">
        <v>25</v>
      </c>
      <c r="B2278" t="s">
        <v>26</v>
      </c>
      <c r="C2278" t="s">
        <v>62</v>
      </c>
      <c r="D2278" s="1">
        <v>45529</v>
      </c>
      <c r="E2278" s="2">
        <v>0.66666666666666663</v>
      </c>
      <c r="F2278" t="s">
        <v>39</v>
      </c>
      <c r="G2278" t="s">
        <v>63</v>
      </c>
      <c r="H2278">
        <v>4</v>
      </c>
      <c r="I2278">
        <v>2</v>
      </c>
      <c r="J2278" t="s">
        <v>34</v>
      </c>
      <c r="K2278">
        <v>213</v>
      </c>
      <c r="L2278">
        <v>361</v>
      </c>
      <c r="M2278">
        <v>348</v>
      </c>
      <c r="N2278">
        <v>214</v>
      </c>
      <c r="O2278">
        <v>368</v>
      </c>
      <c r="P2278">
        <v>368</v>
      </c>
      <c r="Q2278">
        <v>204</v>
      </c>
      <c r="R2278">
        <v>354</v>
      </c>
      <c r="S2278">
        <v>342</v>
      </c>
      <c r="T2278" t="s">
        <v>72</v>
      </c>
      <c r="U2278" t="s">
        <v>114</v>
      </c>
      <c r="V2278" t="s">
        <v>68</v>
      </c>
      <c r="W2278" t="s">
        <v>31</v>
      </c>
      <c r="X2278" t="s">
        <v>31</v>
      </c>
      <c r="Y2278" t="s">
        <v>31</v>
      </c>
    </row>
    <row r="2279" spans="1:25" hidden="1">
      <c r="A2279" t="s">
        <v>25</v>
      </c>
      <c r="B2279" t="s">
        <v>26</v>
      </c>
      <c r="C2279" t="s">
        <v>62</v>
      </c>
      <c r="D2279" s="1">
        <v>45535</v>
      </c>
      <c r="E2279" s="2">
        <v>0.66666666666666663</v>
      </c>
      <c r="F2279" t="s">
        <v>56</v>
      </c>
      <c r="G2279" t="s">
        <v>61</v>
      </c>
      <c r="H2279">
        <v>3</v>
      </c>
      <c r="I2279">
        <v>1</v>
      </c>
      <c r="J2279" t="s">
        <v>34</v>
      </c>
      <c r="K2279">
        <v>282</v>
      </c>
      <c r="L2279">
        <v>359</v>
      </c>
      <c r="M2279">
        <v>25</v>
      </c>
      <c r="N2279">
        <v>282</v>
      </c>
      <c r="O2279">
        <v>36</v>
      </c>
      <c r="P2279">
        <v>262</v>
      </c>
      <c r="Q2279">
        <v>267</v>
      </c>
      <c r="R2279">
        <v>346</v>
      </c>
      <c r="S2279">
        <v>249</v>
      </c>
      <c r="T2279" t="s">
        <v>104</v>
      </c>
      <c r="U2279" t="s">
        <v>77</v>
      </c>
      <c r="V2279" t="s">
        <v>118</v>
      </c>
      <c r="W2279" t="s">
        <v>31</v>
      </c>
      <c r="X2279" t="s">
        <v>31</v>
      </c>
      <c r="Y2279" t="s">
        <v>31</v>
      </c>
    </row>
    <row r="2280" spans="1:25" hidden="1">
      <c r="A2280" t="s">
        <v>25</v>
      </c>
      <c r="B2280" t="s">
        <v>26</v>
      </c>
      <c r="C2280" t="s">
        <v>62</v>
      </c>
      <c r="D2280" s="1">
        <v>45535</v>
      </c>
      <c r="E2280" s="2">
        <v>0.66666666666666663</v>
      </c>
      <c r="F2280" t="s">
        <v>52</v>
      </c>
      <c r="G2280" t="s">
        <v>63</v>
      </c>
      <c r="H2280">
        <v>1</v>
      </c>
      <c r="I2280">
        <v>1</v>
      </c>
      <c r="J2280" t="s">
        <v>41</v>
      </c>
      <c r="K2280">
        <v>196</v>
      </c>
      <c r="L2280">
        <v>411</v>
      </c>
      <c r="M2280">
        <v>355</v>
      </c>
      <c r="N2280">
        <v>199</v>
      </c>
      <c r="O2280">
        <v>411</v>
      </c>
      <c r="P2280">
        <v>36</v>
      </c>
      <c r="Q2280">
        <v>192</v>
      </c>
      <c r="R2280">
        <v>387</v>
      </c>
      <c r="S2280">
        <v>348</v>
      </c>
      <c r="T2280" t="s">
        <v>119</v>
      </c>
      <c r="U2280" t="s">
        <v>83</v>
      </c>
      <c r="V2280" t="s">
        <v>116</v>
      </c>
      <c r="W2280" t="s">
        <v>31</v>
      </c>
      <c r="X2280" t="s">
        <v>31</v>
      </c>
      <c r="Y2280" t="s">
        <v>31</v>
      </c>
    </row>
    <row r="2281" spans="1:25" hidden="1">
      <c r="A2281" t="s">
        <v>25</v>
      </c>
      <c r="B2281" t="s">
        <v>26</v>
      </c>
      <c r="C2281" t="s">
        <v>62</v>
      </c>
      <c r="D2281" s="1">
        <v>45535</v>
      </c>
      <c r="E2281" s="2">
        <v>0.77083333333333337</v>
      </c>
      <c r="F2281" t="s">
        <v>28</v>
      </c>
      <c r="G2281" t="s">
        <v>54</v>
      </c>
      <c r="H2281">
        <v>4</v>
      </c>
      <c r="I2281">
        <v>2</v>
      </c>
      <c r="J2281" t="s">
        <v>34</v>
      </c>
      <c r="K2281">
        <v>133</v>
      </c>
      <c r="L2281">
        <v>546</v>
      </c>
      <c r="M2281">
        <v>952</v>
      </c>
      <c r="N2281">
        <v>136</v>
      </c>
      <c r="O2281">
        <v>598</v>
      </c>
      <c r="P2281">
        <v>96</v>
      </c>
      <c r="Q2281">
        <v>131</v>
      </c>
      <c r="R2281">
        <v>542</v>
      </c>
      <c r="S2281">
        <v>827</v>
      </c>
      <c r="T2281" t="s">
        <v>120</v>
      </c>
      <c r="U2281" t="s">
        <v>121</v>
      </c>
      <c r="V2281" t="s">
        <v>88</v>
      </c>
      <c r="W2281" t="s">
        <v>31</v>
      </c>
      <c r="X2281" t="s">
        <v>31</v>
      </c>
      <c r="Y2281" t="s">
        <v>31</v>
      </c>
    </row>
    <row r="2282" spans="1:25" hidden="1">
      <c r="A2282" t="s">
        <v>25</v>
      </c>
      <c r="B2282" t="s">
        <v>26</v>
      </c>
      <c r="C2282" t="s">
        <v>62</v>
      </c>
      <c r="D2282" s="1">
        <v>45536</v>
      </c>
      <c r="E2282" s="2">
        <v>0.66666666666666663</v>
      </c>
      <c r="F2282" t="s">
        <v>45</v>
      </c>
      <c r="G2282" t="s">
        <v>40</v>
      </c>
      <c r="H2282">
        <v>1</v>
      </c>
      <c r="I2282">
        <v>1</v>
      </c>
      <c r="J2282" t="s">
        <v>41</v>
      </c>
      <c r="K2282">
        <v>316</v>
      </c>
      <c r="L2282">
        <v>377</v>
      </c>
      <c r="M2282">
        <v>221</v>
      </c>
      <c r="N2282">
        <v>32</v>
      </c>
      <c r="O2282">
        <v>382</v>
      </c>
      <c r="P2282">
        <v>225</v>
      </c>
      <c r="Q2282">
        <v>303</v>
      </c>
      <c r="R2282">
        <v>362</v>
      </c>
      <c r="S2282">
        <v>217</v>
      </c>
      <c r="T2282" t="s">
        <v>103</v>
      </c>
      <c r="U2282" t="s">
        <v>71</v>
      </c>
      <c r="V2282" t="s">
        <v>122</v>
      </c>
      <c r="W2282" t="s">
        <v>31</v>
      </c>
      <c r="X2282" t="s">
        <v>31</v>
      </c>
      <c r="Y2282" t="s">
        <v>31</v>
      </c>
    </row>
    <row r="2283" spans="1:25" hidden="1">
      <c r="A2283" t="s">
        <v>25</v>
      </c>
      <c r="B2283" t="s">
        <v>26</v>
      </c>
      <c r="C2283" t="s">
        <v>62</v>
      </c>
      <c r="D2283" s="1">
        <v>45536</v>
      </c>
      <c r="E2283" s="2">
        <v>0.66666666666666663</v>
      </c>
      <c r="F2283" t="s">
        <v>50</v>
      </c>
      <c r="G2283" t="s">
        <v>39</v>
      </c>
      <c r="H2283">
        <v>1</v>
      </c>
      <c r="I2283">
        <v>5</v>
      </c>
      <c r="J2283" t="s">
        <v>30</v>
      </c>
      <c r="K2283">
        <v>197</v>
      </c>
      <c r="L2283">
        <v>376</v>
      </c>
      <c r="M2283">
        <v>381</v>
      </c>
      <c r="N2283">
        <v>2</v>
      </c>
      <c r="O2283">
        <v>389</v>
      </c>
      <c r="P2283">
        <v>381</v>
      </c>
      <c r="Q2283">
        <v>194</v>
      </c>
      <c r="R2283">
        <v>367</v>
      </c>
      <c r="S2283">
        <v>358</v>
      </c>
      <c r="T2283" t="s">
        <v>123</v>
      </c>
      <c r="U2283" t="s">
        <v>92</v>
      </c>
      <c r="V2283" t="s">
        <v>116</v>
      </c>
      <c r="W2283" t="s">
        <v>31</v>
      </c>
      <c r="X2283" t="s">
        <v>31</v>
      </c>
      <c r="Y2283" t="s">
        <v>31</v>
      </c>
    </row>
    <row r="2284" spans="1:25" hidden="1">
      <c r="A2284" t="s">
        <v>25</v>
      </c>
      <c r="B2284" t="s">
        <v>26</v>
      </c>
      <c r="C2284" t="s">
        <v>62</v>
      </c>
      <c r="D2284" s="1">
        <v>45536</v>
      </c>
      <c r="E2284" s="2">
        <v>0.66666666666666663</v>
      </c>
      <c r="F2284" t="s">
        <v>35</v>
      </c>
      <c r="G2284" t="s">
        <v>29</v>
      </c>
      <c r="H2284">
        <v>3</v>
      </c>
      <c r="I2284">
        <v>2</v>
      </c>
      <c r="J2284" t="s">
        <v>34</v>
      </c>
      <c r="K2284">
        <v>338</v>
      </c>
      <c r="L2284">
        <v>402</v>
      </c>
      <c r="M2284">
        <v>204</v>
      </c>
      <c r="N2284">
        <v>381</v>
      </c>
      <c r="O2284">
        <v>41</v>
      </c>
      <c r="P2284">
        <v>204</v>
      </c>
      <c r="Q2284">
        <v>342</v>
      </c>
      <c r="R2284">
        <v>395</v>
      </c>
      <c r="S2284">
        <v>192</v>
      </c>
      <c r="T2284" t="s">
        <v>77</v>
      </c>
      <c r="U2284" t="s">
        <v>75</v>
      </c>
      <c r="V2284" t="s">
        <v>123</v>
      </c>
      <c r="W2284" t="s">
        <v>31</v>
      </c>
      <c r="X2284" t="s">
        <v>31</v>
      </c>
      <c r="Y2284" t="s">
        <v>31</v>
      </c>
    </row>
    <row r="2285" spans="1:25" hidden="1">
      <c r="A2285" t="s">
        <v>25</v>
      </c>
      <c r="B2285" t="s">
        <v>26</v>
      </c>
      <c r="C2285" t="s">
        <v>62</v>
      </c>
      <c r="D2285" s="1">
        <v>45549</v>
      </c>
      <c r="E2285" s="2">
        <v>0.66666666666666663</v>
      </c>
      <c r="F2285" t="s">
        <v>39</v>
      </c>
      <c r="G2285" t="s">
        <v>35</v>
      </c>
      <c r="H2285">
        <v>1</v>
      </c>
      <c r="I2285">
        <v>1</v>
      </c>
      <c r="J2285" t="s">
        <v>41</v>
      </c>
      <c r="K2285">
        <v>309</v>
      </c>
      <c r="L2285">
        <v>384</v>
      </c>
      <c r="M2285">
        <v>222</v>
      </c>
      <c r="N2285">
        <v>32</v>
      </c>
      <c r="O2285">
        <v>393</v>
      </c>
      <c r="P2285">
        <v>223</v>
      </c>
      <c r="Q2285">
        <v>3</v>
      </c>
      <c r="R2285">
        <v>372</v>
      </c>
      <c r="S2285">
        <v>216</v>
      </c>
      <c r="T2285" t="s">
        <v>110</v>
      </c>
      <c r="U2285" t="s">
        <v>74</v>
      </c>
      <c r="V2285" t="s">
        <v>124</v>
      </c>
      <c r="W2285" t="s">
        <v>31</v>
      </c>
      <c r="X2285" t="s">
        <v>31</v>
      </c>
      <c r="Y2285" t="s">
        <v>31</v>
      </c>
    </row>
    <row r="2286" spans="1:25" hidden="1">
      <c r="A2286" t="s">
        <v>25</v>
      </c>
      <c r="B2286" t="s">
        <v>26</v>
      </c>
      <c r="C2286" t="s">
        <v>62</v>
      </c>
      <c r="D2286" s="1">
        <v>45549</v>
      </c>
      <c r="E2286" s="2">
        <v>0.77083333333333337</v>
      </c>
      <c r="F2286" t="s">
        <v>61</v>
      </c>
      <c r="G2286" t="s">
        <v>50</v>
      </c>
      <c r="H2286">
        <v>1</v>
      </c>
      <c r="I2286">
        <v>0</v>
      </c>
      <c r="J2286" t="s">
        <v>34</v>
      </c>
      <c r="K2286">
        <v>371</v>
      </c>
      <c r="L2286">
        <v>358</v>
      </c>
      <c r="M2286">
        <v>206</v>
      </c>
      <c r="N2286">
        <v>386</v>
      </c>
      <c r="O2286">
        <v>364</v>
      </c>
      <c r="P2286">
        <v>208</v>
      </c>
      <c r="Q2286">
        <v>359</v>
      </c>
      <c r="R2286">
        <v>349</v>
      </c>
      <c r="S2286">
        <v>2</v>
      </c>
      <c r="T2286" t="s">
        <v>125</v>
      </c>
      <c r="U2286" t="s">
        <v>77</v>
      </c>
      <c r="V2286" t="s">
        <v>99</v>
      </c>
      <c r="W2286" t="s">
        <v>31</v>
      </c>
      <c r="X2286" t="s">
        <v>31</v>
      </c>
      <c r="Y2286" t="s">
        <v>31</v>
      </c>
    </row>
    <row r="2287" spans="1:25" hidden="1">
      <c r="A2287" t="s">
        <v>25</v>
      </c>
      <c r="B2287" t="s">
        <v>26</v>
      </c>
      <c r="C2287" t="s">
        <v>62</v>
      </c>
      <c r="D2287" s="1">
        <v>45550</v>
      </c>
      <c r="E2287" s="2">
        <v>0.5625</v>
      </c>
      <c r="F2287" t="s">
        <v>63</v>
      </c>
      <c r="G2287" t="s">
        <v>45</v>
      </c>
      <c r="H2287">
        <v>1</v>
      </c>
      <c r="I2287">
        <v>1</v>
      </c>
      <c r="J2287" t="s">
        <v>41</v>
      </c>
      <c r="K2287">
        <v>244</v>
      </c>
      <c r="L2287">
        <v>345</v>
      </c>
      <c r="M2287">
        <v>3</v>
      </c>
      <c r="N2287">
        <v>244</v>
      </c>
      <c r="O2287">
        <v>35</v>
      </c>
      <c r="P2287">
        <v>3</v>
      </c>
      <c r="Q2287">
        <v>237</v>
      </c>
      <c r="R2287">
        <v>336</v>
      </c>
      <c r="S2287">
        <v>291</v>
      </c>
      <c r="T2287" t="s">
        <v>102</v>
      </c>
      <c r="U2287" t="s">
        <v>80</v>
      </c>
      <c r="V2287" t="s">
        <v>126</v>
      </c>
      <c r="W2287" t="s">
        <v>31</v>
      </c>
      <c r="X2287" t="s">
        <v>31</v>
      </c>
      <c r="Y2287" t="s">
        <v>31</v>
      </c>
    </row>
    <row r="2288" spans="1:25" hidden="1">
      <c r="A2288" t="s">
        <v>25</v>
      </c>
      <c r="B2288" t="s">
        <v>26</v>
      </c>
      <c r="C2288" t="s">
        <v>62</v>
      </c>
      <c r="D2288" s="1">
        <v>45556</v>
      </c>
      <c r="E2288" s="2">
        <v>0.66666666666666663</v>
      </c>
      <c r="F2288" t="s">
        <v>56</v>
      </c>
      <c r="G2288" t="s">
        <v>52</v>
      </c>
      <c r="H2288">
        <v>2</v>
      </c>
      <c r="I2288">
        <v>2</v>
      </c>
      <c r="J2288" t="s">
        <v>41</v>
      </c>
      <c r="K2288">
        <v>286</v>
      </c>
      <c r="L2288">
        <v>369</v>
      </c>
      <c r="M2288">
        <v>242</v>
      </c>
      <c r="N2288">
        <v>32</v>
      </c>
      <c r="O2288">
        <v>372</v>
      </c>
      <c r="P2288">
        <v>243</v>
      </c>
      <c r="Q2288">
        <v>283</v>
      </c>
      <c r="R2288">
        <v>359</v>
      </c>
      <c r="S2288">
        <v>231</v>
      </c>
      <c r="T2288" t="s">
        <v>79</v>
      </c>
      <c r="U2288" t="s">
        <v>114</v>
      </c>
      <c r="V2288" t="s">
        <v>127</v>
      </c>
      <c r="W2288" t="s">
        <v>31</v>
      </c>
      <c r="X2288" t="s">
        <v>31</v>
      </c>
      <c r="Y2288" t="s">
        <v>31</v>
      </c>
    </row>
    <row r="2289" spans="1:25" hidden="1">
      <c r="A2289" t="s">
        <v>25</v>
      </c>
      <c r="B2289" t="s">
        <v>26</v>
      </c>
      <c r="C2289" t="s">
        <v>62</v>
      </c>
      <c r="D2289" s="1">
        <v>45556</v>
      </c>
      <c r="E2289" s="2">
        <v>0.66666666666666663</v>
      </c>
      <c r="F2289" t="s">
        <v>45</v>
      </c>
      <c r="G2289" t="s">
        <v>61</v>
      </c>
      <c r="H2289">
        <v>0</v>
      </c>
      <c r="I2289">
        <v>1</v>
      </c>
      <c r="J2289" t="s">
        <v>30</v>
      </c>
      <c r="K2289">
        <v>245</v>
      </c>
      <c r="L2289">
        <v>334</v>
      </c>
      <c r="M2289">
        <v>307</v>
      </c>
      <c r="N2289">
        <v>245</v>
      </c>
      <c r="O2289">
        <v>34</v>
      </c>
      <c r="P2289">
        <v>34</v>
      </c>
      <c r="Q2289">
        <v>231</v>
      </c>
      <c r="R2289">
        <v>326</v>
      </c>
      <c r="S2289">
        <v>308</v>
      </c>
      <c r="T2289" t="s">
        <v>128</v>
      </c>
      <c r="U2289" t="s">
        <v>93</v>
      </c>
      <c r="V2289" t="s">
        <v>86</v>
      </c>
      <c r="W2289" t="s">
        <v>31</v>
      </c>
      <c r="X2289" t="s">
        <v>31</v>
      </c>
      <c r="Y2289" t="s">
        <v>31</v>
      </c>
    </row>
    <row r="2290" spans="1:25" hidden="1">
      <c r="A2290" t="s">
        <v>25</v>
      </c>
      <c r="B2290" t="s">
        <v>26</v>
      </c>
      <c r="C2290" t="s">
        <v>62</v>
      </c>
      <c r="D2290" s="1">
        <v>45556</v>
      </c>
      <c r="E2290" s="2">
        <v>0.66666666666666663</v>
      </c>
      <c r="F2290" t="s">
        <v>50</v>
      </c>
      <c r="G2290" t="s">
        <v>63</v>
      </c>
      <c r="H2290">
        <v>4</v>
      </c>
      <c r="I2290">
        <v>2</v>
      </c>
      <c r="J2290" t="s">
        <v>34</v>
      </c>
      <c r="K2290">
        <v>179</v>
      </c>
      <c r="L2290">
        <v>387</v>
      </c>
      <c r="M2290">
        <v>453</v>
      </c>
      <c r="N2290">
        <v>181</v>
      </c>
      <c r="O2290">
        <v>4</v>
      </c>
      <c r="P2290">
        <v>453</v>
      </c>
      <c r="Q2290">
        <v>175</v>
      </c>
      <c r="R2290">
        <v>384</v>
      </c>
      <c r="S2290">
        <v>427</v>
      </c>
      <c r="T2290" t="s">
        <v>117</v>
      </c>
      <c r="U2290" t="s">
        <v>129</v>
      </c>
      <c r="V2290" t="s">
        <v>115</v>
      </c>
      <c r="W2290" t="s">
        <v>31</v>
      </c>
      <c r="X2290" t="s">
        <v>31</v>
      </c>
      <c r="Y2290" t="s">
        <v>31</v>
      </c>
    </row>
    <row r="2291" spans="1:25" hidden="1">
      <c r="A2291" t="s">
        <v>25</v>
      </c>
      <c r="B2291" t="s">
        <v>26</v>
      </c>
      <c r="C2291" t="s">
        <v>62</v>
      </c>
      <c r="D2291" s="1">
        <v>45557</v>
      </c>
      <c r="E2291" s="2">
        <v>0.5625</v>
      </c>
      <c r="F2291" t="s">
        <v>28</v>
      </c>
      <c r="G2291" t="s">
        <v>39</v>
      </c>
      <c r="H2291">
        <v>0</v>
      </c>
      <c r="I2291">
        <v>3</v>
      </c>
      <c r="J2291" t="s">
        <v>30</v>
      </c>
      <c r="K2291">
        <v>171</v>
      </c>
      <c r="L2291">
        <v>434</v>
      </c>
      <c r="M2291">
        <v>452</v>
      </c>
      <c r="N2291">
        <v>175</v>
      </c>
      <c r="O2291">
        <v>434</v>
      </c>
      <c r="P2291">
        <v>501</v>
      </c>
      <c r="Q2291">
        <v>17</v>
      </c>
      <c r="R2291">
        <v>409</v>
      </c>
      <c r="S2291">
        <v>438</v>
      </c>
      <c r="T2291" t="s">
        <v>130</v>
      </c>
      <c r="U2291" t="s">
        <v>100</v>
      </c>
      <c r="V2291" t="s">
        <v>89</v>
      </c>
      <c r="W2291" t="s">
        <v>31</v>
      </c>
      <c r="X2291" t="s">
        <v>31</v>
      </c>
      <c r="Y2291" t="s">
        <v>31</v>
      </c>
    </row>
    <row r="2292" spans="1:25" hidden="1">
      <c r="A2292" t="s">
        <v>25</v>
      </c>
      <c r="B2292" t="s">
        <v>26</v>
      </c>
      <c r="C2292" t="s">
        <v>62</v>
      </c>
      <c r="D2292" s="1">
        <v>45557</v>
      </c>
      <c r="E2292" s="2">
        <v>0.5625</v>
      </c>
      <c r="F2292" t="s">
        <v>54</v>
      </c>
      <c r="G2292" t="s">
        <v>29</v>
      </c>
      <c r="H2292">
        <v>0</v>
      </c>
      <c r="I2292">
        <v>0</v>
      </c>
      <c r="J2292" t="s">
        <v>41</v>
      </c>
      <c r="K2292">
        <v>908</v>
      </c>
      <c r="L2292">
        <v>614</v>
      </c>
      <c r="M2292">
        <v>13</v>
      </c>
      <c r="N2292">
        <v>95</v>
      </c>
      <c r="O2292">
        <v>65</v>
      </c>
      <c r="P2292">
        <v>134</v>
      </c>
      <c r="Q2292">
        <v>872</v>
      </c>
      <c r="R2292">
        <v>581</v>
      </c>
      <c r="S2292">
        <v>129</v>
      </c>
      <c r="T2292" t="s">
        <v>64</v>
      </c>
      <c r="U2292" t="s">
        <v>131</v>
      </c>
      <c r="V2292" t="s">
        <v>87</v>
      </c>
      <c r="W2292" t="s">
        <v>31</v>
      </c>
      <c r="X2292" t="s">
        <v>31</v>
      </c>
      <c r="Y2292" t="s">
        <v>31</v>
      </c>
    </row>
    <row r="2293" spans="1:25" hidden="1">
      <c r="A2293" t="s">
        <v>25</v>
      </c>
      <c r="B2293" t="s">
        <v>26</v>
      </c>
      <c r="C2293" t="s">
        <v>62</v>
      </c>
      <c r="D2293" s="1">
        <v>45557</v>
      </c>
      <c r="E2293" s="2">
        <v>0.66666666666666663</v>
      </c>
      <c r="F2293" t="s">
        <v>35</v>
      </c>
      <c r="G2293" t="s">
        <v>40</v>
      </c>
      <c r="H2293">
        <v>2</v>
      </c>
      <c r="I2293">
        <v>1</v>
      </c>
      <c r="J2293" t="s">
        <v>34</v>
      </c>
      <c r="K2293">
        <v>173</v>
      </c>
      <c r="L2293">
        <v>43</v>
      </c>
      <c r="M2293">
        <v>442</v>
      </c>
      <c r="N2293">
        <v>191</v>
      </c>
      <c r="O2293">
        <v>43</v>
      </c>
      <c r="P2293">
        <v>442</v>
      </c>
      <c r="Q2293">
        <v>172</v>
      </c>
      <c r="R2293">
        <v>413</v>
      </c>
      <c r="S2293">
        <v>42</v>
      </c>
      <c r="T2293" t="s">
        <v>132</v>
      </c>
      <c r="U2293" t="s">
        <v>100</v>
      </c>
      <c r="V2293" t="s">
        <v>115</v>
      </c>
      <c r="W2293" t="s">
        <v>31</v>
      </c>
      <c r="X2293" t="s">
        <v>31</v>
      </c>
      <c r="Y2293" t="s">
        <v>31</v>
      </c>
    </row>
    <row r="2294" spans="1:25" hidden="1">
      <c r="A2294" t="s">
        <v>25</v>
      </c>
      <c r="B2294" t="s">
        <v>26</v>
      </c>
      <c r="C2294" t="s">
        <v>62</v>
      </c>
      <c r="D2294" s="1">
        <v>45560</v>
      </c>
      <c r="E2294" s="2">
        <v>0.72916666666666663</v>
      </c>
      <c r="F2294" t="s">
        <v>40</v>
      </c>
      <c r="G2294" t="s">
        <v>28</v>
      </c>
      <c r="H2294">
        <v>2</v>
      </c>
      <c r="I2294">
        <v>2</v>
      </c>
      <c r="J2294" t="s">
        <v>41</v>
      </c>
      <c r="K2294">
        <v>28</v>
      </c>
      <c r="L2294">
        <v>366</v>
      </c>
      <c r="M2294">
        <v>248</v>
      </c>
      <c r="N2294">
        <v>293</v>
      </c>
      <c r="O2294">
        <v>373</v>
      </c>
      <c r="P2294">
        <v>25</v>
      </c>
      <c r="Q2294">
        <v>272</v>
      </c>
      <c r="R2294">
        <v>358</v>
      </c>
      <c r="S2294">
        <v>239</v>
      </c>
      <c r="T2294" t="s">
        <v>133</v>
      </c>
      <c r="U2294" t="s">
        <v>92</v>
      </c>
      <c r="V2294" t="s">
        <v>134</v>
      </c>
      <c r="W2294" t="s">
        <v>31</v>
      </c>
      <c r="X2294" t="s">
        <v>31</v>
      </c>
      <c r="Y2294" t="s">
        <v>31</v>
      </c>
    </row>
    <row r="2295" spans="1:25" hidden="1">
      <c r="A2295" t="s">
        <v>25</v>
      </c>
      <c r="B2295" t="s">
        <v>26</v>
      </c>
      <c r="C2295" t="s">
        <v>62</v>
      </c>
      <c r="D2295" s="1">
        <v>45561</v>
      </c>
      <c r="E2295" s="2">
        <v>0.72916666666666663</v>
      </c>
      <c r="F2295" t="s">
        <v>52</v>
      </c>
      <c r="G2295" t="s">
        <v>54</v>
      </c>
      <c r="H2295">
        <v>1</v>
      </c>
      <c r="I2295">
        <v>0</v>
      </c>
      <c r="J2295" t="s">
        <v>34</v>
      </c>
      <c r="K2295">
        <v>202</v>
      </c>
      <c r="L2295">
        <v>372</v>
      </c>
      <c r="M2295">
        <v>37</v>
      </c>
      <c r="N2295">
        <v>204</v>
      </c>
      <c r="O2295">
        <v>4</v>
      </c>
      <c r="P2295">
        <v>38</v>
      </c>
      <c r="Q2295">
        <v>193</v>
      </c>
      <c r="R2295">
        <v>366</v>
      </c>
      <c r="S2295">
        <v>363</v>
      </c>
      <c r="T2295" t="s">
        <v>135</v>
      </c>
      <c r="U2295" t="s">
        <v>125</v>
      </c>
      <c r="V2295" t="s">
        <v>116</v>
      </c>
      <c r="W2295" t="s">
        <v>31</v>
      </c>
      <c r="X2295" t="s">
        <v>31</v>
      </c>
      <c r="Y2295" t="s">
        <v>31</v>
      </c>
    </row>
    <row r="2296" spans="1:25" hidden="1">
      <c r="A2296" t="s">
        <v>25</v>
      </c>
      <c r="B2296" t="s">
        <v>26</v>
      </c>
      <c r="C2296" t="s">
        <v>62</v>
      </c>
      <c r="D2296" s="1">
        <v>45563</v>
      </c>
      <c r="E2296" s="2">
        <v>0.66666666666666663</v>
      </c>
      <c r="F2296" t="s">
        <v>61</v>
      </c>
      <c r="G2296" t="s">
        <v>28</v>
      </c>
      <c r="H2296">
        <v>1</v>
      </c>
      <c r="I2296">
        <v>2</v>
      </c>
      <c r="J2296" t="s">
        <v>30</v>
      </c>
      <c r="K2296">
        <v>362</v>
      </c>
      <c r="L2296">
        <v>361</v>
      </c>
      <c r="M2296">
        <v>208</v>
      </c>
      <c r="N2296">
        <v>362</v>
      </c>
      <c r="O2296">
        <v>367</v>
      </c>
      <c r="P2296">
        <v>213</v>
      </c>
      <c r="Q2296">
        <v>342</v>
      </c>
      <c r="R2296">
        <v>35</v>
      </c>
      <c r="S2296">
        <v>205</v>
      </c>
      <c r="T2296" t="s">
        <v>71</v>
      </c>
      <c r="U2296" t="s">
        <v>68</v>
      </c>
      <c r="V2296" t="s">
        <v>136</v>
      </c>
      <c r="W2296" t="s">
        <v>31</v>
      </c>
      <c r="X2296" t="s">
        <v>31</v>
      </c>
      <c r="Y2296" t="s">
        <v>31</v>
      </c>
    </row>
    <row r="2297" spans="1:25" hidden="1">
      <c r="A2297" t="s">
        <v>25</v>
      </c>
      <c r="B2297" t="s">
        <v>26</v>
      </c>
      <c r="C2297" t="s">
        <v>62</v>
      </c>
      <c r="D2297" s="1">
        <v>45563</v>
      </c>
      <c r="E2297" s="2">
        <v>0.66666666666666663</v>
      </c>
      <c r="F2297" t="s">
        <v>29</v>
      </c>
      <c r="G2297" t="s">
        <v>40</v>
      </c>
      <c r="H2297">
        <v>2</v>
      </c>
      <c r="I2297">
        <v>0</v>
      </c>
      <c r="J2297" t="s">
        <v>34</v>
      </c>
      <c r="K2297">
        <v>145</v>
      </c>
      <c r="L2297">
        <v>546</v>
      </c>
      <c r="M2297">
        <v>609</v>
      </c>
      <c r="N2297">
        <v>148</v>
      </c>
      <c r="O2297">
        <v>55</v>
      </c>
      <c r="P2297">
        <v>65</v>
      </c>
      <c r="Q2297">
        <v>143</v>
      </c>
      <c r="R2297">
        <v>515</v>
      </c>
      <c r="S2297">
        <v>579</v>
      </c>
      <c r="T2297" t="s">
        <v>137</v>
      </c>
      <c r="U2297" t="s">
        <v>107</v>
      </c>
      <c r="V2297" t="s">
        <v>138</v>
      </c>
      <c r="W2297" t="s">
        <v>31</v>
      </c>
      <c r="X2297" t="s">
        <v>31</v>
      </c>
      <c r="Y2297" t="s">
        <v>31</v>
      </c>
    </row>
    <row r="2298" spans="1:25" hidden="1">
      <c r="A2298" t="s">
        <v>25</v>
      </c>
      <c r="B2298" t="s">
        <v>26</v>
      </c>
      <c r="C2298" t="s">
        <v>62</v>
      </c>
      <c r="D2298" s="1">
        <v>45563</v>
      </c>
      <c r="E2298" s="2">
        <v>0.66666666666666663</v>
      </c>
      <c r="F2298" t="s">
        <v>35</v>
      </c>
      <c r="G2298" t="s">
        <v>50</v>
      </c>
      <c r="H2298">
        <v>1</v>
      </c>
      <c r="I2298">
        <v>1</v>
      </c>
      <c r="J2298" t="s">
        <v>41</v>
      </c>
      <c r="K2298">
        <v>188</v>
      </c>
      <c r="L2298">
        <v>405</v>
      </c>
      <c r="M2298">
        <v>39</v>
      </c>
      <c r="N2298">
        <v>191</v>
      </c>
      <c r="O2298">
        <v>405</v>
      </c>
      <c r="P2298">
        <v>395</v>
      </c>
      <c r="Q2298">
        <v>185</v>
      </c>
      <c r="R2298">
        <v>388</v>
      </c>
      <c r="S2298">
        <v>374</v>
      </c>
      <c r="T2298" t="s">
        <v>139</v>
      </c>
      <c r="U2298" t="s">
        <v>83</v>
      </c>
      <c r="V2298" t="s">
        <v>129</v>
      </c>
      <c r="W2298" t="s">
        <v>31</v>
      </c>
      <c r="X2298" t="s">
        <v>31</v>
      </c>
      <c r="Y2298" t="s">
        <v>31</v>
      </c>
    </row>
    <row r="2299" spans="1:25" hidden="1">
      <c r="A2299" t="s">
        <v>25</v>
      </c>
      <c r="B2299" t="s">
        <v>26</v>
      </c>
      <c r="C2299" t="s">
        <v>62</v>
      </c>
      <c r="D2299" s="1">
        <v>45564</v>
      </c>
      <c r="E2299" s="2">
        <v>0.5625</v>
      </c>
      <c r="F2299" t="s">
        <v>52</v>
      </c>
      <c r="G2299" t="s">
        <v>45</v>
      </c>
      <c r="H2299">
        <v>2</v>
      </c>
      <c r="I2299">
        <v>0</v>
      </c>
      <c r="J2299" t="s">
        <v>34</v>
      </c>
      <c r="K2299">
        <v>198</v>
      </c>
      <c r="L2299">
        <v>35</v>
      </c>
      <c r="M2299">
        <v>411</v>
      </c>
      <c r="N2299">
        <v>205</v>
      </c>
      <c r="O2299">
        <v>36</v>
      </c>
      <c r="P2299">
        <v>411</v>
      </c>
      <c r="Q2299">
        <v>196</v>
      </c>
      <c r="R2299">
        <v>341</v>
      </c>
      <c r="S2299">
        <v>382</v>
      </c>
      <c r="T2299" t="s">
        <v>101</v>
      </c>
      <c r="U2299" t="s">
        <v>77</v>
      </c>
      <c r="V2299" t="s">
        <v>83</v>
      </c>
      <c r="W2299" t="s">
        <v>31</v>
      </c>
      <c r="X2299" t="s">
        <v>31</v>
      </c>
      <c r="Y2299" t="s">
        <v>31</v>
      </c>
    </row>
    <row r="2300" spans="1:25" hidden="1">
      <c r="A2300" t="s">
        <v>25</v>
      </c>
      <c r="B2300" t="s">
        <v>26</v>
      </c>
      <c r="C2300" t="s">
        <v>62</v>
      </c>
      <c r="D2300" s="1">
        <v>45564</v>
      </c>
      <c r="E2300" s="2">
        <v>0.5625</v>
      </c>
      <c r="F2300" t="s">
        <v>39</v>
      </c>
      <c r="G2300" t="s">
        <v>54</v>
      </c>
      <c r="H2300">
        <v>1</v>
      </c>
      <c r="I2300">
        <v>3</v>
      </c>
      <c r="J2300" t="s">
        <v>30</v>
      </c>
      <c r="K2300">
        <v>167</v>
      </c>
      <c r="L2300">
        <v>413</v>
      </c>
      <c r="M2300">
        <v>514</v>
      </c>
      <c r="N2300">
        <v>167</v>
      </c>
      <c r="O2300">
        <v>42</v>
      </c>
      <c r="P2300">
        <v>537</v>
      </c>
      <c r="Q2300">
        <v>162</v>
      </c>
      <c r="R2300">
        <v>403</v>
      </c>
      <c r="S2300">
        <v>494</v>
      </c>
      <c r="T2300" t="s">
        <v>140</v>
      </c>
      <c r="U2300" t="s">
        <v>75</v>
      </c>
      <c r="V2300" t="s">
        <v>141</v>
      </c>
      <c r="W2300" t="s">
        <v>31</v>
      </c>
      <c r="X2300" t="s">
        <v>31</v>
      </c>
      <c r="Y2300" t="s">
        <v>31</v>
      </c>
    </row>
    <row r="2301" spans="1:25" hidden="1">
      <c r="A2301" t="s">
        <v>25</v>
      </c>
      <c r="B2301" t="s">
        <v>26</v>
      </c>
      <c r="C2301" t="s">
        <v>62</v>
      </c>
      <c r="D2301" s="1">
        <v>45564</v>
      </c>
      <c r="E2301" s="2">
        <v>0.66666666666666663</v>
      </c>
      <c r="F2301" t="s">
        <v>63</v>
      </c>
      <c r="G2301" t="s">
        <v>56</v>
      </c>
      <c r="H2301">
        <v>0</v>
      </c>
      <c r="I2301">
        <v>1</v>
      </c>
      <c r="J2301" t="s">
        <v>30</v>
      </c>
      <c r="K2301">
        <v>229</v>
      </c>
      <c r="L2301">
        <v>35</v>
      </c>
      <c r="M2301">
        <v>321</v>
      </c>
      <c r="N2301">
        <v>234</v>
      </c>
      <c r="O2301">
        <v>351</v>
      </c>
      <c r="P2301">
        <v>326</v>
      </c>
      <c r="Q2301">
        <v>225</v>
      </c>
      <c r="R2301">
        <v>338</v>
      </c>
      <c r="S2301">
        <v>309</v>
      </c>
      <c r="T2301" t="s">
        <v>142</v>
      </c>
      <c r="U2301" t="s">
        <v>68</v>
      </c>
      <c r="V2301" t="s">
        <v>143</v>
      </c>
      <c r="W2301" t="s">
        <v>31</v>
      </c>
      <c r="X2301" t="s">
        <v>31</v>
      </c>
      <c r="Y2301" t="s">
        <v>31</v>
      </c>
    </row>
    <row r="2302" spans="1:25" hidden="1">
      <c r="A2302" t="s">
        <v>25</v>
      </c>
      <c r="B2302" t="s">
        <v>26</v>
      </c>
      <c r="C2302" t="s">
        <v>62</v>
      </c>
      <c r="D2302" s="1">
        <v>45570</v>
      </c>
      <c r="E2302" s="2">
        <v>0.66666666666666663</v>
      </c>
      <c r="F2302" t="s">
        <v>40</v>
      </c>
      <c r="G2302" t="s">
        <v>63</v>
      </c>
      <c r="H2302">
        <v>2</v>
      </c>
      <c r="I2302">
        <v>1</v>
      </c>
      <c r="J2302" t="s">
        <v>34</v>
      </c>
      <c r="K2302">
        <v>172</v>
      </c>
      <c r="L2302">
        <v>428</v>
      </c>
      <c r="M2302">
        <v>45</v>
      </c>
      <c r="N2302">
        <v>173</v>
      </c>
      <c r="O2302">
        <v>433</v>
      </c>
      <c r="P2302">
        <v>46</v>
      </c>
      <c r="Q2302">
        <v>169</v>
      </c>
      <c r="R2302">
        <v>411</v>
      </c>
      <c r="S2302">
        <v>438</v>
      </c>
      <c r="T2302" t="s">
        <v>90</v>
      </c>
      <c r="U2302" t="s">
        <v>69</v>
      </c>
      <c r="V2302" t="s">
        <v>115</v>
      </c>
      <c r="W2302" t="s">
        <v>31</v>
      </c>
      <c r="X2302" t="s">
        <v>31</v>
      </c>
      <c r="Y2302" t="s">
        <v>31</v>
      </c>
    </row>
    <row r="2303" spans="1:25" hidden="1">
      <c r="A2303" t="s">
        <v>25</v>
      </c>
      <c r="B2303" t="s">
        <v>26</v>
      </c>
      <c r="C2303" t="s">
        <v>62</v>
      </c>
      <c r="D2303" s="1">
        <v>45570</v>
      </c>
      <c r="E2303" s="2">
        <v>0.66666666666666663</v>
      </c>
      <c r="F2303" t="s">
        <v>54</v>
      </c>
      <c r="G2303" t="s">
        <v>61</v>
      </c>
      <c r="H2303">
        <v>1</v>
      </c>
      <c r="I2303">
        <v>1</v>
      </c>
      <c r="J2303" t="s">
        <v>41</v>
      </c>
      <c r="K2303">
        <v>281</v>
      </c>
      <c r="L2303">
        <v>323</v>
      </c>
      <c r="M2303">
        <v>272</v>
      </c>
      <c r="N2303">
        <v>282</v>
      </c>
      <c r="O2303">
        <v>332</v>
      </c>
      <c r="P2303">
        <v>274</v>
      </c>
      <c r="Q2303">
        <v>272</v>
      </c>
      <c r="R2303">
        <v>318</v>
      </c>
      <c r="S2303">
        <v>261</v>
      </c>
      <c r="T2303" t="s">
        <v>104</v>
      </c>
      <c r="U2303" t="s">
        <v>93</v>
      </c>
      <c r="V2303" t="s">
        <v>104</v>
      </c>
      <c r="W2303" t="s">
        <v>31</v>
      </c>
      <c r="X2303" t="s">
        <v>31</v>
      </c>
      <c r="Y2303" t="s">
        <v>31</v>
      </c>
    </row>
    <row r="2304" spans="1:25" hidden="1">
      <c r="A2304" t="s">
        <v>25</v>
      </c>
      <c r="B2304" t="s">
        <v>26</v>
      </c>
      <c r="C2304" t="s">
        <v>62</v>
      </c>
      <c r="D2304" s="1">
        <v>45570</v>
      </c>
      <c r="E2304" s="2">
        <v>0.66666666666666663</v>
      </c>
      <c r="F2304" t="s">
        <v>39</v>
      </c>
      <c r="G2304" t="s">
        <v>52</v>
      </c>
      <c r="H2304">
        <v>2</v>
      </c>
      <c r="I2304">
        <v>3</v>
      </c>
      <c r="J2304" t="s">
        <v>30</v>
      </c>
      <c r="K2304">
        <v>247</v>
      </c>
      <c r="L2304">
        <v>335</v>
      </c>
      <c r="M2304">
        <v>304</v>
      </c>
      <c r="N2304">
        <v>25</v>
      </c>
      <c r="O2304">
        <v>345</v>
      </c>
      <c r="P2304">
        <v>325</v>
      </c>
      <c r="Q2304">
        <v>235</v>
      </c>
      <c r="R2304">
        <v>33</v>
      </c>
      <c r="S2304">
        <v>299</v>
      </c>
      <c r="T2304" t="s">
        <v>128</v>
      </c>
      <c r="U2304" t="s">
        <v>144</v>
      </c>
      <c r="V2304" t="s">
        <v>110</v>
      </c>
      <c r="W2304" t="s">
        <v>31</v>
      </c>
      <c r="X2304" t="s">
        <v>31</v>
      </c>
      <c r="Y2304" t="s">
        <v>31</v>
      </c>
    </row>
    <row r="2305" spans="1:25" hidden="1">
      <c r="A2305" t="s">
        <v>25</v>
      </c>
      <c r="B2305" t="s">
        <v>26</v>
      </c>
      <c r="C2305" t="s">
        <v>62</v>
      </c>
      <c r="D2305" s="1">
        <v>45571</v>
      </c>
      <c r="E2305" s="2">
        <v>0.5625</v>
      </c>
      <c r="F2305" t="s">
        <v>45</v>
      </c>
      <c r="G2305" t="s">
        <v>35</v>
      </c>
      <c r="H2305">
        <v>0</v>
      </c>
      <c r="I2305">
        <v>1</v>
      </c>
      <c r="J2305" t="s">
        <v>30</v>
      </c>
      <c r="K2305">
        <v>458</v>
      </c>
      <c r="L2305">
        <v>406</v>
      </c>
      <c r="M2305">
        <v>175</v>
      </c>
      <c r="N2305">
        <v>463</v>
      </c>
      <c r="O2305">
        <v>413</v>
      </c>
      <c r="P2305">
        <v>175</v>
      </c>
      <c r="Q2305">
        <v>437</v>
      </c>
      <c r="R2305">
        <v>395</v>
      </c>
      <c r="S2305">
        <v>171</v>
      </c>
      <c r="T2305" t="s">
        <v>115</v>
      </c>
      <c r="U2305" t="s">
        <v>83</v>
      </c>
      <c r="V2305" t="s">
        <v>145</v>
      </c>
      <c r="W2305" t="s">
        <v>31</v>
      </c>
      <c r="X2305" t="s">
        <v>31</v>
      </c>
      <c r="Y2305" t="s">
        <v>31</v>
      </c>
    </row>
    <row r="2306" spans="1:25" hidden="1">
      <c r="A2306" t="s">
        <v>25</v>
      </c>
      <c r="B2306" t="s">
        <v>26</v>
      </c>
      <c r="C2306" t="s">
        <v>62</v>
      </c>
      <c r="D2306" s="1">
        <v>45571</v>
      </c>
      <c r="E2306" s="2">
        <v>0.5625</v>
      </c>
      <c r="F2306" t="s">
        <v>50</v>
      </c>
      <c r="G2306" t="s">
        <v>56</v>
      </c>
      <c r="H2306">
        <v>4</v>
      </c>
      <c r="I2306">
        <v>0</v>
      </c>
      <c r="J2306" t="s">
        <v>34</v>
      </c>
      <c r="K2306">
        <v>167</v>
      </c>
      <c r="L2306">
        <v>426</v>
      </c>
      <c r="M2306">
        <v>492</v>
      </c>
      <c r="N2306">
        <v>168</v>
      </c>
      <c r="O2306">
        <v>44</v>
      </c>
      <c r="P2306">
        <v>55</v>
      </c>
      <c r="Q2306">
        <v>162</v>
      </c>
      <c r="R2306">
        <v>412</v>
      </c>
      <c r="S2306">
        <v>488</v>
      </c>
      <c r="T2306" t="s">
        <v>146</v>
      </c>
      <c r="U2306" t="s">
        <v>100</v>
      </c>
      <c r="V2306" t="s">
        <v>107</v>
      </c>
      <c r="W2306" t="s">
        <v>31</v>
      </c>
      <c r="X2306" t="s">
        <v>31</v>
      </c>
      <c r="Y2306" t="s">
        <v>31</v>
      </c>
    </row>
    <row r="2307" spans="1:25" hidden="1">
      <c r="A2307" t="s">
        <v>25</v>
      </c>
      <c r="B2307" t="s">
        <v>26</v>
      </c>
      <c r="C2307" t="s">
        <v>62</v>
      </c>
      <c r="D2307" s="1">
        <v>45571</v>
      </c>
      <c r="E2307" s="2">
        <v>0.66666666666666663</v>
      </c>
      <c r="F2307" t="s">
        <v>28</v>
      </c>
      <c r="G2307" t="s">
        <v>29</v>
      </c>
      <c r="H2307">
        <v>5</v>
      </c>
      <c r="I2307">
        <v>0</v>
      </c>
      <c r="J2307" t="s">
        <v>34</v>
      </c>
      <c r="K2307">
        <v>371</v>
      </c>
      <c r="L2307">
        <v>386</v>
      </c>
      <c r="M2307">
        <v>198</v>
      </c>
      <c r="N2307">
        <v>371</v>
      </c>
      <c r="O2307">
        <v>395</v>
      </c>
      <c r="P2307">
        <v>2</v>
      </c>
      <c r="Q2307">
        <v>352</v>
      </c>
      <c r="R2307">
        <v>377</v>
      </c>
      <c r="S2307">
        <v>193</v>
      </c>
      <c r="T2307" t="s">
        <v>71</v>
      </c>
      <c r="U2307" t="s">
        <v>129</v>
      </c>
      <c r="V2307" t="s">
        <v>135</v>
      </c>
      <c r="W2307" t="s">
        <v>31</v>
      </c>
      <c r="X2307" t="s">
        <v>31</v>
      </c>
      <c r="Y2307" t="s">
        <v>31</v>
      </c>
    </row>
    <row r="2308" spans="1:25" hidden="1">
      <c r="A2308" t="s">
        <v>25</v>
      </c>
      <c r="B2308" t="s">
        <v>26</v>
      </c>
      <c r="C2308" t="s">
        <v>62</v>
      </c>
      <c r="D2308" s="1">
        <v>45584</v>
      </c>
      <c r="E2308" s="2">
        <v>0.66666666666666663</v>
      </c>
      <c r="F2308" t="s">
        <v>61</v>
      </c>
      <c r="G2308" t="s">
        <v>39</v>
      </c>
      <c r="H2308">
        <v>0</v>
      </c>
      <c r="I2308">
        <v>1</v>
      </c>
      <c r="J2308" t="s">
        <v>30</v>
      </c>
      <c r="K2308">
        <v>253</v>
      </c>
      <c r="L2308">
        <v>345</v>
      </c>
      <c r="M2308">
        <v>288</v>
      </c>
      <c r="N2308">
        <v>253</v>
      </c>
      <c r="O2308">
        <v>37</v>
      </c>
      <c r="P2308">
        <v>291</v>
      </c>
      <c r="Q2308">
        <v>242</v>
      </c>
      <c r="R2308">
        <v>342</v>
      </c>
      <c r="S2308">
        <v>278</v>
      </c>
      <c r="T2308" t="s">
        <v>81</v>
      </c>
      <c r="U2308" t="s">
        <v>80</v>
      </c>
      <c r="V2308" t="s">
        <v>79</v>
      </c>
      <c r="W2308" t="s">
        <v>31</v>
      </c>
      <c r="X2308" t="s">
        <v>31</v>
      </c>
      <c r="Y2308" t="s">
        <v>31</v>
      </c>
    </row>
    <row r="2309" spans="1:25" hidden="1">
      <c r="A2309" t="s">
        <v>25</v>
      </c>
      <c r="B2309" t="s">
        <v>26</v>
      </c>
      <c r="C2309" t="s">
        <v>62</v>
      </c>
      <c r="D2309" s="1">
        <v>45584</v>
      </c>
      <c r="E2309" s="2">
        <v>0.66666666666666663</v>
      </c>
      <c r="F2309" t="s">
        <v>29</v>
      </c>
      <c r="G2309" t="s">
        <v>45</v>
      </c>
      <c r="H2309">
        <v>2</v>
      </c>
      <c r="I2309">
        <v>1</v>
      </c>
      <c r="J2309" t="s">
        <v>34</v>
      </c>
      <c r="K2309">
        <v>128</v>
      </c>
      <c r="L2309">
        <v>614</v>
      </c>
      <c r="M2309">
        <v>1012</v>
      </c>
      <c r="N2309">
        <v>13</v>
      </c>
      <c r="O2309">
        <v>65</v>
      </c>
      <c r="P2309">
        <v>11</v>
      </c>
      <c r="Q2309">
        <v>126</v>
      </c>
      <c r="R2309">
        <v>586</v>
      </c>
      <c r="S2309">
        <v>959</v>
      </c>
      <c r="T2309" t="s">
        <v>147</v>
      </c>
      <c r="U2309" t="s">
        <v>131</v>
      </c>
      <c r="V2309" t="s">
        <v>148</v>
      </c>
      <c r="W2309" t="s">
        <v>31</v>
      </c>
      <c r="X2309" t="s">
        <v>31</v>
      </c>
      <c r="Y2309" t="s">
        <v>31</v>
      </c>
    </row>
    <row r="2310" spans="1:25" hidden="1">
      <c r="A2310" t="s">
        <v>25</v>
      </c>
      <c r="B2310" t="s">
        <v>26</v>
      </c>
      <c r="C2310" t="s">
        <v>62</v>
      </c>
      <c r="D2310" s="1">
        <v>45584</v>
      </c>
      <c r="E2310" s="2">
        <v>0.66666666666666663</v>
      </c>
      <c r="F2310" t="s">
        <v>28</v>
      </c>
      <c r="G2310" t="s">
        <v>63</v>
      </c>
      <c r="H2310">
        <v>5</v>
      </c>
      <c r="I2310">
        <v>2</v>
      </c>
      <c r="J2310" t="s">
        <v>34</v>
      </c>
      <c r="K2310">
        <v>14</v>
      </c>
      <c r="L2310">
        <v>509</v>
      </c>
      <c r="M2310">
        <v>777</v>
      </c>
      <c r="N2310">
        <v>142</v>
      </c>
      <c r="O2310">
        <v>525</v>
      </c>
      <c r="P2310">
        <v>777</v>
      </c>
      <c r="Q2310">
        <v>139</v>
      </c>
      <c r="R2310">
        <v>483</v>
      </c>
      <c r="S2310">
        <v>708</v>
      </c>
      <c r="T2310" t="s">
        <v>149</v>
      </c>
      <c r="U2310" t="s">
        <v>150</v>
      </c>
      <c r="V2310" t="s">
        <v>151</v>
      </c>
      <c r="W2310" t="s">
        <v>31</v>
      </c>
      <c r="X2310" t="s">
        <v>31</v>
      </c>
      <c r="Y2310" t="s">
        <v>31</v>
      </c>
    </row>
    <row r="2311" spans="1:25" hidden="1">
      <c r="A2311" t="s">
        <v>25</v>
      </c>
      <c r="B2311" t="s">
        <v>26</v>
      </c>
      <c r="C2311" t="s">
        <v>62</v>
      </c>
      <c r="D2311" s="1">
        <v>45585</v>
      </c>
      <c r="E2311" s="2">
        <v>0.5625</v>
      </c>
      <c r="F2311" t="s">
        <v>56</v>
      </c>
      <c r="G2311" t="s">
        <v>40</v>
      </c>
      <c r="H2311">
        <v>0</v>
      </c>
      <c r="I2311">
        <v>1</v>
      </c>
      <c r="J2311" t="s">
        <v>30</v>
      </c>
      <c r="K2311">
        <v>35</v>
      </c>
      <c r="L2311">
        <v>366</v>
      </c>
      <c r="M2311">
        <v>211</v>
      </c>
      <c r="N2311">
        <v>35</v>
      </c>
      <c r="O2311">
        <v>398</v>
      </c>
      <c r="P2311">
        <v>211</v>
      </c>
      <c r="Q2311">
        <v>329</v>
      </c>
      <c r="R2311">
        <v>367</v>
      </c>
      <c r="S2311">
        <v>205</v>
      </c>
      <c r="T2311" t="s">
        <v>80</v>
      </c>
      <c r="U2311" t="s">
        <v>92</v>
      </c>
      <c r="V2311" t="s">
        <v>136</v>
      </c>
      <c r="W2311" t="s">
        <v>31</v>
      </c>
      <c r="X2311" t="s">
        <v>31</v>
      </c>
      <c r="Y2311" t="s">
        <v>31</v>
      </c>
    </row>
    <row r="2312" spans="1:25" hidden="1">
      <c r="A2312" t="s">
        <v>25</v>
      </c>
      <c r="B2312" t="s">
        <v>26</v>
      </c>
      <c r="C2312" t="s">
        <v>62</v>
      </c>
      <c r="D2312" s="1">
        <v>45585</v>
      </c>
      <c r="E2312" s="2">
        <v>0.5625</v>
      </c>
      <c r="F2312" t="s">
        <v>54</v>
      </c>
      <c r="G2312" t="s">
        <v>50</v>
      </c>
      <c r="H2312">
        <v>1</v>
      </c>
      <c r="I2312">
        <v>2</v>
      </c>
      <c r="J2312" t="s">
        <v>30</v>
      </c>
      <c r="K2312">
        <v>34</v>
      </c>
      <c r="L2312">
        <v>347</v>
      </c>
      <c r="M2312">
        <v>222</v>
      </c>
      <c r="N2312">
        <v>369</v>
      </c>
      <c r="O2312">
        <v>382</v>
      </c>
      <c r="P2312">
        <v>222</v>
      </c>
      <c r="Q2312">
        <v>341</v>
      </c>
      <c r="R2312">
        <v>348</v>
      </c>
      <c r="S2312">
        <v>207</v>
      </c>
      <c r="T2312" t="s">
        <v>92</v>
      </c>
      <c r="U2312" t="s">
        <v>68</v>
      </c>
      <c r="V2312" t="s">
        <v>152</v>
      </c>
      <c r="W2312" t="s">
        <v>31</v>
      </c>
      <c r="X2312" t="s">
        <v>31</v>
      </c>
      <c r="Y2312" t="s">
        <v>31</v>
      </c>
    </row>
    <row r="2313" spans="1:25" hidden="1">
      <c r="A2313" t="s">
        <v>25</v>
      </c>
      <c r="B2313" t="s">
        <v>26</v>
      </c>
      <c r="C2313" t="s">
        <v>62</v>
      </c>
      <c r="D2313" s="1">
        <v>45585</v>
      </c>
      <c r="E2313" s="2">
        <v>0.66666666666666663</v>
      </c>
      <c r="F2313" t="s">
        <v>35</v>
      </c>
      <c r="G2313" t="s">
        <v>52</v>
      </c>
      <c r="H2313">
        <v>2</v>
      </c>
      <c r="I2313">
        <v>1</v>
      </c>
      <c r="J2313" t="s">
        <v>34</v>
      </c>
      <c r="K2313">
        <v>154</v>
      </c>
      <c r="L2313">
        <v>47</v>
      </c>
      <c r="M2313">
        <v>565</v>
      </c>
      <c r="N2313">
        <v>159</v>
      </c>
      <c r="O2313">
        <v>518</v>
      </c>
      <c r="P2313">
        <v>565</v>
      </c>
      <c r="Q2313">
        <v>153</v>
      </c>
      <c r="R2313">
        <v>46</v>
      </c>
      <c r="S2313">
        <v>521</v>
      </c>
      <c r="T2313" t="s">
        <v>153</v>
      </c>
      <c r="U2313" t="s">
        <v>154</v>
      </c>
      <c r="V2313" t="s">
        <v>65</v>
      </c>
      <c r="W2313" t="s">
        <v>31</v>
      </c>
      <c r="X2313" t="s">
        <v>31</v>
      </c>
      <c r="Y2313" t="s">
        <v>31</v>
      </c>
    </row>
    <row r="2314" spans="1:25" hidden="1">
      <c r="A2314" t="s">
        <v>25</v>
      </c>
      <c r="B2314" t="s">
        <v>26</v>
      </c>
      <c r="C2314" t="s">
        <v>62</v>
      </c>
      <c r="D2314" s="1">
        <v>45591</v>
      </c>
      <c r="E2314" s="2">
        <v>0.66666666666666663</v>
      </c>
      <c r="F2314" t="s">
        <v>45</v>
      </c>
      <c r="G2314" t="s">
        <v>56</v>
      </c>
      <c r="H2314">
        <v>2</v>
      </c>
      <c r="I2314">
        <v>2</v>
      </c>
      <c r="J2314" t="s">
        <v>41</v>
      </c>
      <c r="K2314">
        <v>22</v>
      </c>
      <c r="L2314">
        <v>343</v>
      </c>
      <c r="M2314">
        <v>347</v>
      </c>
      <c r="N2314">
        <v>223</v>
      </c>
      <c r="O2314">
        <v>367</v>
      </c>
      <c r="P2314">
        <v>352</v>
      </c>
      <c r="Q2314">
        <v>213</v>
      </c>
      <c r="R2314">
        <v>34</v>
      </c>
      <c r="S2314">
        <v>334</v>
      </c>
      <c r="T2314" t="s">
        <v>124</v>
      </c>
      <c r="U2314" t="s">
        <v>70</v>
      </c>
      <c r="V2314" t="s">
        <v>68</v>
      </c>
      <c r="W2314" t="s">
        <v>31</v>
      </c>
      <c r="X2314" t="s">
        <v>31</v>
      </c>
      <c r="Y2314" t="s">
        <v>31</v>
      </c>
    </row>
    <row r="2315" spans="1:25" hidden="1">
      <c r="A2315" t="s">
        <v>25</v>
      </c>
      <c r="B2315" t="s">
        <v>26</v>
      </c>
      <c r="C2315" t="s">
        <v>62</v>
      </c>
      <c r="D2315" s="1">
        <v>45591</v>
      </c>
      <c r="E2315" s="2">
        <v>0.66666666666666663</v>
      </c>
      <c r="F2315" t="s">
        <v>40</v>
      </c>
      <c r="G2315" t="s">
        <v>54</v>
      </c>
      <c r="H2315">
        <v>3</v>
      </c>
      <c r="I2315">
        <v>0</v>
      </c>
      <c r="J2315" t="s">
        <v>34</v>
      </c>
      <c r="K2315">
        <v>16</v>
      </c>
      <c r="L2315">
        <v>442</v>
      </c>
      <c r="M2315">
        <v>536</v>
      </c>
      <c r="N2315">
        <v>161</v>
      </c>
      <c r="O2315">
        <v>45</v>
      </c>
      <c r="P2315">
        <v>56</v>
      </c>
      <c r="Q2315">
        <v>156</v>
      </c>
      <c r="R2315">
        <v>428</v>
      </c>
      <c r="S2315">
        <v>52</v>
      </c>
      <c r="T2315" t="s">
        <v>155</v>
      </c>
      <c r="U2315" t="s">
        <v>156</v>
      </c>
      <c r="V2315" t="s">
        <v>121</v>
      </c>
      <c r="W2315" t="s">
        <v>31</v>
      </c>
      <c r="X2315" t="s">
        <v>31</v>
      </c>
      <c r="Y2315" t="s">
        <v>31</v>
      </c>
    </row>
    <row r="2316" spans="1:25" hidden="1">
      <c r="A2316" t="s">
        <v>25</v>
      </c>
      <c r="B2316" t="s">
        <v>26</v>
      </c>
      <c r="C2316" t="s">
        <v>62</v>
      </c>
      <c r="D2316" s="1">
        <v>45591</v>
      </c>
      <c r="E2316" s="2">
        <v>0.66666666666666663</v>
      </c>
      <c r="F2316" t="s">
        <v>52</v>
      </c>
      <c r="G2316" t="s">
        <v>61</v>
      </c>
      <c r="H2316">
        <v>2</v>
      </c>
      <c r="I2316">
        <v>1</v>
      </c>
      <c r="J2316" t="s">
        <v>34</v>
      </c>
      <c r="K2316">
        <v>209</v>
      </c>
      <c r="L2316">
        <v>359</v>
      </c>
      <c r="M2316">
        <v>363</v>
      </c>
      <c r="N2316">
        <v>209</v>
      </c>
      <c r="O2316">
        <v>369</v>
      </c>
      <c r="P2316">
        <v>363</v>
      </c>
      <c r="Q2316">
        <v>203</v>
      </c>
      <c r="R2316">
        <v>352</v>
      </c>
      <c r="S2316">
        <v>349</v>
      </c>
      <c r="T2316" t="s">
        <v>152</v>
      </c>
      <c r="U2316" t="s">
        <v>77</v>
      </c>
      <c r="V2316" t="s">
        <v>71</v>
      </c>
      <c r="W2316" t="s">
        <v>31</v>
      </c>
      <c r="X2316" t="s">
        <v>31</v>
      </c>
      <c r="Y2316" t="s">
        <v>31</v>
      </c>
    </row>
    <row r="2317" spans="1:25" hidden="1">
      <c r="A2317" t="s">
        <v>25</v>
      </c>
      <c r="B2317" t="s">
        <v>26</v>
      </c>
      <c r="C2317" t="s">
        <v>62</v>
      </c>
      <c r="D2317" s="1">
        <v>45592</v>
      </c>
      <c r="E2317" s="2">
        <v>0.5625</v>
      </c>
      <c r="F2317" t="s">
        <v>63</v>
      </c>
      <c r="G2317" t="s">
        <v>35</v>
      </c>
      <c r="H2317">
        <v>1</v>
      </c>
      <c r="I2317">
        <v>1</v>
      </c>
      <c r="J2317" t="s">
        <v>41</v>
      </c>
      <c r="K2317">
        <v>639</v>
      </c>
      <c r="L2317">
        <v>469</v>
      </c>
      <c r="M2317">
        <v>15</v>
      </c>
      <c r="N2317">
        <v>65</v>
      </c>
      <c r="O2317">
        <v>47</v>
      </c>
      <c r="P2317">
        <v>156</v>
      </c>
      <c r="Q2317">
        <v>595</v>
      </c>
      <c r="R2317">
        <v>44</v>
      </c>
      <c r="S2317">
        <v>15</v>
      </c>
      <c r="T2317" t="s">
        <v>131</v>
      </c>
      <c r="U2317" t="s">
        <v>154</v>
      </c>
      <c r="V2317" t="s">
        <v>157</v>
      </c>
      <c r="W2317" t="s">
        <v>31</v>
      </c>
      <c r="X2317" t="s">
        <v>31</v>
      </c>
      <c r="Y2317" t="s">
        <v>31</v>
      </c>
    </row>
    <row r="2318" spans="1:25" hidden="1">
      <c r="A2318" t="s">
        <v>25</v>
      </c>
      <c r="B2318" t="s">
        <v>26</v>
      </c>
      <c r="C2318" t="s">
        <v>62</v>
      </c>
      <c r="D2318" s="1">
        <v>45592</v>
      </c>
      <c r="E2318" s="2">
        <v>0.5625</v>
      </c>
      <c r="F2318" t="s">
        <v>39</v>
      </c>
      <c r="G2318" t="s">
        <v>29</v>
      </c>
      <c r="H2318">
        <v>0</v>
      </c>
      <c r="I2318">
        <v>0</v>
      </c>
      <c r="J2318" t="s">
        <v>41</v>
      </c>
      <c r="K2318">
        <v>445</v>
      </c>
      <c r="L2318">
        <v>42</v>
      </c>
      <c r="M2318">
        <v>175</v>
      </c>
      <c r="N2318">
        <v>463</v>
      </c>
      <c r="O2318">
        <v>43</v>
      </c>
      <c r="P2318">
        <v>175</v>
      </c>
      <c r="Q2318">
        <v>433</v>
      </c>
      <c r="R2318">
        <v>407</v>
      </c>
      <c r="S2318">
        <v>17</v>
      </c>
      <c r="T2318" t="s">
        <v>89</v>
      </c>
      <c r="U2318" t="s">
        <v>100</v>
      </c>
      <c r="V2318" t="s">
        <v>130</v>
      </c>
      <c r="W2318" t="s">
        <v>31</v>
      </c>
      <c r="X2318" t="s">
        <v>31</v>
      </c>
      <c r="Y2318" t="s">
        <v>31</v>
      </c>
    </row>
    <row r="2319" spans="1:25" hidden="1">
      <c r="A2319" t="s">
        <v>25</v>
      </c>
      <c r="B2319" t="s">
        <v>26</v>
      </c>
      <c r="C2319" t="s">
        <v>62</v>
      </c>
      <c r="D2319" s="1">
        <v>45592</v>
      </c>
      <c r="E2319" s="2">
        <v>0.66666666666666663</v>
      </c>
      <c r="F2319" t="s">
        <v>50</v>
      </c>
      <c r="G2319" t="s">
        <v>28</v>
      </c>
      <c r="H2319">
        <v>1</v>
      </c>
      <c r="I2319">
        <v>2</v>
      </c>
      <c r="J2319" t="s">
        <v>30</v>
      </c>
      <c r="K2319">
        <v>276</v>
      </c>
      <c r="L2319">
        <v>351</v>
      </c>
      <c r="M2319">
        <v>26</v>
      </c>
      <c r="N2319">
        <v>282</v>
      </c>
      <c r="O2319">
        <v>363</v>
      </c>
      <c r="P2319">
        <v>26</v>
      </c>
      <c r="Q2319">
        <v>268</v>
      </c>
      <c r="R2319">
        <v>345</v>
      </c>
      <c r="S2319">
        <v>249</v>
      </c>
      <c r="T2319" t="s">
        <v>78</v>
      </c>
      <c r="U2319" t="s">
        <v>68</v>
      </c>
      <c r="V2319" t="s">
        <v>158</v>
      </c>
      <c r="W2319" t="s">
        <v>31</v>
      </c>
      <c r="X2319" t="s">
        <v>31</v>
      </c>
      <c r="Y2319" t="s">
        <v>31</v>
      </c>
    </row>
    <row r="2320" spans="1:25" hidden="1">
      <c r="A2320" t="s">
        <v>25</v>
      </c>
      <c r="B2320" t="s">
        <v>26</v>
      </c>
      <c r="C2320" t="s">
        <v>62</v>
      </c>
      <c r="D2320" s="1">
        <v>45598</v>
      </c>
      <c r="E2320" s="2">
        <v>0.66666666666666663</v>
      </c>
      <c r="F2320" t="s">
        <v>50</v>
      </c>
      <c r="G2320" t="s">
        <v>52</v>
      </c>
      <c r="H2320">
        <v>1</v>
      </c>
      <c r="I2320">
        <v>1</v>
      </c>
      <c r="J2320" t="s">
        <v>41</v>
      </c>
      <c r="K2320">
        <v>182</v>
      </c>
      <c r="L2320">
        <v>365</v>
      </c>
      <c r="M2320">
        <v>47</v>
      </c>
      <c r="N2320">
        <v>205</v>
      </c>
      <c r="O2320">
        <v>365</v>
      </c>
      <c r="P2320">
        <v>482</v>
      </c>
      <c r="Q2320">
        <v>186</v>
      </c>
      <c r="R2320">
        <v>352</v>
      </c>
      <c r="S2320">
        <v>422</v>
      </c>
      <c r="T2320" t="s">
        <v>159</v>
      </c>
      <c r="U2320" t="s">
        <v>71</v>
      </c>
      <c r="V2320" t="s">
        <v>115</v>
      </c>
      <c r="W2320" t="s">
        <v>31</v>
      </c>
      <c r="X2320" t="s">
        <v>31</v>
      </c>
      <c r="Y2320" t="s">
        <v>31</v>
      </c>
    </row>
    <row r="2321" spans="1:25" hidden="1">
      <c r="A2321" t="s">
        <v>25</v>
      </c>
      <c r="B2321" t="s">
        <v>26</v>
      </c>
      <c r="C2321" t="s">
        <v>62</v>
      </c>
      <c r="D2321" s="1">
        <v>45598</v>
      </c>
      <c r="E2321" s="2">
        <v>0.66666666666666663</v>
      </c>
      <c r="F2321" t="s">
        <v>29</v>
      </c>
      <c r="G2321" t="s">
        <v>63</v>
      </c>
      <c r="H2321">
        <v>0</v>
      </c>
      <c r="I2321">
        <v>0</v>
      </c>
      <c r="J2321" t="s">
        <v>41</v>
      </c>
      <c r="K2321">
        <v>126</v>
      </c>
      <c r="L2321">
        <v>646</v>
      </c>
      <c r="M2321">
        <v>1029</v>
      </c>
      <c r="N2321">
        <v>13</v>
      </c>
      <c r="O2321">
        <v>7</v>
      </c>
      <c r="P2321">
        <v>12</v>
      </c>
      <c r="Q2321">
        <v>125</v>
      </c>
      <c r="R2321">
        <v>634</v>
      </c>
      <c r="S2321">
        <v>979</v>
      </c>
      <c r="T2321" t="s">
        <v>160</v>
      </c>
      <c r="U2321" t="s">
        <v>161</v>
      </c>
      <c r="V2321" t="s">
        <v>162</v>
      </c>
      <c r="W2321" t="s">
        <v>31</v>
      </c>
      <c r="X2321" t="s">
        <v>31</v>
      </c>
      <c r="Y2321" t="s">
        <v>31</v>
      </c>
    </row>
    <row r="2322" spans="1:25" hidden="1">
      <c r="A2322" t="s">
        <v>25</v>
      </c>
      <c r="B2322" t="s">
        <v>26</v>
      </c>
      <c r="C2322" t="s">
        <v>62</v>
      </c>
      <c r="D2322" s="1">
        <v>45598</v>
      </c>
      <c r="E2322" s="2">
        <v>0.66666666666666663</v>
      </c>
      <c r="F2322" t="s">
        <v>28</v>
      </c>
      <c r="G2322" t="s">
        <v>35</v>
      </c>
      <c r="H2322">
        <v>1</v>
      </c>
      <c r="I2322">
        <v>1</v>
      </c>
      <c r="J2322" t="s">
        <v>41</v>
      </c>
      <c r="K2322">
        <v>243</v>
      </c>
      <c r="L2322">
        <v>34</v>
      </c>
      <c r="M2322">
        <v>305</v>
      </c>
      <c r="N2322">
        <v>243</v>
      </c>
      <c r="O2322">
        <v>37</v>
      </c>
      <c r="P2322">
        <v>306</v>
      </c>
      <c r="Q2322">
        <v>235</v>
      </c>
      <c r="R2322">
        <v>349</v>
      </c>
      <c r="S2322">
        <v>287</v>
      </c>
      <c r="T2322" t="s">
        <v>134</v>
      </c>
      <c r="U2322" t="s">
        <v>80</v>
      </c>
      <c r="V2322" t="s">
        <v>163</v>
      </c>
      <c r="W2322" t="s">
        <v>31</v>
      </c>
      <c r="X2322" t="s">
        <v>31</v>
      </c>
      <c r="Y2322" t="s">
        <v>31</v>
      </c>
    </row>
    <row r="2323" spans="1:25" hidden="1">
      <c r="A2323" t="s">
        <v>25</v>
      </c>
      <c r="B2323" t="s">
        <v>26</v>
      </c>
      <c r="C2323" t="s">
        <v>62</v>
      </c>
      <c r="D2323" s="1">
        <v>45599</v>
      </c>
      <c r="E2323" s="2">
        <v>0.5625</v>
      </c>
      <c r="F2323" t="s">
        <v>56</v>
      </c>
      <c r="G2323" t="s">
        <v>39</v>
      </c>
      <c r="H2323">
        <v>2</v>
      </c>
      <c r="I2323">
        <v>1</v>
      </c>
      <c r="J2323" t="s">
        <v>34</v>
      </c>
      <c r="K2323">
        <v>338</v>
      </c>
      <c r="L2323">
        <v>35</v>
      </c>
      <c r="M2323">
        <v>221</v>
      </c>
      <c r="N2323">
        <v>338</v>
      </c>
      <c r="O2323">
        <v>35</v>
      </c>
      <c r="P2323">
        <v>235</v>
      </c>
      <c r="Q2323">
        <v>318</v>
      </c>
      <c r="R2323">
        <v>338</v>
      </c>
      <c r="S2323">
        <v>221</v>
      </c>
      <c r="T2323" t="s">
        <v>93</v>
      </c>
      <c r="U2323" t="s">
        <v>80</v>
      </c>
      <c r="V2323" t="s">
        <v>142</v>
      </c>
      <c r="W2323" t="s">
        <v>31</v>
      </c>
      <c r="X2323" t="s">
        <v>31</v>
      </c>
      <c r="Y2323" t="s">
        <v>31</v>
      </c>
    </row>
    <row r="2324" spans="1:25" hidden="1">
      <c r="A2324" t="s">
        <v>25</v>
      </c>
      <c r="B2324" t="s">
        <v>26</v>
      </c>
      <c r="C2324" t="s">
        <v>62</v>
      </c>
      <c r="D2324" s="1">
        <v>45599</v>
      </c>
      <c r="E2324" s="2">
        <v>0.5625</v>
      </c>
      <c r="F2324" t="s">
        <v>54</v>
      </c>
      <c r="G2324" t="s">
        <v>45</v>
      </c>
      <c r="H2324">
        <v>1</v>
      </c>
      <c r="I2324">
        <v>0</v>
      </c>
      <c r="J2324" t="s">
        <v>34</v>
      </c>
      <c r="K2324">
        <v>316</v>
      </c>
      <c r="L2324">
        <v>331</v>
      </c>
      <c r="M2324">
        <v>241</v>
      </c>
      <c r="N2324">
        <v>316</v>
      </c>
      <c r="O2324">
        <v>346</v>
      </c>
      <c r="P2324">
        <v>246</v>
      </c>
      <c r="Q2324">
        <v>299</v>
      </c>
      <c r="R2324">
        <v>326</v>
      </c>
      <c r="S2324">
        <v>237</v>
      </c>
      <c r="T2324" t="s">
        <v>110</v>
      </c>
      <c r="U2324" t="s">
        <v>144</v>
      </c>
      <c r="V2324" t="s">
        <v>164</v>
      </c>
      <c r="W2324" t="s">
        <v>31</v>
      </c>
      <c r="X2324" t="s">
        <v>31</v>
      </c>
      <c r="Y2324" t="s">
        <v>31</v>
      </c>
    </row>
    <row r="2325" spans="1:25" hidden="1">
      <c r="A2325" t="s">
        <v>25</v>
      </c>
      <c r="B2325" t="s">
        <v>26</v>
      </c>
      <c r="C2325" t="s">
        <v>62</v>
      </c>
      <c r="D2325" s="1">
        <v>45599</v>
      </c>
      <c r="E2325" s="2">
        <v>0.66666666666666663</v>
      </c>
      <c r="F2325" t="s">
        <v>40</v>
      </c>
      <c r="G2325" t="s">
        <v>61</v>
      </c>
      <c r="H2325">
        <v>2</v>
      </c>
      <c r="I2325">
        <v>1</v>
      </c>
      <c r="J2325" t="s">
        <v>34</v>
      </c>
      <c r="K2325">
        <v>188</v>
      </c>
      <c r="L2325">
        <v>376</v>
      </c>
      <c r="M2325">
        <v>421</v>
      </c>
      <c r="N2325">
        <v>191</v>
      </c>
      <c r="O2325">
        <v>382</v>
      </c>
      <c r="P2325">
        <v>45</v>
      </c>
      <c r="Q2325">
        <v>184</v>
      </c>
      <c r="R2325">
        <v>368</v>
      </c>
      <c r="S2325">
        <v>4</v>
      </c>
      <c r="T2325" t="s">
        <v>165</v>
      </c>
      <c r="U2325" t="s">
        <v>92</v>
      </c>
      <c r="V2325" t="s">
        <v>100</v>
      </c>
      <c r="W2325" t="s">
        <v>31</v>
      </c>
      <c r="X2325" t="s">
        <v>31</v>
      </c>
      <c r="Y2325" t="s">
        <v>31</v>
      </c>
    </row>
    <row r="2326" spans="1:25" hidden="1">
      <c r="A2326" t="s">
        <v>25</v>
      </c>
      <c r="B2326" t="s">
        <v>26</v>
      </c>
      <c r="C2326" t="s">
        <v>62</v>
      </c>
      <c r="D2326" s="1">
        <v>45605</v>
      </c>
      <c r="E2326" s="2">
        <v>0.66666666666666663</v>
      </c>
      <c r="F2326" t="s">
        <v>63</v>
      </c>
      <c r="G2326" t="s">
        <v>54</v>
      </c>
      <c r="H2326">
        <v>2</v>
      </c>
      <c r="I2326">
        <v>1</v>
      </c>
      <c r="J2326" t="s">
        <v>34</v>
      </c>
      <c r="K2326">
        <v>188</v>
      </c>
      <c r="L2326">
        <v>356</v>
      </c>
      <c r="M2326">
        <v>45</v>
      </c>
      <c r="N2326">
        <v>195</v>
      </c>
      <c r="O2326">
        <v>37</v>
      </c>
      <c r="P2326">
        <v>45</v>
      </c>
      <c r="Q2326">
        <v>189</v>
      </c>
      <c r="R2326">
        <v>349</v>
      </c>
      <c r="S2326">
        <v>402</v>
      </c>
      <c r="T2326" t="s">
        <v>67</v>
      </c>
      <c r="U2326" t="s">
        <v>114</v>
      </c>
      <c r="V2326" t="s">
        <v>69</v>
      </c>
      <c r="W2326" t="s">
        <v>31</v>
      </c>
      <c r="X2326" t="s">
        <v>31</v>
      </c>
      <c r="Y2326" t="s">
        <v>31</v>
      </c>
    </row>
    <row r="2327" spans="1:25" hidden="1">
      <c r="A2327" t="s">
        <v>25</v>
      </c>
      <c r="B2327" t="s">
        <v>26</v>
      </c>
      <c r="C2327" t="s">
        <v>62</v>
      </c>
      <c r="D2327" s="1">
        <v>45605</v>
      </c>
      <c r="E2327" s="2">
        <v>0.66666666666666663</v>
      </c>
      <c r="F2327" t="s">
        <v>52</v>
      </c>
      <c r="G2327" t="s">
        <v>28</v>
      </c>
      <c r="H2327">
        <v>1</v>
      </c>
      <c r="I2327">
        <v>2</v>
      </c>
      <c r="J2327" t="s">
        <v>30</v>
      </c>
      <c r="K2327">
        <v>381</v>
      </c>
      <c r="L2327">
        <v>361</v>
      </c>
      <c r="M2327">
        <v>202</v>
      </c>
      <c r="N2327">
        <v>385</v>
      </c>
      <c r="O2327">
        <v>39</v>
      </c>
      <c r="P2327">
        <v>204</v>
      </c>
      <c r="Q2327">
        <v>361</v>
      </c>
      <c r="R2327">
        <v>359</v>
      </c>
      <c r="S2327">
        <v>196</v>
      </c>
      <c r="T2327" t="s">
        <v>74</v>
      </c>
      <c r="U2327" t="s">
        <v>71</v>
      </c>
      <c r="V2327" t="s">
        <v>166</v>
      </c>
      <c r="W2327" t="s">
        <v>31</v>
      </c>
      <c r="X2327" t="s">
        <v>31</v>
      </c>
      <c r="Y2327" t="s">
        <v>31</v>
      </c>
    </row>
    <row r="2328" spans="1:25" hidden="1">
      <c r="A2328" t="s">
        <v>25</v>
      </c>
      <c r="B2328" t="s">
        <v>26</v>
      </c>
      <c r="C2328" t="s">
        <v>62</v>
      </c>
      <c r="D2328" s="1">
        <v>45605</v>
      </c>
      <c r="E2328" s="2">
        <v>0.66666666666666663</v>
      </c>
      <c r="F2328" t="s">
        <v>39</v>
      </c>
      <c r="G2328" t="s">
        <v>40</v>
      </c>
      <c r="H2328">
        <v>0</v>
      </c>
      <c r="I2328">
        <v>1</v>
      </c>
      <c r="J2328" t="s">
        <v>30</v>
      </c>
      <c r="K2328">
        <v>303</v>
      </c>
      <c r="L2328">
        <v>338</v>
      </c>
      <c r="M2328">
        <v>246</v>
      </c>
      <c r="N2328">
        <v>303</v>
      </c>
      <c r="O2328">
        <v>378</v>
      </c>
      <c r="P2328">
        <v>246</v>
      </c>
      <c r="Q2328">
        <v>286</v>
      </c>
      <c r="R2328">
        <v>339</v>
      </c>
      <c r="S2328">
        <v>239</v>
      </c>
      <c r="T2328" t="s">
        <v>163</v>
      </c>
      <c r="U2328" t="s">
        <v>80</v>
      </c>
      <c r="V2328" t="s">
        <v>134</v>
      </c>
      <c r="W2328" t="s">
        <v>31</v>
      </c>
      <c r="X2328" t="s">
        <v>31</v>
      </c>
      <c r="Y2328" t="s">
        <v>31</v>
      </c>
    </row>
    <row r="2329" spans="1:25" hidden="1">
      <c r="A2329" t="s">
        <v>25</v>
      </c>
      <c r="B2329" t="s">
        <v>26</v>
      </c>
      <c r="C2329" t="s">
        <v>62</v>
      </c>
      <c r="D2329" s="1">
        <v>45606</v>
      </c>
      <c r="E2329" s="2">
        <v>0.5625</v>
      </c>
      <c r="F2329" t="s">
        <v>45</v>
      </c>
      <c r="G2329" t="s">
        <v>50</v>
      </c>
      <c r="H2329">
        <v>1</v>
      </c>
      <c r="I2329">
        <v>2</v>
      </c>
      <c r="J2329" t="s">
        <v>30</v>
      </c>
      <c r="K2329">
        <v>378</v>
      </c>
      <c r="L2329">
        <v>326</v>
      </c>
      <c r="M2329">
        <v>216</v>
      </c>
      <c r="N2329">
        <v>38</v>
      </c>
      <c r="O2329">
        <v>34</v>
      </c>
      <c r="P2329">
        <v>219</v>
      </c>
      <c r="Q2329">
        <v>357</v>
      </c>
      <c r="R2329">
        <v>327</v>
      </c>
      <c r="S2329">
        <v>21</v>
      </c>
      <c r="T2329" t="s">
        <v>125</v>
      </c>
      <c r="U2329" t="s">
        <v>167</v>
      </c>
      <c r="V2329" t="s">
        <v>72</v>
      </c>
      <c r="W2329" t="s">
        <v>31</v>
      </c>
      <c r="X2329" t="s">
        <v>31</v>
      </c>
      <c r="Y2329" t="s">
        <v>31</v>
      </c>
    </row>
    <row r="2330" spans="1:25" hidden="1">
      <c r="A2330" t="s">
        <v>25</v>
      </c>
      <c r="B2330" t="s">
        <v>26</v>
      </c>
      <c r="C2330" t="s">
        <v>62</v>
      </c>
      <c r="D2330" s="1">
        <v>45606</v>
      </c>
      <c r="E2330" s="2">
        <v>0.5625</v>
      </c>
      <c r="F2330" t="s">
        <v>61</v>
      </c>
      <c r="G2330" t="s">
        <v>29</v>
      </c>
      <c r="H2330">
        <v>2</v>
      </c>
      <c r="I2330">
        <v>0</v>
      </c>
      <c r="J2330" t="s">
        <v>34</v>
      </c>
      <c r="K2330">
        <v>565</v>
      </c>
      <c r="L2330">
        <v>458</v>
      </c>
      <c r="M2330">
        <v>156</v>
      </c>
      <c r="N2330">
        <v>606</v>
      </c>
      <c r="O2330">
        <v>46</v>
      </c>
      <c r="P2330">
        <v>16</v>
      </c>
      <c r="Q2330">
        <v>544</v>
      </c>
      <c r="R2330">
        <v>431</v>
      </c>
      <c r="S2330">
        <v>154</v>
      </c>
      <c r="T2330" t="s">
        <v>65</v>
      </c>
      <c r="U2330" t="s">
        <v>115</v>
      </c>
      <c r="V2330" t="s">
        <v>153</v>
      </c>
      <c r="W2330" t="s">
        <v>31</v>
      </c>
      <c r="X2330" t="s">
        <v>31</v>
      </c>
      <c r="Y2330" t="s">
        <v>31</v>
      </c>
    </row>
    <row r="2331" spans="1:25" hidden="1">
      <c r="A2331" t="s">
        <v>25</v>
      </c>
      <c r="B2331" t="s">
        <v>26</v>
      </c>
      <c r="C2331" t="s">
        <v>62</v>
      </c>
      <c r="D2331" s="1">
        <v>45606</v>
      </c>
      <c r="E2331" s="2">
        <v>0.66666666666666663</v>
      </c>
      <c r="F2331" t="s">
        <v>35</v>
      </c>
      <c r="G2331" t="s">
        <v>56</v>
      </c>
      <c r="H2331">
        <v>2</v>
      </c>
      <c r="I2331">
        <v>0</v>
      </c>
      <c r="J2331" t="s">
        <v>34</v>
      </c>
      <c r="K2331">
        <v>145</v>
      </c>
      <c r="L2331">
        <v>484</v>
      </c>
      <c r="M2331">
        <v>703</v>
      </c>
      <c r="N2331">
        <v>149</v>
      </c>
      <c r="O2331">
        <v>484</v>
      </c>
      <c r="P2331">
        <v>703</v>
      </c>
      <c r="Q2331">
        <v>144</v>
      </c>
      <c r="R2331">
        <v>459</v>
      </c>
      <c r="S2331">
        <v>653</v>
      </c>
      <c r="T2331" t="s">
        <v>168</v>
      </c>
      <c r="U2331" t="s">
        <v>169</v>
      </c>
      <c r="V2331" t="s">
        <v>170</v>
      </c>
      <c r="W2331" t="s">
        <v>31</v>
      </c>
      <c r="X2331" t="s">
        <v>31</v>
      </c>
      <c r="Y2331" t="s">
        <v>31</v>
      </c>
    </row>
    <row r="2332" spans="1:25" hidden="1">
      <c r="A2332" t="s">
        <v>25</v>
      </c>
      <c r="B2332" t="s">
        <v>26</v>
      </c>
      <c r="C2332" t="s">
        <v>62</v>
      </c>
      <c r="D2332" s="1">
        <v>45619</v>
      </c>
      <c r="E2332" s="2">
        <v>0.66666666666666663</v>
      </c>
      <c r="F2332" t="s">
        <v>29</v>
      </c>
      <c r="G2332" t="s">
        <v>50</v>
      </c>
      <c r="H2332">
        <v>1</v>
      </c>
      <c r="I2332">
        <v>2</v>
      </c>
      <c r="J2332" t="s">
        <v>30</v>
      </c>
      <c r="K2332">
        <v>179</v>
      </c>
      <c r="L2332">
        <v>399</v>
      </c>
      <c r="M2332">
        <v>441</v>
      </c>
      <c r="N2332">
        <v>181</v>
      </c>
      <c r="O2332">
        <v>41</v>
      </c>
      <c r="P2332">
        <v>486</v>
      </c>
      <c r="Q2332">
        <v>175</v>
      </c>
      <c r="R2332">
        <v>382</v>
      </c>
      <c r="S2332">
        <v>434</v>
      </c>
      <c r="T2332" t="s">
        <v>171</v>
      </c>
      <c r="U2332" t="s">
        <v>129</v>
      </c>
      <c r="V2332" t="s">
        <v>115</v>
      </c>
      <c r="W2332" t="s">
        <v>31</v>
      </c>
      <c r="X2332" t="s">
        <v>31</v>
      </c>
      <c r="Y2332" t="s">
        <v>31</v>
      </c>
    </row>
    <row r="2333" spans="1:25" hidden="1">
      <c r="A2333" t="s">
        <v>25</v>
      </c>
      <c r="B2333" t="s">
        <v>26</v>
      </c>
      <c r="C2333" t="s">
        <v>62</v>
      </c>
      <c r="D2333" s="1">
        <v>45619</v>
      </c>
      <c r="E2333" s="2">
        <v>0.66666666666666663</v>
      </c>
      <c r="F2333" t="s">
        <v>28</v>
      </c>
      <c r="G2333" t="s">
        <v>56</v>
      </c>
      <c r="H2333">
        <v>7</v>
      </c>
      <c r="I2333">
        <v>0</v>
      </c>
      <c r="J2333" t="s">
        <v>34</v>
      </c>
      <c r="K2333">
        <v>134</v>
      </c>
      <c r="L2333">
        <v>525</v>
      </c>
      <c r="M2333">
        <v>979</v>
      </c>
      <c r="N2333">
        <v>144</v>
      </c>
      <c r="O2333">
        <v>525</v>
      </c>
      <c r="P2333">
        <v>98</v>
      </c>
      <c r="Q2333">
        <v>134</v>
      </c>
      <c r="R2333">
        <v>495</v>
      </c>
      <c r="S2333">
        <v>856</v>
      </c>
      <c r="T2333" t="s">
        <v>172</v>
      </c>
      <c r="U2333" t="s">
        <v>141</v>
      </c>
      <c r="V2333" t="s">
        <v>64</v>
      </c>
      <c r="W2333" t="s">
        <v>31</v>
      </c>
      <c r="X2333" t="s">
        <v>31</v>
      </c>
      <c r="Y2333" t="s">
        <v>31</v>
      </c>
    </row>
    <row r="2334" spans="1:25" hidden="1">
      <c r="A2334" t="s">
        <v>25</v>
      </c>
      <c r="B2334" t="s">
        <v>26</v>
      </c>
      <c r="C2334" t="s">
        <v>62</v>
      </c>
      <c r="D2334" s="1">
        <v>45619</v>
      </c>
      <c r="E2334" s="2">
        <v>0.66666666666666663</v>
      </c>
      <c r="F2334" t="s">
        <v>54</v>
      </c>
      <c r="G2334" t="s">
        <v>35</v>
      </c>
      <c r="H2334">
        <v>0</v>
      </c>
      <c r="I2334">
        <v>0</v>
      </c>
      <c r="J2334" t="s">
        <v>41</v>
      </c>
      <c r="K2334">
        <v>695</v>
      </c>
      <c r="L2334">
        <v>463</v>
      </c>
      <c r="M2334">
        <v>147</v>
      </c>
      <c r="N2334">
        <v>7</v>
      </c>
      <c r="O2334">
        <v>47</v>
      </c>
      <c r="P2334">
        <v>15</v>
      </c>
      <c r="Q2334">
        <v>656</v>
      </c>
      <c r="R2334">
        <v>441</v>
      </c>
      <c r="S2334">
        <v>145</v>
      </c>
      <c r="T2334" t="s">
        <v>173</v>
      </c>
      <c r="U2334" t="s">
        <v>154</v>
      </c>
      <c r="V2334" t="s">
        <v>174</v>
      </c>
      <c r="W2334" t="s">
        <v>31</v>
      </c>
      <c r="X2334" t="s">
        <v>31</v>
      </c>
      <c r="Y2334" t="s">
        <v>31</v>
      </c>
    </row>
    <row r="2335" spans="1:25" hidden="1">
      <c r="A2335" t="s">
        <v>25</v>
      </c>
      <c r="B2335" t="s">
        <v>26</v>
      </c>
      <c r="C2335" t="s">
        <v>62</v>
      </c>
      <c r="D2335" s="1">
        <v>45620</v>
      </c>
      <c r="E2335" s="2">
        <v>0.5625</v>
      </c>
      <c r="F2335" t="s">
        <v>61</v>
      </c>
      <c r="G2335" t="s">
        <v>63</v>
      </c>
      <c r="H2335">
        <v>1</v>
      </c>
      <c r="I2335">
        <v>2</v>
      </c>
      <c r="J2335" t="s">
        <v>30</v>
      </c>
      <c r="K2335">
        <v>207</v>
      </c>
      <c r="L2335">
        <v>339</v>
      </c>
      <c r="M2335">
        <v>389</v>
      </c>
      <c r="N2335">
        <v>226</v>
      </c>
      <c r="O2335">
        <v>35</v>
      </c>
      <c r="P2335">
        <v>4</v>
      </c>
      <c r="Q2335">
        <v>205</v>
      </c>
      <c r="R2335">
        <v>329</v>
      </c>
      <c r="S2335">
        <v>369</v>
      </c>
      <c r="T2335" t="s">
        <v>152</v>
      </c>
      <c r="U2335" t="s">
        <v>167</v>
      </c>
      <c r="V2335" t="s">
        <v>129</v>
      </c>
      <c r="W2335" t="s">
        <v>31</v>
      </c>
      <c r="X2335" t="s">
        <v>31</v>
      </c>
      <c r="Y2335" t="s">
        <v>31</v>
      </c>
    </row>
    <row r="2336" spans="1:25" hidden="1">
      <c r="A2336" t="s">
        <v>25</v>
      </c>
      <c r="B2336" t="s">
        <v>26</v>
      </c>
      <c r="C2336" t="s">
        <v>62</v>
      </c>
      <c r="D2336" s="1">
        <v>45620</v>
      </c>
      <c r="E2336" s="2">
        <v>0.5625</v>
      </c>
      <c r="F2336" t="s">
        <v>39</v>
      </c>
      <c r="G2336" t="s">
        <v>45</v>
      </c>
      <c r="H2336">
        <v>2</v>
      </c>
      <c r="I2336">
        <v>0</v>
      </c>
      <c r="J2336" t="s">
        <v>34</v>
      </c>
      <c r="K2336">
        <v>191</v>
      </c>
      <c r="L2336">
        <v>347</v>
      </c>
      <c r="M2336">
        <v>449</v>
      </c>
      <c r="N2336">
        <v>197</v>
      </c>
      <c r="O2336">
        <v>36</v>
      </c>
      <c r="P2336">
        <v>449</v>
      </c>
      <c r="Q2336">
        <v>188</v>
      </c>
      <c r="R2336">
        <v>345</v>
      </c>
      <c r="S2336">
        <v>409</v>
      </c>
      <c r="T2336" t="s">
        <v>175</v>
      </c>
      <c r="U2336" t="s">
        <v>68</v>
      </c>
      <c r="V2336" t="s">
        <v>156</v>
      </c>
      <c r="W2336" t="s">
        <v>31</v>
      </c>
      <c r="X2336" t="s">
        <v>31</v>
      </c>
      <c r="Y2336" t="s">
        <v>31</v>
      </c>
    </row>
    <row r="2337" spans="1:25" hidden="1">
      <c r="A2337" t="s">
        <v>25</v>
      </c>
      <c r="B2337" t="s">
        <v>26</v>
      </c>
      <c r="C2337" t="s">
        <v>62</v>
      </c>
      <c r="D2337" s="1">
        <v>45620</v>
      </c>
      <c r="E2337" s="2">
        <v>0.66666666666666663</v>
      </c>
      <c r="F2337" t="s">
        <v>40</v>
      </c>
      <c r="G2337" t="s">
        <v>52</v>
      </c>
      <c r="H2337">
        <v>1</v>
      </c>
      <c r="I2337">
        <v>0</v>
      </c>
      <c r="J2337" t="s">
        <v>34</v>
      </c>
      <c r="K2337">
        <v>196</v>
      </c>
      <c r="L2337">
        <v>371</v>
      </c>
      <c r="M2337">
        <v>391</v>
      </c>
      <c r="N2337">
        <v>202</v>
      </c>
      <c r="O2337">
        <v>38</v>
      </c>
      <c r="P2337">
        <v>405</v>
      </c>
      <c r="Q2337">
        <v>192</v>
      </c>
      <c r="R2337">
        <v>363</v>
      </c>
      <c r="S2337">
        <v>372</v>
      </c>
      <c r="T2337" t="s">
        <v>101</v>
      </c>
      <c r="U2337" t="s">
        <v>92</v>
      </c>
      <c r="V2337" t="s">
        <v>129</v>
      </c>
      <c r="W2337" t="s">
        <v>31</v>
      </c>
      <c r="X2337" t="s">
        <v>31</v>
      </c>
      <c r="Y2337" t="s">
        <v>31</v>
      </c>
    </row>
    <row r="2338" spans="1:25" hidden="1">
      <c r="A2338" t="s">
        <v>25</v>
      </c>
      <c r="B2338" t="s">
        <v>26</v>
      </c>
      <c r="C2338" t="s">
        <v>62</v>
      </c>
      <c r="D2338" s="1">
        <v>45626</v>
      </c>
      <c r="E2338" s="2">
        <v>0.66666666666666663</v>
      </c>
      <c r="F2338" t="s">
        <v>45</v>
      </c>
      <c r="G2338" t="s">
        <v>28</v>
      </c>
      <c r="H2338">
        <v>1</v>
      </c>
      <c r="I2338">
        <v>1</v>
      </c>
      <c r="J2338" t="s">
        <v>41</v>
      </c>
      <c r="K2338">
        <v>579</v>
      </c>
      <c r="L2338">
        <v>399</v>
      </c>
      <c r="M2338">
        <v>163</v>
      </c>
      <c r="N2338">
        <v>579</v>
      </c>
      <c r="O2338">
        <v>41</v>
      </c>
      <c r="P2338">
        <v>166</v>
      </c>
      <c r="Q2338">
        <v>547</v>
      </c>
      <c r="R2338">
        <v>388</v>
      </c>
      <c r="S2338">
        <v>16</v>
      </c>
      <c r="T2338" t="s">
        <v>176</v>
      </c>
      <c r="U2338" t="s">
        <v>83</v>
      </c>
      <c r="V2338" t="s">
        <v>177</v>
      </c>
      <c r="W2338" t="s">
        <v>31</v>
      </c>
      <c r="X2338" t="s">
        <v>31</v>
      </c>
      <c r="Y2338" t="s">
        <v>31</v>
      </c>
    </row>
    <row r="2339" spans="1:25" hidden="1">
      <c r="A2339" t="s">
        <v>25</v>
      </c>
      <c r="B2339" t="s">
        <v>26</v>
      </c>
      <c r="C2339" t="s">
        <v>62</v>
      </c>
      <c r="D2339" s="1">
        <v>45626</v>
      </c>
      <c r="E2339" s="2">
        <v>0.66666666666666663</v>
      </c>
      <c r="F2339" t="s">
        <v>63</v>
      </c>
      <c r="G2339" t="s">
        <v>39</v>
      </c>
      <c r="H2339">
        <v>3</v>
      </c>
      <c r="I2339">
        <v>4</v>
      </c>
      <c r="J2339" t="s">
        <v>30</v>
      </c>
      <c r="K2339">
        <v>32</v>
      </c>
      <c r="L2339">
        <v>333</v>
      </c>
      <c r="M2339">
        <v>238</v>
      </c>
      <c r="N2339">
        <v>32</v>
      </c>
      <c r="O2339">
        <v>335</v>
      </c>
      <c r="P2339">
        <v>251</v>
      </c>
      <c r="Q2339">
        <v>301</v>
      </c>
      <c r="R2339">
        <v>324</v>
      </c>
      <c r="S2339">
        <v>237</v>
      </c>
      <c r="T2339" t="s">
        <v>143</v>
      </c>
      <c r="U2339" t="s">
        <v>93</v>
      </c>
      <c r="V2339" t="s">
        <v>134</v>
      </c>
      <c r="W2339" t="s">
        <v>31</v>
      </c>
      <c r="X2339" t="s">
        <v>31</v>
      </c>
      <c r="Y2339" t="s">
        <v>31</v>
      </c>
    </row>
    <row r="2340" spans="1:25" hidden="1">
      <c r="A2340" t="s">
        <v>25</v>
      </c>
      <c r="B2340" t="s">
        <v>26</v>
      </c>
      <c r="C2340" t="s">
        <v>62</v>
      </c>
      <c r="D2340" s="1">
        <v>45626</v>
      </c>
      <c r="E2340" s="2">
        <v>0.66666666666666663</v>
      </c>
      <c r="F2340" t="s">
        <v>52</v>
      </c>
      <c r="G2340" t="s">
        <v>29</v>
      </c>
      <c r="H2340">
        <v>1</v>
      </c>
      <c r="I2340">
        <v>1</v>
      </c>
      <c r="J2340" t="s">
        <v>41</v>
      </c>
      <c r="K2340">
        <v>416</v>
      </c>
      <c r="L2340">
        <v>396</v>
      </c>
      <c r="M2340">
        <v>184</v>
      </c>
      <c r="N2340">
        <v>417</v>
      </c>
      <c r="O2340">
        <v>416</v>
      </c>
      <c r="P2340">
        <v>185</v>
      </c>
      <c r="Q2340">
        <v>399</v>
      </c>
      <c r="R2340">
        <v>393</v>
      </c>
      <c r="S2340">
        <v>179</v>
      </c>
      <c r="T2340" t="s">
        <v>100</v>
      </c>
      <c r="U2340" t="s">
        <v>129</v>
      </c>
      <c r="V2340" t="s">
        <v>159</v>
      </c>
      <c r="W2340" t="s">
        <v>31</v>
      </c>
      <c r="X2340" t="s">
        <v>31</v>
      </c>
      <c r="Y2340" t="s">
        <v>31</v>
      </c>
    </row>
    <row r="2341" spans="1:25" hidden="1">
      <c r="A2341" t="s">
        <v>25</v>
      </c>
      <c r="B2341" t="s">
        <v>26</v>
      </c>
      <c r="C2341" t="s">
        <v>62</v>
      </c>
      <c r="D2341" s="1">
        <v>45627</v>
      </c>
      <c r="E2341" s="2">
        <v>0.5625</v>
      </c>
      <c r="F2341" t="s">
        <v>56</v>
      </c>
      <c r="G2341" t="s">
        <v>54</v>
      </c>
      <c r="H2341">
        <v>0</v>
      </c>
      <c r="I2341">
        <v>3</v>
      </c>
      <c r="J2341" t="s">
        <v>30</v>
      </c>
      <c r="K2341">
        <v>234</v>
      </c>
      <c r="L2341">
        <v>321</v>
      </c>
      <c r="M2341">
        <v>34</v>
      </c>
      <c r="N2341">
        <v>235</v>
      </c>
      <c r="O2341">
        <v>321</v>
      </c>
      <c r="P2341">
        <v>361</v>
      </c>
      <c r="Q2341">
        <v>226</v>
      </c>
      <c r="R2341">
        <v>312</v>
      </c>
      <c r="S2341">
        <v>333</v>
      </c>
      <c r="T2341" t="s">
        <v>113</v>
      </c>
      <c r="U2341" t="s">
        <v>93</v>
      </c>
      <c r="V2341" t="s">
        <v>80</v>
      </c>
      <c r="W2341" t="s">
        <v>31</v>
      </c>
      <c r="X2341" t="s">
        <v>31</v>
      </c>
      <c r="Y2341" t="s">
        <v>31</v>
      </c>
    </row>
    <row r="2342" spans="1:25" hidden="1">
      <c r="A2342" t="s">
        <v>25</v>
      </c>
      <c r="B2342" t="s">
        <v>26</v>
      </c>
      <c r="C2342" t="s">
        <v>62</v>
      </c>
      <c r="D2342" s="1">
        <v>45627</v>
      </c>
      <c r="E2342" s="2">
        <v>0.5625</v>
      </c>
      <c r="F2342" t="s">
        <v>35</v>
      </c>
      <c r="G2342" t="s">
        <v>61</v>
      </c>
      <c r="H2342">
        <v>0</v>
      </c>
      <c r="I2342">
        <v>1</v>
      </c>
      <c r="J2342" t="s">
        <v>30</v>
      </c>
      <c r="K2342">
        <v>165</v>
      </c>
      <c r="L2342">
        <v>396</v>
      </c>
      <c r="M2342">
        <v>567</v>
      </c>
      <c r="N2342">
        <v>165</v>
      </c>
      <c r="O2342">
        <v>464</v>
      </c>
      <c r="P2342">
        <v>766</v>
      </c>
      <c r="Q2342">
        <v>159</v>
      </c>
      <c r="R2342">
        <v>393</v>
      </c>
      <c r="S2342">
        <v>549</v>
      </c>
      <c r="T2342" t="s">
        <v>146</v>
      </c>
      <c r="U2342" t="s">
        <v>75</v>
      </c>
      <c r="V2342" t="s">
        <v>178</v>
      </c>
      <c r="W2342" t="s">
        <v>31</v>
      </c>
      <c r="X2342" t="s">
        <v>31</v>
      </c>
      <c r="Y2342" t="s">
        <v>31</v>
      </c>
    </row>
    <row r="2343" spans="1:25" hidden="1">
      <c r="A2343" t="s">
        <v>25</v>
      </c>
      <c r="B2343" t="s">
        <v>26</v>
      </c>
      <c r="C2343" t="s">
        <v>62</v>
      </c>
      <c r="D2343" s="1">
        <v>45627</v>
      </c>
      <c r="E2343" s="2">
        <v>0.66666666666666663</v>
      </c>
      <c r="F2343" t="s">
        <v>50</v>
      </c>
      <c r="G2343" t="s">
        <v>40</v>
      </c>
      <c r="H2343">
        <v>1</v>
      </c>
      <c r="I2343">
        <v>3</v>
      </c>
      <c r="J2343" t="s">
        <v>30</v>
      </c>
      <c r="K2343">
        <v>232</v>
      </c>
      <c r="L2343">
        <v>338</v>
      </c>
      <c r="M2343">
        <v>327</v>
      </c>
      <c r="N2343">
        <v>237</v>
      </c>
      <c r="O2343">
        <v>346</v>
      </c>
      <c r="P2343">
        <v>328</v>
      </c>
      <c r="Q2343">
        <v>226</v>
      </c>
      <c r="R2343">
        <v>33</v>
      </c>
      <c r="S2343">
        <v>313</v>
      </c>
      <c r="T2343" t="s">
        <v>85</v>
      </c>
      <c r="U2343" t="s">
        <v>167</v>
      </c>
      <c r="V2343" t="s">
        <v>143</v>
      </c>
      <c r="W2343" t="s">
        <v>31</v>
      </c>
      <c r="X2343" t="s">
        <v>31</v>
      </c>
      <c r="Y2343" t="s">
        <v>31</v>
      </c>
    </row>
    <row r="2344" spans="1:25" hidden="1">
      <c r="A2344" t="s">
        <v>25</v>
      </c>
      <c r="B2344" t="s">
        <v>26</v>
      </c>
      <c r="C2344" t="s">
        <v>62</v>
      </c>
      <c r="D2344" s="1">
        <v>45630</v>
      </c>
      <c r="E2344" s="2">
        <v>0.8125</v>
      </c>
      <c r="F2344" t="s">
        <v>29</v>
      </c>
      <c r="G2344" t="s">
        <v>52</v>
      </c>
      <c r="H2344">
        <v>4</v>
      </c>
      <c r="I2344">
        <v>0</v>
      </c>
      <c r="J2344" t="s">
        <v>34</v>
      </c>
      <c r="K2344">
        <v>132</v>
      </c>
      <c r="L2344">
        <v>567</v>
      </c>
      <c r="M2344">
        <v>952</v>
      </c>
      <c r="N2344">
        <v>143</v>
      </c>
      <c r="O2344">
        <v>567</v>
      </c>
      <c r="P2344">
        <v>105</v>
      </c>
      <c r="Q2344">
        <v>132</v>
      </c>
      <c r="R2344">
        <v>531</v>
      </c>
      <c r="S2344">
        <v>868</v>
      </c>
      <c r="T2344" t="s">
        <v>120</v>
      </c>
      <c r="U2344" t="s">
        <v>178</v>
      </c>
      <c r="V2344" t="s">
        <v>64</v>
      </c>
      <c r="W2344" t="s">
        <v>31</v>
      </c>
      <c r="X2344" t="s">
        <v>31</v>
      </c>
      <c r="Y2344" t="s">
        <v>31</v>
      </c>
    </row>
    <row r="2345" spans="1:25" hidden="1">
      <c r="A2345" t="s">
        <v>25</v>
      </c>
      <c r="B2345" t="s">
        <v>26</v>
      </c>
      <c r="C2345" t="s">
        <v>62</v>
      </c>
      <c r="D2345" s="1">
        <v>45633</v>
      </c>
      <c r="E2345" s="2">
        <v>0.66666666666666663</v>
      </c>
      <c r="F2345" t="s">
        <v>29</v>
      </c>
      <c r="G2345" t="s">
        <v>35</v>
      </c>
      <c r="H2345">
        <v>2</v>
      </c>
      <c r="I2345">
        <v>2</v>
      </c>
      <c r="J2345" t="s">
        <v>41</v>
      </c>
      <c r="K2345">
        <v>219</v>
      </c>
      <c r="L2345">
        <v>356</v>
      </c>
      <c r="M2345">
        <v>335</v>
      </c>
      <c r="N2345">
        <v>236</v>
      </c>
      <c r="O2345">
        <v>36</v>
      </c>
      <c r="P2345">
        <v>34</v>
      </c>
      <c r="Q2345">
        <v>22</v>
      </c>
      <c r="R2345">
        <v>346</v>
      </c>
      <c r="S2345">
        <v>314</v>
      </c>
      <c r="T2345" t="s">
        <v>124</v>
      </c>
      <c r="U2345" t="s">
        <v>114</v>
      </c>
      <c r="V2345" t="s">
        <v>167</v>
      </c>
      <c r="W2345" t="s">
        <v>31</v>
      </c>
      <c r="X2345" t="s">
        <v>31</v>
      </c>
      <c r="Y2345" t="s">
        <v>31</v>
      </c>
    </row>
    <row r="2346" spans="1:25" hidden="1">
      <c r="A2346" t="s">
        <v>25</v>
      </c>
      <c r="B2346" t="s">
        <v>26</v>
      </c>
      <c r="C2346" t="s">
        <v>62</v>
      </c>
      <c r="D2346" s="1">
        <v>45633</v>
      </c>
      <c r="E2346" s="2">
        <v>0.66666666666666663</v>
      </c>
      <c r="F2346" t="s">
        <v>54</v>
      </c>
      <c r="G2346" t="s">
        <v>28</v>
      </c>
      <c r="H2346">
        <v>0</v>
      </c>
      <c r="I2346">
        <v>3</v>
      </c>
      <c r="J2346" t="s">
        <v>30</v>
      </c>
      <c r="K2346">
        <v>742</v>
      </c>
      <c r="L2346">
        <v>442</v>
      </c>
      <c r="M2346">
        <v>148</v>
      </c>
      <c r="N2346">
        <v>762</v>
      </c>
      <c r="O2346">
        <v>45</v>
      </c>
      <c r="P2346">
        <v>15</v>
      </c>
      <c r="Q2346">
        <v>684</v>
      </c>
      <c r="R2346">
        <v>429</v>
      </c>
      <c r="S2346">
        <v>146</v>
      </c>
      <c r="T2346" t="s">
        <v>170</v>
      </c>
      <c r="U2346" t="s">
        <v>115</v>
      </c>
      <c r="V2346" t="s">
        <v>179</v>
      </c>
      <c r="W2346" t="s">
        <v>31</v>
      </c>
      <c r="X2346" t="s">
        <v>31</v>
      </c>
      <c r="Y2346" t="s">
        <v>31</v>
      </c>
    </row>
    <row r="2347" spans="1:25" hidden="1">
      <c r="A2347" t="s">
        <v>25</v>
      </c>
      <c r="B2347" t="s">
        <v>26</v>
      </c>
      <c r="C2347" t="s">
        <v>62</v>
      </c>
      <c r="D2347" s="1">
        <v>45633</v>
      </c>
      <c r="E2347" s="2">
        <v>0.66666666666666663</v>
      </c>
      <c r="F2347" t="s">
        <v>39</v>
      </c>
      <c r="G2347" t="s">
        <v>50</v>
      </c>
      <c r="H2347">
        <v>2</v>
      </c>
      <c r="I2347">
        <v>1</v>
      </c>
      <c r="J2347" t="s">
        <v>34</v>
      </c>
      <c r="K2347">
        <v>272</v>
      </c>
      <c r="L2347">
        <v>34</v>
      </c>
      <c r="M2347">
        <v>27</v>
      </c>
      <c r="N2347">
        <v>272</v>
      </c>
      <c r="O2347">
        <v>349</v>
      </c>
      <c r="P2347">
        <v>284</v>
      </c>
      <c r="Q2347">
        <v>263</v>
      </c>
      <c r="R2347">
        <v>328</v>
      </c>
      <c r="S2347">
        <v>265</v>
      </c>
      <c r="T2347" t="s">
        <v>180</v>
      </c>
      <c r="U2347" t="s">
        <v>93</v>
      </c>
      <c r="V2347" t="s">
        <v>180</v>
      </c>
      <c r="W2347" t="s">
        <v>31</v>
      </c>
      <c r="X2347" t="s">
        <v>31</v>
      </c>
      <c r="Y2347" t="s">
        <v>31</v>
      </c>
    </row>
    <row r="2348" spans="1:25" hidden="1">
      <c r="A2348" t="s">
        <v>25</v>
      </c>
      <c r="B2348" t="s">
        <v>26</v>
      </c>
      <c r="C2348" t="s">
        <v>62</v>
      </c>
      <c r="D2348" s="1">
        <v>45634</v>
      </c>
      <c r="E2348" s="2">
        <v>0.5625</v>
      </c>
      <c r="F2348" t="s">
        <v>61</v>
      </c>
      <c r="G2348" t="s">
        <v>56</v>
      </c>
      <c r="H2348">
        <v>2</v>
      </c>
      <c r="I2348">
        <v>1</v>
      </c>
      <c r="J2348" t="s">
        <v>34</v>
      </c>
      <c r="K2348">
        <v>176</v>
      </c>
      <c r="L2348">
        <v>392</v>
      </c>
      <c r="M2348">
        <v>472</v>
      </c>
      <c r="N2348">
        <v>191</v>
      </c>
      <c r="O2348">
        <v>401</v>
      </c>
      <c r="P2348">
        <v>472</v>
      </c>
      <c r="Q2348">
        <v>175</v>
      </c>
      <c r="R2348">
        <v>374</v>
      </c>
      <c r="S2348">
        <v>442</v>
      </c>
      <c r="T2348" t="s">
        <v>171</v>
      </c>
      <c r="U2348" t="s">
        <v>116</v>
      </c>
      <c r="V2348" t="s">
        <v>150</v>
      </c>
      <c r="W2348" t="s">
        <v>31</v>
      </c>
      <c r="X2348" t="s">
        <v>31</v>
      </c>
      <c r="Y2348" t="s">
        <v>31</v>
      </c>
    </row>
    <row r="2349" spans="1:25" hidden="1">
      <c r="A2349" t="s">
        <v>25</v>
      </c>
      <c r="B2349" t="s">
        <v>26</v>
      </c>
      <c r="C2349" t="s">
        <v>62</v>
      </c>
      <c r="D2349" s="1">
        <v>45634</v>
      </c>
      <c r="E2349" s="2">
        <v>0.5625</v>
      </c>
      <c r="F2349" t="s">
        <v>63</v>
      </c>
      <c r="G2349" t="s">
        <v>52</v>
      </c>
      <c r="H2349">
        <v>0</v>
      </c>
      <c r="I2349">
        <v>3</v>
      </c>
      <c r="J2349" t="s">
        <v>30</v>
      </c>
      <c r="K2349">
        <v>248</v>
      </c>
      <c r="L2349">
        <v>343</v>
      </c>
      <c r="M2349">
        <v>295</v>
      </c>
      <c r="N2349">
        <v>26</v>
      </c>
      <c r="O2349">
        <v>347</v>
      </c>
      <c r="P2349">
        <v>3</v>
      </c>
      <c r="Q2349">
        <v>243</v>
      </c>
      <c r="R2349">
        <v>335</v>
      </c>
      <c r="S2349">
        <v>282</v>
      </c>
      <c r="T2349" t="s">
        <v>181</v>
      </c>
      <c r="U2349" t="s">
        <v>80</v>
      </c>
      <c r="V2349" t="s">
        <v>79</v>
      </c>
      <c r="W2349" t="s">
        <v>31</v>
      </c>
      <c r="X2349" t="s">
        <v>31</v>
      </c>
      <c r="Y2349" t="s">
        <v>31</v>
      </c>
    </row>
    <row r="2350" spans="1:25" hidden="1">
      <c r="A2350" t="s">
        <v>25</v>
      </c>
      <c r="B2350" t="s">
        <v>26</v>
      </c>
      <c r="C2350" t="s">
        <v>62</v>
      </c>
      <c r="D2350" s="1">
        <v>45634</v>
      </c>
      <c r="E2350" s="2">
        <v>0.66666666666666663</v>
      </c>
      <c r="F2350" t="s">
        <v>40</v>
      </c>
      <c r="G2350" t="s">
        <v>45</v>
      </c>
      <c r="H2350">
        <v>3</v>
      </c>
      <c r="I2350">
        <v>0</v>
      </c>
      <c r="J2350" t="s">
        <v>34</v>
      </c>
      <c r="K2350">
        <v>15</v>
      </c>
      <c r="L2350">
        <v>424</v>
      </c>
      <c r="M2350">
        <v>745</v>
      </c>
      <c r="N2350">
        <v>162</v>
      </c>
      <c r="O2350">
        <v>43</v>
      </c>
      <c r="P2350">
        <v>75</v>
      </c>
      <c r="Q2350">
        <v>149</v>
      </c>
      <c r="R2350">
        <v>409</v>
      </c>
      <c r="S2350">
        <v>684</v>
      </c>
      <c r="T2350" t="s">
        <v>182</v>
      </c>
      <c r="U2350" t="s">
        <v>69</v>
      </c>
      <c r="V2350" t="s">
        <v>183</v>
      </c>
      <c r="W2350" t="s">
        <v>31</v>
      </c>
      <c r="X2350" t="s">
        <v>31</v>
      </c>
      <c r="Y2350" t="s">
        <v>31</v>
      </c>
    </row>
    <row r="2351" spans="1:25" hidden="1">
      <c r="A2351" t="s">
        <v>25</v>
      </c>
      <c r="B2351" t="s">
        <v>26</v>
      </c>
      <c r="C2351" t="s">
        <v>62</v>
      </c>
      <c r="D2351" s="1">
        <v>45640</v>
      </c>
      <c r="E2351" s="2">
        <v>0.66666666666666663</v>
      </c>
      <c r="F2351" t="s">
        <v>29</v>
      </c>
      <c r="G2351" t="s">
        <v>56</v>
      </c>
      <c r="H2351">
        <v>3</v>
      </c>
      <c r="I2351">
        <v>0</v>
      </c>
      <c r="J2351" t="s">
        <v>34</v>
      </c>
      <c r="K2351">
        <v>114</v>
      </c>
      <c r="L2351">
        <v>924</v>
      </c>
      <c r="M2351">
        <v>1846</v>
      </c>
      <c r="N2351">
        <v>126</v>
      </c>
      <c r="O2351">
        <v>983</v>
      </c>
      <c r="P2351">
        <v>19</v>
      </c>
      <c r="Q2351">
        <v>115</v>
      </c>
      <c r="R2351">
        <v>835</v>
      </c>
      <c r="S2351">
        <v>1611</v>
      </c>
      <c r="T2351" t="s">
        <v>184</v>
      </c>
      <c r="U2351" t="s">
        <v>64</v>
      </c>
      <c r="V2351" t="s">
        <v>185</v>
      </c>
      <c r="W2351" t="s">
        <v>31</v>
      </c>
      <c r="X2351" t="s">
        <v>31</v>
      </c>
      <c r="Y2351" t="s">
        <v>31</v>
      </c>
    </row>
    <row r="2352" spans="1:25" hidden="1">
      <c r="A2352" t="s">
        <v>25</v>
      </c>
      <c r="B2352" t="s">
        <v>26</v>
      </c>
      <c r="C2352" t="s">
        <v>62</v>
      </c>
      <c r="D2352" s="1">
        <v>45695</v>
      </c>
      <c r="E2352" s="2">
        <v>0.8125</v>
      </c>
      <c r="F2352" t="s">
        <v>28</v>
      </c>
      <c r="G2352" t="s">
        <v>40</v>
      </c>
      <c r="H2352">
        <v>2</v>
      </c>
      <c r="I2352">
        <v>2</v>
      </c>
      <c r="J2352" t="s">
        <v>41</v>
      </c>
      <c r="K2352">
        <v>224</v>
      </c>
      <c r="L2352">
        <v>326</v>
      </c>
      <c r="M2352">
        <v>356</v>
      </c>
      <c r="N2352">
        <v>225</v>
      </c>
      <c r="O2352">
        <v>341</v>
      </c>
      <c r="P2352">
        <v>362</v>
      </c>
      <c r="Q2352">
        <v>218</v>
      </c>
      <c r="R2352">
        <v>319</v>
      </c>
      <c r="S2352">
        <v>345</v>
      </c>
      <c r="T2352" t="s">
        <v>186</v>
      </c>
      <c r="U2352" t="s">
        <v>93</v>
      </c>
      <c r="V2352" t="s">
        <v>71</v>
      </c>
      <c r="W2352" t="s">
        <v>31</v>
      </c>
      <c r="X2352" t="s">
        <v>31</v>
      </c>
      <c r="Y2352" t="s">
        <v>31</v>
      </c>
    </row>
    <row r="2353" spans="1:25" hidden="1">
      <c r="A2353" t="s">
        <v>25</v>
      </c>
      <c r="B2353" t="s">
        <v>26</v>
      </c>
      <c r="C2353" t="s">
        <v>62</v>
      </c>
      <c r="D2353" s="1">
        <v>45696</v>
      </c>
      <c r="E2353" s="2">
        <v>0.66666666666666663</v>
      </c>
      <c r="F2353" t="s">
        <v>45</v>
      </c>
      <c r="G2353" t="s">
        <v>63</v>
      </c>
      <c r="H2353">
        <v>1</v>
      </c>
      <c r="I2353">
        <v>2</v>
      </c>
      <c r="J2353" t="s">
        <v>30</v>
      </c>
      <c r="K2353">
        <v>217</v>
      </c>
      <c r="L2353">
        <v>321</v>
      </c>
      <c r="M2353">
        <v>382</v>
      </c>
      <c r="N2353">
        <v>233</v>
      </c>
      <c r="O2353">
        <v>341</v>
      </c>
      <c r="P2353">
        <v>382</v>
      </c>
      <c r="Q2353">
        <v>213</v>
      </c>
      <c r="R2353">
        <v>32</v>
      </c>
      <c r="S2353">
        <v>357</v>
      </c>
      <c r="T2353" t="s">
        <v>152</v>
      </c>
      <c r="U2353" t="s">
        <v>144</v>
      </c>
      <c r="V2353" t="s">
        <v>129</v>
      </c>
      <c r="W2353" t="s">
        <v>31</v>
      </c>
      <c r="X2353" t="s">
        <v>31</v>
      </c>
      <c r="Y2353" t="s">
        <v>31</v>
      </c>
    </row>
    <row r="2354" spans="1:25" hidden="1">
      <c r="A2354" t="s">
        <v>25</v>
      </c>
      <c r="B2354" t="s">
        <v>26</v>
      </c>
      <c r="C2354" t="s">
        <v>62</v>
      </c>
      <c r="D2354" s="1">
        <v>45696</v>
      </c>
      <c r="E2354" s="2">
        <v>0.66666666666666663</v>
      </c>
      <c r="F2354" t="s">
        <v>35</v>
      </c>
      <c r="G2354" t="s">
        <v>39</v>
      </c>
      <c r="H2354">
        <v>1</v>
      </c>
      <c r="I2354">
        <v>3</v>
      </c>
      <c r="J2354" t="s">
        <v>30</v>
      </c>
      <c r="K2354">
        <v>179</v>
      </c>
      <c r="L2354">
        <v>38</v>
      </c>
      <c r="M2354">
        <v>467</v>
      </c>
      <c r="N2354">
        <v>182</v>
      </c>
      <c r="O2354">
        <v>4</v>
      </c>
      <c r="P2354">
        <v>48</v>
      </c>
      <c r="Q2354">
        <v>174</v>
      </c>
      <c r="R2354">
        <v>374</v>
      </c>
      <c r="S2354">
        <v>453</v>
      </c>
      <c r="T2354" t="s">
        <v>187</v>
      </c>
      <c r="U2354" t="s">
        <v>125</v>
      </c>
      <c r="V2354" t="s">
        <v>169</v>
      </c>
      <c r="W2354" t="s">
        <v>31</v>
      </c>
      <c r="X2354" t="s">
        <v>31</v>
      </c>
      <c r="Y2354" t="s">
        <v>31</v>
      </c>
    </row>
    <row r="2355" spans="1:25" hidden="1">
      <c r="A2355" t="s">
        <v>25</v>
      </c>
      <c r="B2355" t="s">
        <v>26</v>
      </c>
      <c r="C2355" t="s">
        <v>62</v>
      </c>
      <c r="D2355" s="1">
        <v>45697</v>
      </c>
      <c r="E2355" s="2">
        <v>0.5625</v>
      </c>
      <c r="F2355" t="s">
        <v>56</v>
      </c>
      <c r="G2355" t="s">
        <v>29</v>
      </c>
      <c r="H2355">
        <v>0</v>
      </c>
      <c r="I2355">
        <v>0</v>
      </c>
      <c r="J2355" t="s">
        <v>41</v>
      </c>
      <c r="K2355">
        <v>689</v>
      </c>
      <c r="L2355">
        <v>48</v>
      </c>
      <c r="M2355">
        <v>146</v>
      </c>
      <c r="N2355">
        <v>756</v>
      </c>
      <c r="O2355">
        <v>514</v>
      </c>
      <c r="P2355">
        <v>15</v>
      </c>
      <c r="Q2355">
        <v>65</v>
      </c>
      <c r="R2355">
        <v>465</v>
      </c>
      <c r="S2355">
        <v>144</v>
      </c>
      <c r="T2355" t="s">
        <v>183</v>
      </c>
      <c r="U2355" t="s">
        <v>154</v>
      </c>
      <c r="V2355" t="s">
        <v>174</v>
      </c>
      <c r="W2355" t="s">
        <v>31</v>
      </c>
      <c r="X2355" t="s">
        <v>31</v>
      </c>
      <c r="Y2355" t="s">
        <v>31</v>
      </c>
    </row>
    <row r="2356" spans="1:25" hidden="1">
      <c r="A2356" t="s">
        <v>25</v>
      </c>
      <c r="B2356" t="s">
        <v>26</v>
      </c>
      <c r="C2356" t="s">
        <v>62</v>
      </c>
      <c r="D2356" s="1">
        <v>45697</v>
      </c>
      <c r="E2356" s="2">
        <v>0.5625</v>
      </c>
      <c r="F2356" t="s">
        <v>54</v>
      </c>
      <c r="G2356" t="s">
        <v>52</v>
      </c>
      <c r="H2356">
        <v>0</v>
      </c>
      <c r="I2356">
        <v>0</v>
      </c>
      <c r="J2356" t="s">
        <v>41</v>
      </c>
      <c r="K2356">
        <v>325</v>
      </c>
      <c r="L2356">
        <v>336</v>
      </c>
      <c r="M2356">
        <v>234</v>
      </c>
      <c r="N2356">
        <v>335</v>
      </c>
      <c r="O2356">
        <v>34</v>
      </c>
      <c r="P2356">
        <v>255</v>
      </c>
      <c r="Q2356">
        <v>313</v>
      </c>
      <c r="R2356">
        <v>325</v>
      </c>
      <c r="S2356">
        <v>229</v>
      </c>
      <c r="T2356" t="s">
        <v>70</v>
      </c>
      <c r="U2356" t="s">
        <v>144</v>
      </c>
      <c r="V2356" t="s">
        <v>142</v>
      </c>
      <c r="W2356" t="s">
        <v>31</v>
      </c>
      <c r="X2356" t="s">
        <v>31</v>
      </c>
      <c r="Y2356" t="s">
        <v>31</v>
      </c>
    </row>
    <row r="2357" spans="1:25" hidden="1">
      <c r="A2357" t="s">
        <v>25</v>
      </c>
      <c r="B2357" t="s">
        <v>26</v>
      </c>
      <c r="C2357" t="s">
        <v>62</v>
      </c>
      <c r="D2357" s="1">
        <v>45697</v>
      </c>
      <c r="E2357" s="2">
        <v>0.66666666666666663</v>
      </c>
      <c r="F2357" t="s">
        <v>50</v>
      </c>
      <c r="G2357" t="s">
        <v>61</v>
      </c>
      <c r="H2357">
        <v>0</v>
      </c>
      <c r="I2357">
        <v>0</v>
      </c>
      <c r="J2357" t="s">
        <v>41</v>
      </c>
      <c r="K2357">
        <v>242</v>
      </c>
      <c r="L2357">
        <v>299</v>
      </c>
      <c r="M2357">
        <v>35</v>
      </c>
      <c r="N2357">
        <v>242</v>
      </c>
      <c r="O2357">
        <v>32</v>
      </c>
      <c r="P2357">
        <v>35</v>
      </c>
      <c r="Q2357">
        <v>233</v>
      </c>
      <c r="R2357">
        <v>303</v>
      </c>
      <c r="S2357">
        <v>329</v>
      </c>
      <c r="T2357" t="s">
        <v>102</v>
      </c>
      <c r="U2357" t="s">
        <v>110</v>
      </c>
      <c r="V2357" t="s">
        <v>68</v>
      </c>
      <c r="W2357" t="s">
        <v>31</v>
      </c>
      <c r="X2357" t="s">
        <v>31</v>
      </c>
      <c r="Y2357" t="s">
        <v>31</v>
      </c>
    </row>
    <row r="2358" spans="1:25" hidden="1">
      <c r="A2358" t="s">
        <v>25</v>
      </c>
      <c r="B2358" t="s">
        <v>26</v>
      </c>
      <c r="C2358" t="s">
        <v>62</v>
      </c>
      <c r="D2358" s="1">
        <v>45703</v>
      </c>
      <c r="E2358" s="2">
        <v>0.66666666666666663</v>
      </c>
      <c r="F2358" t="s">
        <v>61</v>
      </c>
      <c r="G2358" t="s">
        <v>45</v>
      </c>
      <c r="H2358">
        <v>1</v>
      </c>
      <c r="I2358">
        <v>3</v>
      </c>
      <c r="J2358" t="s">
        <v>30</v>
      </c>
      <c r="K2358">
        <v>203</v>
      </c>
      <c r="L2358">
        <v>322</v>
      </c>
      <c r="M2358">
        <v>433</v>
      </c>
      <c r="N2358">
        <v>207</v>
      </c>
      <c r="O2358">
        <v>328</v>
      </c>
      <c r="P2358">
        <v>433</v>
      </c>
      <c r="Q2358">
        <v>201</v>
      </c>
      <c r="R2358">
        <v>315</v>
      </c>
      <c r="S2358">
        <v>403</v>
      </c>
      <c r="T2358" t="s">
        <v>166</v>
      </c>
      <c r="U2358" t="s">
        <v>143</v>
      </c>
      <c r="V2358" t="s">
        <v>95</v>
      </c>
      <c r="W2358" t="s">
        <v>31</v>
      </c>
      <c r="X2358" t="s">
        <v>31</v>
      </c>
      <c r="Y2358" t="s">
        <v>31</v>
      </c>
    </row>
    <row r="2359" spans="1:25" hidden="1">
      <c r="A2359" t="s">
        <v>25</v>
      </c>
      <c r="B2359" t="s">
        <v>26</v>
      </c>
      <c r="C2359" t="s">
        <v>62</v>
      </c>
      <c r="D2359" s="1">
        <v>45703</v>
      </c>
      <c r="E2359" s="2">
        <v>0.66666666666666663</v>
      </c>
      <c r="F2359" t="s">
        <v>29</v>
      </c>
      <c r="G2359" t="s">
        <v>54</v>
      </c>
      <c r="H2359">
        <v>1</v>
      </c>
      <c r="I2359">
        <v>1</v>
      </c>
      <c r="J2359" t="s">
        <v>41</v>
      </c>
      <c r="K2359">
        <v>139</v>
      </c>
      <c r="L2359">
        <v>505</v>
      </c>
      <c r="M2359">
        <v>824</v>
      </c>
      <c r="N2359">
        <v>139</v>
      </c>
      <c r="O2359">
        <v>505</v>
      </c>
      <c r="P2359">
        <v>825</v>
      </c>
      <c r="Q2359">
        <v>137</v>
      </c>
      <c r="R2359">
        <v>478</v>
      </c>
      <c r="S2359">
        <v>778</v>
      </c>
      <c r="T2359" t="s">
        <v>106</v>
      </c>
      <c r="U2359" t="s">
        <v>141</v>
      </c>
      <c r="V2359" t="s">
        <v>188</v>
      </c>
      <c r="W2359" t="s">
        <v>31</v>
      </c>
      <c r="X2359" t="s">
        <v>31</v>
      </c>
      <c r="Y2359" t="s">
        <v>31</v>
      </c>
    </row>
    <row r="2360" spans="1:25" hidden="1">
      <c r="A2360" t="s">
        <v>25</v>
      </c>
      <c r="B2360" t="s">
        <v>26</v>
      </c>
      <c r="C2360" t="s">
        <v>62</v>
      </c>
      <c r="D2360" s="1">
        <v>45703</v>
      </c>
      <c r="E2360" s="2">
        <v>0.66666666666666663</v>
      </c>
      <c r="F2360" t="s">
        <v>39</v>
      </c>
      <c r="G2360" t="s">
        <v>28</v>
      </c>
      <c r="H2360">
        <v>3</v>
      </c>
      <c r="I2360">
        <v>0</v>
      </c>
      <c r="J2360" t="s">
        <v>34</v>
      </c>
      <c r="K2360">
        <v>314</v>
      </c>
      <c r="L2360">
        <v>349</v>
      </c>
      <c r="M2360">
        <v>233</v>
      </c>
      <c r="N2360">
        <v>314</v>
      </c>
      <c r="O2360">
        <v>349</v>
      </c>
      <c r="P2360">
        <v>24</v>
      </c>
      <c r="Q2360">
        <v>3</v>
      </c>
      <c r="R2360">
        <v>338</v>
      </c>
      <c r="S2360">
        <v>23</v>
      </c>
      <c r="T2360" t="s">
        <v>86</v>
      </c>
      <c r="U2360" t="s">
        <v>167</v>
      </c>
      <c r="V2360" t="s">
        <v>102</v>
      </c>
      <c r="W2360" t="s">
        <v>31</v>
      </c>
      <c r="X2360" t="s">
        <v>31</v>
      </c>
      <c r="Y2360" t="s">
        <v>31</v>
      </c>
    </row>
    <row r="2361" spans="1:25" hidden="1">
      <c r="A2361" t="s">
        <v>25</v>
      </c>
      <c r="B2361" t="s">
        <v>26</v>
      </c>
      <c r="C2361" t="s">
        <v>62</v>
      </c>
      <c r="D2361" s="1">
        <v>45704</v>
      </c>
      <c r="E2361" s="2">
        <v>0.5625</v>
      </c>
      <c r="F2361" t="s">
        <v>63</v>
      </c>
      <c r="G2361" t="s">
        <v>50</v>
      </c>
      <c r="H2361">
        <v>0</v>
      </c>
      <c r="I2361">
        <v>0</v>
      </c>
      <c r="J2361" t="s">
        <v>41</v>
      </c>
      <c r="K2361">
        <v>381</v>
      </c>
      <c r="L2361">
        <v>345</v>
      </c>
      <c r="M2361">
        <v>207</v>
      </c>
      <c r="N2361">
        <v>4</v>
      </c>
      <c r="O2361">
        <v>347</v>
      </c>
      <c r="P2361">
        <v>227</v>
      </c>
      <c r="Q2361">
        <v>355</v>
      </c>
      <c r="R2361">
        <v>332</v>
      </c>
      <c r="S2361">
        <v>208</v>
      </c>
      <c r="T2361" t="s">
        <v>116</v>
      </c>
      <c r="U2361" t="s">
        <v>68</v>
      </c>
      <c r="V2361" t="s">
        <v>189</v>
      </c>
      <c r="W2361" t="s">
        <v>31</v>
      </c>
      <c r="X2361" t="s">
        <v>31</v>
      </c>
      <c r="Y2361" t="s">
        <v>31</v>
      </c>
    </row>
    <row r="2362" spans="1:25" hidden="1">
      <c r="A2362" t="s">
        <v>25</v>
      </c>
      <c r="B2362" t="s">
        <v>26</v>
      </c>
      <c r="C2362" t="s">
        <v>62</v>
      </c>
      <c r="D2362" s="1">
        <v>45704</v>
      </c>
      <c r="E2362" s="2">
        <v>0.5625</v>
      </c>
      <c r="F2362" t="s">
        <v>52</v>
      </c>
      <c r="G2362" t="s">
        <v>56</v>
      </c>
      <c r="H2362">
        <v>1</v>
      </c>
      <c r="I2362">
        <v>1</v>
      </c>
      <c r="J2362" t="s">
        <v>41</v>
      </c>
      <c r="K2362">
        <v>187</v>
      </c>
      <c r="L2362">
        <v>367</v>
      </c>
      <c r="M2362">
        <v>44</v>
      </c>
      <c r="N2362">
        <v>193</v>
      </c>
      <c r="O2362">
        <v>372</v>
      </c>
      <c r="P2362">
        <v>44</v>
      </c>
      <c r="Q2362">
        <v>185</v>
      </c>
      <c r="R2362">
        <v>356</v>
      </c>
      <c r="S2362">
        <v>415</v>
      </c>
      <c r="T2362" t="s">
        <v>73</v>
      </c>
      <c r="U2362" t="s">
        <v>71</v>
      </c>
      <c r="V2362" t="s">
        <v>95</v>
      </c>
      <c r="W2362" t="s">
        <v>31</v>
      </c>
      <c r="X2362" t="s">
        <v>31</v>
      </c>
      <c r="Y2362" t="s">
        <v>31</v>
      </c>
    </row>
    <row r="2363" spans="1:25" hidden="1">
      <c r="A2363" t="s">
        <v>25</v>
      </c>
      <c r="B2363" t="s">
        <v>26</v>
      </c>
      <c r="C2363" t="s">
        <v>62</v>
      </c>
      <c r="D2363" s="1">
        <v>45704</v>
      </c>
      <c r="E2363" s="2">
        <v>0.66666666666666663</v>
      </c>
      <c r="F2363" t="s">
        <v>40</v>
      </c>
      <c r="G2363" t="s">
        <v>35</v>
      </c>
      <c r="H2363">
        <v>2</v>
      </c>
      <c r="I2363">
        <v>1</v>
      </c>
      <c r="J2363" t="s">
        <v>34</v>
      </c>
      <c r="K2363">
        <v>306</v>
      </c>
      <c r="L2363">
        <v>32</v>
      </c>
      <c r="M2363">
        <v>254</v>
      </c>
      <c r="N2363">
        <v>306</v>
      </c>
      <c r="O2363">
        <v>332</v>
      </c>
      <c r="P2363">
        <v>254</v>
      </c>
      <c r="Q2363">
        <v>293</v>
      </c>
      <c r="R2363">
        <v>317</v>
      </c>
      <c r="S2363">
        <v>246</v>
      </c>
      <c r="T2363" t="s">
        <v>126</v>
      </c>
      <c r="U2363" t="s">
        <v>143</v>
      </c>
      <c r="V2363" t="s">
        <v>190</v>
      </c>
      <c r="W2363" t="s">
        <v>31</v>
      </c>
      <c r="X2363" t="s">
        <v>31</v>
      </c>
      <c r="Y2363" t="s">
        <v>31</v>
      </c>
    </row>
    <row r="2364" spans="1:25" hidden="1">
      <c r="A2364" t="s">
        <v>25</v>
      </c>
      <c r="B2364" t="s">
        <v>26</v>
      </c>
      <c r="C2364" t="s">
        <v>62</v>
      </c>
      <c r="D2364" s="1">
        <v>45710</v>
      </c>
      <c r="E2364" s="2">
        <v>0.66666666666666663</v>
      </c>
      <c r="F2364" t="s">
        <v>56</v>
      </c>
      <c r="G2364" t="s">
        <v>63</v>
      </c>
      <c r="H2364">
        <v>4</v>
      </c>
      <c r="I2364">
        <v>2</v>
      </c>
      <c r="J2364" t="s">
        <v>34</v>
      </c>
      <c r="K2364">
        <v>277</v>
      </c>
      <c r="L2364">
        <v>316</v>
      </c>
      <c r="M2364">
        <v>281</v>
      </c>
      <c r="N2364">
        <v>278</v>
      </c>
      <c r="O2364">
        <v>337</v>
      </c>
      <c r="P2364">
        <v>281</v>
      </c>
      <c r="Q2364">
        <v>263</v>
      </c>
      <c r="R2364">
        <v>314</v>
      </c>
      <c r="S2364">
        <v>274</v>
      </c>
      <c r="T2364" t="s">
        <v>180</v>
      </c>
      <c r="U2364" t="s">
        <v>86</v>
      </c>
      <c r="V2364" t="s">
        <v>133</v>
      </c>
      <c r="W2364" t="s">
        <v>31</v>
      </c>
      <c r="X2364" t="s">
        <v>31</v>
      </c>
      <c r="Y2364" t="s">
        <v>31</v>
      </c>
    </row>
    <row r="2365" spans="1:25" hidden="1">
      <c r="A2365" t="s">
        <v>25</v>
      </c>
      <c r="B2365" t="s">
        <v>26</v>
      </c>
      <c r="C2365" t="s">
        <v>62</v>
      </c>
      <c r="D2365" s="1">
        <v>45710</v>
      </c>
      <c r="E2365" s="2">
        <v>0.66666666666666663</v>
      </c>
      <c r="F2365" t="s">
        <v>40</v>
      </c>
      <c r="G2365" t="s">
        <v>29</v>
      </c>
      <c r="H2365">
        <v>0</v>
      </c>
      <c r="I2365">
        <v>1</v>
      </c>
      <c r="J2365" t="s">
        <v>30</v>
      </c>
      <c r="K2365">
        <v>272</v>
      </c>
      <c r="L2365">
        <v>333</v>
      </c>
      <c r="M2365">
        <v>274</v>
      </c>
      <c r="N2365">
        <v>273</v>
      </c>
      <c r="O2365">
        <v>345</v>
      </c>
      <c r="P2365">
        <v>274</v>
      </c>
      <c r="Q2365">
        <v>263</v>
      </c>
      <c r="R2365">
        <v>327</v>
      </c>
      <c r="S2365">
        <v>265</v>
      </c>
      <c r="T2365" t="s">
        <v>191</v>
      </c>
      <c r="U2365" t="s">
        <v>167</v>
      </c>
      <c r="V2365" t="s">
        <v>180</v>
      </c>
      <c r="W2365" t="s">
        <v>31</v>
      </c>
      <c r="X2365" t="s">
        <v>31</v>
      </c>
      <c r="Y2365" t="s">
        <v>31</v>
      </c>
    </row>
    <row r="2366" spans="1:25" hidden="1">
      <c r="A2366" t="s">
        <v>25</v>
      </c>
      <c r="B2366" t="s">
        <v>26</v>
      </c>
      <c r="C2366" t="s">
        <v>62</v>
      </c>
      <c r="D2366" s="1">
        <v>45710</v>
      </c>
      <c r="E2366" s="2">
        <v>0.66666666666666663</v>
      </c>
      <c r="F2366" t="s">
        <v>54</v>
      </c>
      <c r="G2366" t="s">
        <v>39</v>
      </c>
      <c r="H2366">
        <v>3</v>
      </c>
      <c r="I2366">
        <v>3</v>
      </c>
      <c r="J2366" t="s">
        <v>41</v>
      </c>
      <c r="K2366">
        <v>373</v>
      </c>
      <c r="L2366">
        <v>331</v>
      </c>
      <c r="M2366">
        <v>216</v>
      </c>
      <c r="N2366">
        <v>382</v>
      </c>
      <c r="O2366">
        <v>337</v>
      </c>
      <c r="P2366">
        <v>216</v>
      </c>
      <c r="Q2366">
        <v>354</v>
      </c>
      <c r="R2366">
        <v>327</v>
      </c>
      <c r="S2366">
        <v>21</v>
      </c>
      <c r="T2366" t="s">
        <v>92</v>
      </c>
      <c r="U2366" t="s">
        <v>70</v>
      </c>
      <c r="V2366" t="s">
        <v>72</v>
      </c>
      <c r="W2366" t="s">
        <v>31</v>
      </c>
      <c r="X2366" t="s">
        <v>31</v>
      </c>
      <c r="Y2366" t="s">
        <v>31</v>
      </c>
    </row>
    <row r="2367" spans="1:25" hidden="1">
      <c r="A2367" t="s">
        <v>25</v>
      </c>
      <c r="B2367" t="s">
        <v>26</v>
      </c>
      <c r="C2367" t="s">
        <v>62</v>
      </c>
      <c r="D2367" s="1">
        <v>45711</v>
      </c>
      <c r="E2367" s="2">
        <v>0.5625</v>
      </c>
      <c r="F2367" t="s">
        <v>45</v>
      </c>
      <c r="G2367" t="s">
        <v>52</v>
      </c>
      <c r="H2367">
        <v>0</v>
      </c>
      <c r="I2367">
        <v>0</v>
      </c>
      <c r="J2367" t="s">
        <v>41</v>
      </c>
      <c r="K2367">
        <v>259</v>
      </c>
      <c r="L2367">
        <v>327</v>
      </c>
      <c r="M2367">
        <v>293</v>
      </c>
      <c r="N2367">
        <v>259</v>
      </c>
      <c r="O2367">
        <v>327</v>
      </c>
      <c r="P2367">
        <v>295</v>
      </c>
      <c r="Q2367">
        <v>251</v>
      </c>
      <c r="R2367">
        <v>316</v>
      </c>
      <c r="S2367">
        <v>286</v>
      </c>
      <c r="T2367" t="s">
        <v>118</v>
      </c>
      <c r="U2367" t="s">
        <v>143</v>
      </c>
      <c r="V2367" t="s">
        <v>79</v>
      </c>
      <c r="W2367" t="s">
        <v>31</v>
      </c>
      <c r="X2367" t="s">
        <v>31</v>
      </c>
      <c r="Y2367" t="s">
        <v>31</v>
      </c>
    </row>
    <row r="2368" spans="1:25" hidden="1">
      <c r="A2368" t="s">
        <v>25</v>
      </c>
      <c r="B2368" t="s">
        <v>26</v>
      </c>
      <c r="C2368" t="s">
        <v>62</v>
      </c>
      <c r="D2368" s="1">
        <v>45711</v>
      </c>
      <c r="E2368" s="2">
        <v>0.5625</v>
      </c>
      <c r="F2368" t="s">
        <v>28</v>
      </c>
      <c r="G2368" t="s">
        <v>61</v>
      </c>
      <c r="H2368">
        <v>2</v>
      </c>
      <c r="I2368">
        <v>1</v>
      </c>
      <c r="J2368" t="s">
        <v>34</v>
      </c>
      <c r="K2368">
        <v>168</v>
      </c>
      <c r="L2368">
        <v>394</v>
      </c>
      <c r="M2368">
        <v>528</v>
      </c>
      <c r="N2368">
        <v>171</v>
      </c>
      <c r="O2368">
        <v>4</v>
      </c>
      <c r="P2368">
        <v>537</v>
      </c>
      <c r="Q2368">
        <v>166</v>
      </c>
      <c r="R2368">
        <v>377</v>
      </c>
      <c r="S2368">
        <v>509</v>
      </c>
      <c r="T2368" t="s">
        <v>140</v>
      </c>
      <c r="U2368" t="s">
        <v>129</v>
      </c>
      <c r="V2368" t="s">
        <v>84</v>
      </c>
      <c r="W2368" t="s">
        <v>31</v>
      </c>
      <c r="X2368" t="s">
        <v>31</v>
      </c>
      <c r="Y2368" t="s">
        <v>31</v>
      </c>
    </row>
    <row r="2369" spans="1:25" hidden="1">
      <c r="A2369" t="s">
        <v>25</v>
      </c>
      <c r="B2369" t="s">
        <v>26</v>
      </c>
      <c r="C2369" t="s">
        <v>62</v>
      </c>
      <c r="D2369" s="1">
        <v>45711</v>
      </c>
      <c r="E2369" s="2">
        <v>0.66666666666666663</v>
      </c>
      <c r="F2369" t="s">
        <v>50</v>
      </c>
      <c r="G2369" t="s">
        <v>35</v>
      </c>
      <c r="H2369">
        <v>2</v>
      </c>
      <c r="I2369">
        <v>1</v>
      </c>
      <c r="J2369" t="s">
        <v>34</v>
      </c>
      <c r="K2369">
        <v>348</v>
      </c>
      <c r="L2369">
        <v>334</v>
      </c>
      <c r="M2369">
        <v>224</v>
      </c>
      <c r="N2369">
        <v>348</v>
      </c>
      <c r="O2369">
        <v>34</v>
      </c>
      <c r="P2369">
        <v>23</v>
      </c>
      <c r="Q2369">
        <v>33</v>
      </c>
      <c r="R2369">
        <v>327</v>
      </c>
      <c r="S2369">
        <v>221</v>
      </c>
      <c r="T2369" t="s">
        <v>70</v>
      </c>
      <c r="U2369" t="s">
        <v>93</v>
      </c>
      <c r="V2369" t="s">
        <v>113</v>
      </c>
      <c r="W2369" t="s">
        <v>31</v>
      </c>
      <c r="X2369" t="s">
        <v>31</v>
      </c>
      <c r="Y2369" t="s">
        <v>31</v>
      </c>
    </row>
    <row r="2370" spans="1:25" hidden="1">
      <c r="A2370" t="s">
        <v>25</v>
      </c>
      <c r="B2370" t="s">
        <v>26</v>
      </c>
      <c r="C2370" t="s">
        <v>62</v>
      </c>
      <c r="D2370" s="1">
        <v>45717</v>
      </c>
      <c r="E2370" s="2">
        <v>0.66666666666666663</v>
      </c>
      <c r="F2370" t="s">
        <v>63</v>
      </c>
      <c r="G2370" t="s">
        <v>40</v>
      </c>
      <c r="H2370">
        <v>1</v>
      </c>
      <c r="I2370">
        <v>2</v>
      </c>
      <c r="J2370" t="s">
        <v>30</v>
      </c>
      <c r="K2370">
        <v>441</v>
      </c>
      <c r="L2370">
        <v>36</v>
      </c>
      <c r="M2370">
        <v>188</v>
      </c>
      <c r="N2370">
        <v>463</v>
      </c>
      <c r="O2370">
        <v>361</v>
      </c>
      <c r="P2370">
        <v>192</v>
      </c>
      <c r="Q2370">
        <v>418</v>
      </c>
      <c r="R2370">
        <v>351</v>
      </c>
      <c r="S2370">
        <v>185</v>
      </c>
      <c r="T2370" t="s">
        <v>95</v>
      </c>
      <c r="U2370" t="s">
        <v>77</v>
      </c>
      <c r="V2370" t="s">
        <v>192</v>
      </c>
      <c r="W2370" t="s">
        <v>31</v>
      </c>
      <c r="X2370" t="s">
        <v>31</v>
      </c>
      <c r="Y2370" t="s">
        <v>31</v>
      </c>
    </row>
    <row r="2371" spans="1:25" hidden="1">
      <c r="A2371" t="s">
        <v>25</v>
      </c>
      <c r="B2371" t="s">
        <v>26</v>
      </c>
      <c r="C2371" t="s">
        <v>62</v>
      </c>
      <c r="D2371" s="1">
        <v>45717</v>
      </c>
      <c r="E2371" s="2">
        <v>0.66666666666666663</v>
      </c>
      <c r="F2371" t="s">
        <v>52</v>
      </c>
      <c r="G2371" t="s">
        <v>39</v>
      </c>
      <c r="H2371">
        <v>0</v>
      </c>
      <c r="I2371">
        <v>3</v>
      </c>
      <c r="J2371" t="s">
        <v>30</v>
      </c>
      <c r="K2371">
        <v>297</v>
      </c>
      <c r="L2371">
        <v>348</v>
      </c>
      <c r="M2371">
        <v>244</v>
      </c>
      <c r="N2371">
        <v>299</v>
      </c>
      <c r="O2371">
        <v>348</v>
      </c>
      <c r="P2371">
        <v>248</v>
      </c>
      <c r="Q2371">
        <v>289</v>
      </c>
      <c r="R2371">
        <v>333</v>
      </c>
      <c r="S2371">
        <v>239</v>
      </c>
      <c r="T2371" t="s">
        <v>126</v>
      </c>
      <c r="U2371" t="s">
        <v>70</v>
      </c>
      <c r="V2371" t="s">
        <v>128</v>
      </c>
      <c r="W2371" t="s">
        <v>31</v>
      </c>
      <c r="X2371" t="s">
        <v>31</v>
      </c>
      <c r="Y2371" t="s">
        <v>31</v>
      </c>
    </row>
    <row r="2372" spans="1:25" hidden="1">
      <c r="A2372" t="s">
        <v>25</v>
      </c>
      <c r="B2372" t="s">
        <v>26</v>
      </c>
      <c r="C2372" t="s">
        <v>62</v>
      </c>
      <c r="D2372" s="1">
        <v>45717</v>
      </c>
      <c r="E2372" s="2">
        <v>0.66666666666666663</v>
      </c>
      <c r="F2372" t="s">
        <v>35</v>
      </c>
      <c r="G2372" t="s">
        <v>45</v>
      </c>
      <c r="H2372">
        <v>5</v>
      </c>
      <c r="I2372">
        <v>0</v>
      </c>
      <c r="J2372" t="s">
        <v>34</v>
      </c>
      <c r="K2372">
        <v>145</v>
      </c>
      <c r="L2372">
        <v>447</v>
      </c>
      <c r="M2372">
        <v>786</v>
      </c>
      <c r="N2372">
        <v>147</v>
      </c>
      <c r="O2372">
        <v>508</v>
      </c>
      <c r="P2372">
        <v>8</v>
      </c>
      <c r="Q2372">
        <v>144</v>
      </c>
      <c r="R2372">
        <v>446</v>
      </c>
      <c r="S2372">
        <v>712</v>
      </c>
      <c r="T2372" t="s">
        <v>149</v>
      </c>
      <c r="U2372" t="s">
        <v>154</v>
      </c>
      <c r="V2372" t="s">
        <v>193</v>
      </c>
      <c r="W2372" t="s">
        <v>31</v>
      </c>
      <c r="X2372" t="s">
        <v>31</v>
      </c>
      <c r="Y2372" t="s">
        <v>31</v>
      </c>
    </row>
    <row r="2373" spans="1:25" hidden="1">
      <c r="A2373" t="s">
        <v>25</v>
      </c>
      <c r="B2373" t="s">
        <v>26</v>
      </c>
      <c r="C2373" t="s">
        <v>62</v>
      </c>
      <c r="D2373" s="1">
        <v>45718</v>
      </c>
      <c r="E2373" s="2">
        <v>0.5625</v>
      </c>
      <c r="F2373" t="s">
        <v>56</v>
      </c>
      <c r="G2373" t="s">
        <v>50</v>
      </c>
      <c r="H2373">
        <v>1</v>
      </c>
      <c r="I2373">
        <v>2</v>
      </c>
      <c r="J2373" t="s">
        <v>30</v>
      </c>
      <c r="K2373">
        <v>424</v>
      </c>
      <c r="L2373">
        <v>365</v>
      </c>
      <c r="M2373">
        <v>19</v>
      </c>
      <c r="N2373">
        <v>424</v>
      </c>
      <c r="O2373">
        <v>365</v>
      </c>
      <c r="P2373">
        <v>196</v>
      </c>
      <c r="Q2373">
        <v>402</v>
      </c>
      <c r="R2373">
        <v>351</v>
      </c>
      <c r="S2373">
        <v>189</v>
      </c>
      <c r="T2373" t="s">
        <v>69</v>
      </c>
      <c r="U2373" t="s">
        <v>114</v>
      </c>
      <c r="V2373" t="s">
        <v>194</v>
      </c>
      <c r="W2373" t="s">
        <v>31</v>
      </c>
      <c r="X2373" t="s">
        <v>31</v>
      </c>
      <c r="Y2373" t="s">
        <v>31</v>
      </c>
    </row>
    <row r="2374" spans="1:25" hidden="1">
      <c r="A2374" t="s">
        <v>25</v>
      </c>
      <c r="B2374" t="s">
        <v>26</v>
      </c>
      <c r="C2374" t="s">
        <v>62</v>
      </c>
      <c r="D2374" s="1">
        <v>45718</v>
      </c>
      <c r="E2374" s="2">
        <v>0.5625</v>
      </c>
      <c r="F2374" t="s">
        <v>61</v>
      </c>
      <c r="G2374" t="s">
        <v>54</v>
      </c>
      <c r="H2374">
        <v>2</v>
      </c>
      <c r="I2374">
        <v>1</v>
      </c>
      <c r="J2374" t="s">
        <v>34</v>
      </c>
      <c r="K2374">
        <v>215</v>
      </c>
      <c r="L2374">
        <v>303</v>
      </c>
      <c r="M2374">
        <v>42</v>
      </c>
      <c r="N2374">
        <v>22</v>
      </c>
      <c r="O2374">
        <v>327</v>
      </c>
      <c r="P2374">
        <v>42</v>
      </c>
      <c r="Q2374">
        <v>209</v>
      </c>
      <c r="R2374">
        <v>304</v>
      </c>
      <c r="S2374">
        <v>39</v>
      </c>
      <c r="T2374" t="s">
        <v>72</v>
      </c>
      <c r="U2374" t="s">
        <v>103</v>
      </c>
      <c r="V2374" t="s">
        <v>100</v>
      </c>
      <c r="W2374" t="s">
        <v>31</v>
      </c>
      <c r="X2374" t="s">
        <v>31</v>
      </c>
      <c r="Y2374" t="s">
        <v>31</v>
      </c>
    </row>
    <row r="2375" spans="1:25" hidden="1">
      <c r="A2375" t="s">
        <v>25</v>
      </c>
      <c r="B2375" t="s">
        <v>26</v>
      </c>
      <c r="C2375" t="s">
        <v>62</v>
      </c>
      <c r="D2375" s="1">
        <v>45718</v>
      </c>
      <c r="E2375" s="2">
        <v>0.66666666666666663</v>
      </c>
      <c r="F2375" t="s">
        <v>29</v>
      </c>
      <c r="G2375" t="s">
        <v>28</v>
      </c>
      <c r="H2375">
        <v>3</v>
      </c>
      <c r="I2375">
        <v>1</v>
      </c>
      <c r="J2375" t="s">
        <v>34</v>
      </c>
      <c r="K2375">
        <v>193</v>
      </c>
      <c r="L2375">
        <v>36</v>
      </c>
      <c r="M2375">
        <v>417</v>
      </c>
      <c r="N2375">
        <v>2</v>
      </c>
      <c r="O2375">
        <v>378</v>
      </c>
      <c r="P2375">
        <v>417</v>
      </c>
      <c r="Q2375">
        <v>193</v>
      </c>
      <c r="R2375">
        <v>357</v>
      </c>
      <c r="S2375">
        <v>378</v>
      </c>
      <c r="T2375" t="s">
        <v>175</v>
      </c>
      <c r="U2375" t="s">
        <v>92</v>
      </c>
      <c r="V2375" t="s">
        <v>75</v>
      </c>
      <c r="W2375" t="s">
        <v>31</v>
      </c>
      <c r="X2375" t="s">
        <v>31</v>
      </c>
      <c r="Y2375" t="s">
        <v>31</v>
      </c>
    </row>
    <row r="2376" spans="1:25" hidden="1">
      <c r="A2376" t="s">
        <v>25</v>
      </c>
      <c r="B2376" t="s">
        <v>26</v>
      </c>
      <c r="C2376" t="s">
        <v>62</v>
      </c>
      <c r="D2376" s="1">
        <v>45725</v>
      </c>
      <c r="E2376" s="2">
        <v>0.66666666666666663</v>
      </c>
      <c r="F2376" t="s">
        <v>45</v>
      </c>
      <c r="G2376" t="s">
        <v>29</v>
      </c>
      <c r="H2376">
        <v>1</v>
      </c>
      <c r="I2376">
        <v>1</v>
      </c>
      <c r="J2376" t="s">
        <v>41</v>
      </c>
      <c r="K2376">
        <v>64</v>
      </c>
      <c r="L2376">
        <v>41</v>
      </c>
      <c r="M2376">
        <v>157</v>
      </c>
      <c r="N2376">
        <v>64</v>
      </c>
      <c r="O2376">
        <v>42</v>
      </c>
      <c r="P2376">
        <v>158</v>
      </c>
      <c r="Q2376">
        <v>598</v>
      </c>
      <c r="R2376">
        <v>401</v>
      </c>
      <c r="S2376">
        <v>155</v>
      </c>
      <c r="T2376" t="s">
        <v>138</v>
      </c>
      <c r="U2376" t="s">
        <v>100</v>
      </c>
      <c r="V2376" t="s">
        <v>195</v>
      </c>
      <c r="W2376" t="s">
        <v>31</v>
      </c>
      <c r="X2376" t="s">
        <v>31</v>
      </c>
      <c r="Y2376" t="s">
        <v>31</v>
      </c>
    </row>
    <row r="2377" spans="1:25" hidden="1">
      <c r="A2377" t="s">
        <v>25</v>
      </c>
      <c r="B2377" t="s">
        <v>26</v>
      </c>
      <c r="C2377" t="s">
        <v>62</v>
      </c>
      <c r="D2377" s="1">
        <v>45725</v>
      </c>
      <c r="E2377" s="2">
        <v>0.66666666666666663</v>
      </c>
      <c r="F2377" t="s">
        <v>40</v>
      </c>
      <c r="G2377" t="s">
        <v>56</v>
      </c>
      <c r="H2377">
        <v>2</v>
      </c>
      <c r="I2377">
        <v>0</v>
      </c>
      <c r="J2377" t="s">
        <v>34</v>
      </c>
      <c r="K2377">
        <v>145</v>
      </c>
      <c r="L2377">
        <v>443</v>
      </c>
      <c r="M2377">
        <v>81</v>
      </c>
      <c r="N2377">
        <v>148</v>
      </c>
      <c r="O2377">
        <v>46</v>
      </c>
      <c r="P2377">
        <v>81</v>
      </c>
      <c r="Q2377">
        <v>143</v>
      </c>
      <c r="R2377">
        <v>431</v>
      </c>
      <c r="S2377">
        <v>754</v>
      </c>
      <c r="T2377" t="s">
        <v>179</v>
      </c>
      <c r="U2377" t="s">
        <v>115</v>
      </c>
      <c r="V2377" t="s">
        <v>96</v>
      </c>
      <c r="W2377" t="s">
        <v>31</v>
      </c>
      <c r="X2377" t="s">
        <v>31</v>
      </c>
      <c r="Y2377" t="s">
        <v>31</v>
      </c>
    </row>
    <row r="2378" spans="1:25" hidden="1">
      <c r="A2378" t="s">
        <v>25</v>
      </c>
      <c r="B2378" t="s">
        <v>26</v>
      </c>
      <c r="C2378" t="s">
        <v>62</v>
      </c>
      <c r="D2378" s="1">
        <v>45725</v>
      </c>
      <c r="E2378" s="2">
        <v>0.66666666666666663</v>
      </c>
      <c r="F2378" t="s">
        <v>50</v>
      </c>
      <c r="G2378" t="s">
        <v>54</v>
      </c>
      <c r="H2378">
        <v>2</v>
      </c>
      <c r="I2378">
        <v>1</v>
      </c>
      <c r="J2378" t="s">
        <v>34</v>
      </c>
      <c r="K2378">
        <v>15</v>
      </c>
      <c r="L2378">
        <v>439</v>
      </c>
      <c r="M2378">
        <v>692</v>
      </c>
      <c r="N2378">
        <v>151</v>
      </c>
      <c r="O2378">
        <v>439</v>
      </c>
      <c r="P2378">
        <v>8</v>
      </c>
      <c r="Q2378">
        <v>148</v>
      </c>
      <c r="R2378">
        <v>423</v>
      </c>
      <c r="S2378">
        <v>669</v>
      </c>
      <c r="T2378" t="s">
        <v>196</v>
      </c>
      <c r="U2378" t="s">
        <v>156</v>
      </c>
      <c r="V2378" t="s">
        <v>161</v>
      </c>
      <c r="W2378" t="s">
        <v>31</v>
      </c>
      <c r="X2378" t="s">
        <v>31</v>
      </c>
      <c r="Y2378" t="s">
        <v>31</v>
      </c>
    </row>
    <row r="2379" spans="1:25" hidden="1">
      <c r="A2379" t="s">
        <v>25</v>
      </c>
      <c r="B2379" t="s">
        <v>26</v>
      </c>
      <c r="C2379" t="s">
        <v>62</v>
      </c>
      <c r="D2379" s="1">
        <v>45725</v>
      </c>
      <c r="E2379" s="2">
        <v>0.66666666666666663</v>
      </c>
      <c r="F2379" t="s">
        <v>39</v>
      </c>
      <c r="G2379" t="s">
        <v>61</v>
      </c>
      <c r="H2379">
        <v>1</v>
      </c>
      <c r="I2379">
        <v>2</v>
      </c>
      <c r="J2379" t="s">
        <v>30</v>
      </c>
      <c r="K2379">
        <v>197</v>
      </c>
      <c r="L2379">
        <v>346</v>
      </c>
      <c r="M2379">
        <v>421</v>
      </c>
      <c r="N2379">
        <v>2</v>
      </c>
      <c r="O2379">
        <v>36</v>
      </c>
      <c r="P2379">
        <v>45</v>
      </c>
      <c r="Q2379">
        <v>192</v>
      </c>
      <c r="R2379">
        <v>341</v>
      </c>
      <c r="S2379">
        <v>407</v>
      </c>
      <c r="T2379" t="s">
        <v>119</v>
      </c>
      <c r="U2379" t="s">
        <v>68</v>
      </c>
      <c r="V2379" t="s">
        <v>100</v>
      </c>
      <c r="W2379" t="s">
        <v>31</v>
      </c>
      <c r="X2379" t="s">
        <v>31</v>
      </c>
      <c r="Y2379" t="s">
        <v>31</v>
      </c>
    </row>
    <row r="2380" spans="1:25" hidden="1">
      <c r="A2380" t="s">
        <v>25</v>
      </c>
      <c r="B2380" t="s">
        <v>26</v>
      </c>
      <c r="C2380" t="s">
        <v>62</v>
      </c>
      <c r="D2380" s="1">
        <v>45725</v>
      </c>
      <c r="E2380" s="2">
        <v>0.67708333333333337</v>
      </c>
      <c r="F2380" t="s">
        <v>63</v>
      </c>
      <c r="G2380" t="s">
        <v>28</v>
      </c>
      <c r="H2380">
        <v>1</v>
      </c>
      <c r="I2380">
        <v>2</v>
      </c>
      <c r="J2380" t="s">
        <v>30</v>
      </c>
      <c r="K2380">
        <v>569</v>
      </c>
      <c r="L2380">
        <v>393</v>
      </c>
      <c r="M2380">
        <v>165</v>
      </c>
      <c r="N2380">
        <v>575</v>
      </c>
      <c r="O2380">
        <v>401</v>
      </c>
      <c r="P2380">
        <v>168</v>
      </c>
      <c r="Q2380">
        <v>527</v>
      </c>
      <c r="R2380">
        <v>384</v>
      </c>
      <c r="S2380">
        <v>164</v>
      </c>
      <c r="T2380" t="s">
        <v>178</v>
      </c>
      <c r="U2380" t="s">
        <v>83</v>
      </c>
      <c r="V2380" t="s">
        <v>197</v>
      </c>
      <c r="W2380" t="s">
        <v>31</v>
      </c>
      <c r="X2380" t="s">
        <v>31</v>
      </c>
      <c r="Y2380" t="s">
        <v>31</v>
      </c>
    </row>
    <row r="2381" spans="1:25" hidden="1">
      <c r="A2381" t="s">
        <v>25</v>
      </c>
      <c r="B2381" t="s">
        <v>26</v>
      </c>
      <c r="C2381" t="s">
        <v>62</v>
      </c>
      <c r="D2381" s="1">
        <v>45725</v>
      </c>
      <c r="E2381" s="2">
        <v>0.69791666666666663</v>
      </c>
      <c r="F2381" t="s">
        <v>52</v>
      </c>
      <c r="G2381" t="s">
        <v>35</v>
      </c>
      <c r="H2381">
        <v>2</v>
      </c>
      <c r="I2381">
        <v>1</v>
      </c>
      <c r="J2381" t="s">
        <v>34</v>
      </c>
      <c r="K2381">
        <v>445</v>
      </c>
      <c r="L2381">
        <v>378</v>
      </c>
      <c r="M2381">
        <v>183</v>
      </c>
      <c r="N2381">
        <v>433</v>
      </c>
      <c r="O2381">
        <v>385</v>
      </c>
      <c r="P2381">
        <v>185</v>
      </c>
      <c r="Q2381">
        <v>415</v>
      </c>
      <c r="R2381">
        <v>371</v>
      </c>
      <c r="S2381">
        <v>18</v>
      </c>
      <c r="T2381" t="s">
        <v>156</v>
      </c>
      <c r="U2381" t="s">
        <v>92</v>
      </c>
      <c r="V2381" t="s">
        <v>198</v>
      </c>
      <c r="W2381" t="s">
        <v>31</v>
      </c>
      <c r="X2381" t="s">
        <v>31</v>
      </c>
      <c r="Y2381" t="s">
        <v>31</v>
      </c>
    </row>
    <row r="2382" spans="1:25" hidden="1">
      <c r="A2382" t="s">
        <v>25</v>
      </c>
      <c r="B2382" t="s">
        <v>26</v>
      </c>
      <c r="C2382" t="s">
        <v>62</v>
      </c>
      <c r="D2382" s="1">
        <v>45732</v>
      </c>
      <c r="E2382" s="2">
        <v>0.66666666666666663</v>
      </c>
      <c r="F2382" t="s">
        <v>56</v>
      </c>
      <c r="G2382" t="s">
        <v>45</v>
      </c>
      <c r="H2382">
        <v>2</v>
      </c>
      <c r="I2382">
        <v>2</v>
      </c>
      <c r="J2382" t="s">
        <v>41</v>
      </c>
      <c r="K2382">
        <v>305</v>
      </c>
      <c r="L2382">
        <v>317</v>
      </c>
      <c r="M2382">
        <v>256</v>
      </c>
      <c r="N2382">
        <v>305</v>
      </c>
      <c r="O2382">
        <v>33</v>
      </c>
      <c r="P2382">
        <v>263</v>
      </c>
      <c r="Q2382">
        <v>293</v>
      </c>
      <c r="R2382">
        <v>308</v>
      </c>
      <c r="S2382">
        <v>251</v>
      </c>
      <c r="T2382" t="s">
        <v>126</v>
      </c>
      <c r="U2382" t="s">
        <v>110</v>
      </c>
      <c r="V2382" t="s">
        <v>199</v>
      </c>
      <c r="W2382" t="s">
        <v>31</v>
      </c>
      <c r="X2382" t="s">
        <v>31</v>
      </c>
      <c r="Y2382" t="s">
        <v>31</v>
      </c>
    </row>
    <row r="2383" spans="1:25" hidden="1">
      <c r="A2383" t="s">
        <v>25</v>
      </c>
      <c r="B2383" t="s">
        <v>26</v>
      </c>
      <c r="C2383" t="s">
        <v>62</v>
      </c>
      <c r="D2383" s="1">
        <v>45732</v>
      </c>
      <c r="E2383" s="2">
        <v>0.66666666666666663</v>
      </c>
      <c r="F2383" t="s">
        <v>61</v>
      </c>
      <c r="G2383" t="s">
        <v>52</v>
      </c>
      <c r="H2383">
        <v>4</v>
      </c>
      <c r="I2383">
        <v>1</v>
      </c>
      <c r="J2383" t="s">
        <v>34</v>
      </c>
      <c r="K2383">
        <v>214</v>
      </c>
      <c r="L2383">
        <v>332</v>
      </c>
      <c r="M2383">
        <v>377</v>
      </c>
      <c r="N2383">
        <v>217</v>
      </c>
      <c r="O2383">
        <v>35</v>
      </c>
      <c r="P2383">
        <v>38</v>
      </c>
      <c r="Q2383">
        <v>21</v>
      </c>
      <c r="R2383">
        <v>327</v>
      </c>
      <c r="S2383">
        <v>353</v>
      </c>
      <c r="T2383" t="s">
        <v>72</v>
      </c>
      <c r="U2383" t="s">
        <v>144</v>
      </c>
      <c r="V2383" t="s">
        <v>116</v>
      </c>
      <c r="W2383" t="s">
        <v>31</v>
      </c>
      <c r="X2383" t="s">
        <v>31</v>
      </c>
      <c r="Y2383" t="s">
        <v>31</v>
      </c>
    </row>
    <row r="2384" spans="1:25" hidden="1">
      <c r="A2384" t="s">
        <v>25</v>
      </c>
      <c r="B2384" t="s">
        <v>26</v>
      </c>
      <c r="C2384" t="s">
        <v>62</v>
      </c>
      <c r="D2384" s="1">
        <v>45732</v>
      </c>
      <c r="E2384" s="2">
        <v>0.66666666666666663</v>
      </c>
      <c r="F2384" t="s">
        <v>29</v>
      </c>
      <c r="G2384" t="s">
        <v>39</v>
      </c>
      <c r="H2384">
        <v>1</v>
      </c>
      <c r="I2384">
        <v>0</v>
      </c>
      <c r="J2384" t="s">
        <v>34</v>
      </c>
      <c r="K2384">
        <v>152</v>
      </c>
      <c r="L2384">
        <v>467</v>
      </c>
      <c r="M2384">
        <v>598</v>
      </c>
      <c r="N2384">
        <v>154</v>
      </c>
      <c r="O2384">
        <v>489</v>
      </c>
      <c r="P2384">
        <v>6</v>
      </c>
      <c r="Q2384">
        <v>15</v>
      </c>
      <c r="R2384">
        <v>452</v>
      </c>
      <c r="S2384">
        <v>565</v>
      </c>
      <c r="T2384" t="s">
        <v>182</v>
      </c>
      <c r="U2384" t="s">
        <v>154</v>
      </c>
      <c r="V2384" t="s">
        <v>138</v>
      </c>
      <c r="W2384" t="s">
        <v>31</v>
      </c>
      <c r="X2384" t="s">
        <v>31</v>
      </c>
      <c r="Y2384" t="s">
        <v>31</v>
      </c>
    </row>
    <row r="2385" spans="1:25" hidden="1">
      <c r="A2385" t="s">
        <v>25</v>
      </c>
      <c r="B2385" t="s">
        <v>26</v>
      </c>
      <c r="C2385" t="s">
        <v>62</v>
      </c>
      <c r="D2385" s="1">
        <v>45732</v>
      </c>
      <c r="E2385" s="2">
        <v>0.66666666666666663</v>
      </c>
      <c r="F2385" t="s">
        <v>35</v>
      </c>
      <c r="G2385" t="s">
        <v>63</v>
      </c>
      <c r="H2385">
        <v>3</v>
      </c>
      <c r="I2385">
        <v>0</v>
      </c>
      <c r="J2385" t="s">
        <v>34</v>
      </c>
      <c r="K2385">
        <v>13</v>
      </c>
      <c r="L2385">
        <v>576</v>
      </c>
      <c r="M2385">
        <v>1126</v>
      </c>
      <c r="N2385">
        <v>133</v>
      </c>
      <c r="O2385">
        <v>579</v>
      </c>
      <c r="P2385">
        <v>1126</v>
      </c>
      <c r="Q2385">
        <v>129</v>
      </c>
      <c r="R2385">
        <v>536</v>
      </c>
      <c r="S2385">
        <v>957</v>
      </c>
      <c r="T2385" t="s">
        <v>200</v>
      </c>
      <c r="U2385" t="s">
        <v>201</v>
      </c>
      <c r="V2385" t="s">
        <v>202</v>
      </c>
      <c r="W2385" t="s">
        <v>31</v>
      </c>
      <c r="X2385" t="s">
        <v>31</v>
      </c>
      <c r="Y2385" t="s">
        <v>31</v>
      </c>
    </row>
    <row r="2386" spans="1:25" hidden="1">
      <c r="A2386" t="s">
        <v>25</v>
      </c>
      <c r="B2386" t="s">
        <v>26</v>
      </c>
      <c r="C2386" t="s">
        <v>62</v>
      </c>
      <c r="D2386" s="1">
        <v>45732</v>
      </c>
      <c r="E2386" s="2">
        <v>0.66666666666666663</v>
      </c>
      <c r="F2386" t="s">
        <v>28</v>
      </c>
      <c r="G2386" t="s">
        <v>50</v>
      </c>
      <c r="H2386">
        <v>4</v>
      </c>
      <c r="I2386">
        <v>2</v>
      </c>
      <c r="J2386" t="s">
        <v>34</v>
      </c>
      <c r="K2386">
        <v>182</v>
      </c>
      <c r="L2386">
        <v>391</v>
      </c>
      <c r="M2386">
        <v>435</v>
      </c>
      <c r="N2386">
        <v>185</v>
      </c>
      <c r="O2386">
        <v>397</v>
      </c>
      <c r="P2386">
        <v>435</v>
      </c>
      <c r="Q2386">
        <v>18</v>
      </c>
      <c r="R2386">
        <v>376</v>
      </c>
      <c r="S2386">
        <v>408</v>
      </c>
      <c r="T2386" t="s">
        <v>203</v>
      </c>
      <c r="U2386" t="s">
        <v>116</v>
      </c>
      <c r="V2386" t="s">
        <v>154</v>
      </c>
      <c r="W2386" t="s">
        <v>31</v>
      </c>
      <c r="X2386" t="s">
        <v>31</v>
      </c>
      <c r="Y2386" t="s">
        <v>31</v>
      </c>
    </row>
    <row r="2387" spans="1:25" hidden="1">
      <c r="A2387" t="s">
        <v>25</v>
      </c>
      <c r="B2387" t="s">
        <v>26</v>
      </c>
      <c r="C2387" t="s">
        <v>62</v>
      </c>
      <c r="D2387" s="1">
        <v>45732</v>
      </c>
      <c r="E2387" s="2">
        <v>0.66666666666666663</v>
      </c>
      <c r="F2387" t="s">
        <v>54</v>
      </c>
      <c r="G2387" t="s">
        <v>40</v>
      </c>
      <c r="H2387">
        <v>0</v>
      </c>
      <c r="I2387">
        <v>2</v>
      </c>
      <c r="J2387" t="s">
        <v>30</v>
      </c>
      <c r="K2387">
        <v>405</v>
      </c>
      <c r="L2387">
        <v>355</v>
      </c>
      <c r="M2387">
        <v>198</v>
      </c>
      <c r="N2387">
        <v>43</v>
      </c>
      <c r="O2387">
        <v>37</v>
      </c>
      <c r="P2387">
        <v>198</v>
      </c>
      <c r="Q2387">
        <v>396</v>
      </c>
      <c r="R2387">
        <v>349</v>
      </c>
      <c r="S2387">
        <v>19</v>
      </c>
      <c r="T2387" t="s">
        <v>100</v>
      </c>
      <c r="U2387" t="s">
        <v>68</v>
      </c>
      <c r="V2387" t="s">
        <v>135</v>
      </c>
      <c r="W2387" t="s">
        <v>31</v>
      </c>
      <c r="X2387" t="s">
        <v>31</v>
      </c>
      <c r="Y2387" t="s">
        <v>31</v>
      </c>
    </row>
    <row r="2388" spans="1:25" hidden="1">
      <c r="A2388" t="s">
        <v>25</v>
      </c>
      <c r="B2388" t="s">
        <v>26</v>
      </c>
      <c r="C2388" t="s">
        <v>62</v>
      </c>
      <c r="D2388" s="1">
        <v>45744</v>
      </c>
      <c r="E2388" s="2">
        <v>0.77083333333333337</v>
      </c>
      <c r="F2388" t="s">
        <v>45</v>
      </c>
      <c r="G2388" t="s">
        <v>50</v>
      </c>
      <c r="H2388">
        <v>0</v>
      </c>
      <c r="I2388">
        <v>2</v>
      </c>
      <c r="J2388" t="s">
        <v>30</v>
      </c>
      <c r="K2388">
        <v>338</v>
      </c>
      <c r="L2388">
        <v>349</v>
      </c>
      <c r="M2388">
        <v>222</v>
      </c>
      <c r="N2388">
        <v>35</v>
      </c>
      <c r="O2388">
        <v>355</v>
      </c>
      <c r="P2388">
        <v>223</v>
      </c>
      <c r="Q2388">
        <v>332</v>
      </c>
      <c r="R2388">
        <v>34</v>
      </c>
      <c r="S2388">
        <v>214</v>
      </c>
      <c r="T2388" t="s">
        <v>167</v>
      </c>
      <c r="U2388" t="s">
        <v>167</v>
      </c>
      <c r="V2388" t="s">
        <v>142</v>
      </c>
      <c r="W2388" t="s">
        <v>31</v>
      </c>
      <c r="X2388" t="s">
        <v>31</v>
      </c>
      <c r="Y2388" t="s">
        <v>31</v>
      </c>
    </row>
    <row r="2389" spans="1:25" hidden="1">
      <c r="A2389" t="s">
        <v>25</v>
      </c>
      <c r="B2389" t="s">
        <v>26</v>
      </c>
      <c r="C2389" t="s">
        <v>62</v>
      </c>
      <c r="D2389" s="1">
        <v>45745</v>
      </c>
      <c r="E2389" s="2">
        <v>0.66666666666666663</v>
      </c>
      <c r="F2389" t="s">
        <v>63</v>
      </c>
      <c r="G2389" t="s">
        <v>54</v>
      </c>
      <c r="H2389">
        <v>0</v>
      </c>
      <c r="I2389">
        <v>0</v>
      </c>
      <c r="J2389" t="s">
        <v>41</v>
      </c>
      <c r="K2389">
        <v>236</v>
      </c>
      <c r="L2389">
        <v>321</v>
      </c>
      <c r="M2389">
        <v>335</v>
      </c>
      <c r="N2389">
        <v>242</v>
      </c>
      <c r="O2389">
        <v>328</v>
      </c>
      <c r="P2389">
        <v>335</v>
      </c>
      <c r="Q2389">
        <v>232</v>
      </c>
      <c r="R2389">
        <v>315</v>
      </c>
      <c r="S2389">
        <v>315</v>
      </c>
      <c r="T2389" t="s">
        <v>102</v>
      </c>
      <c r="U2389" t="s">
        <v>143</v>
      </c>
      <c r="V2389" t="s">
        <v>144</v>
      </c>
      <c r="W2389" t="s">
        <v>31</v>
      </c>
      <c r="X2389" t="s">
        <v>31</v>
      </c>
      <c r="Y2389" t="s">
        <v>31</v>
      </c>
    </row>
    <row r="2390" spans="1:25" hidden="1">
      <c r="A2390" t="s">
        <v>25</v>
      </c>
      <c r="B2390" t="s">
        <v>26</v>
      </c>
      <c r="C2390" t="s">
        <v>62</v>
      </c>
      <c r="D2390" s="1">
        <v>45745</v>
      </c>
      <c r="E2390" s="2">
        <v>0.66666666666666663</v>
      </c>
      <c r="F2390" t="s">
        <v>52</v>
      </c>
      <c r="G2390" t="s">
        <v>56</v>
      </c>
      <c r="H2390">
        <v>2</v>
      </c>
      <c r="I2390">
        <v>3</v>
      </c>
      <c r="J2390" t="s">
        <v>30</v>
      </c>
      <c r="K2390">
        <v>195</v>
      </c>
      <c r="L2390">
        <v>341</v>
      </c>
      <c r="M2390">
        <v>435</v>
      </c>
      <c r="N2390">
        <v>199</v>
      </c>
      <c r="O2390">
        <v>355</v>
      </c>
      <c r="P2390">
        <v>435</v>
      </c>
      <c r="Q2390">
        <v>191</v>
      </c>
      <c r="R2390">
        <v>341</v>
      </c>
      <c r="S2390">
        <v>405</v>
      </c>
      <c r="T2390" t="s">
        <v>135</v>
      </c>
      <c r="U2390" t="s">
        <v>80</v>
      </c>
      <c r="V2390" t="s">
        <v>69</v>
      </c>
      <c r="W2390" t="s">
        <v>31</v>
      </c>
      <c r="X2390" t="s">
        <v>31</v>
      </c>
      <c r="Y2390" t="s">
        <v>31</v>
      </c>
    </row>
    <row r="2391" spans="1:25" hidden="1">
      <c r="A2391" t="s">
        <v>25</v>
      </c>
      <c r="B2391" t="s">
        <v>26</v>
      </c>
      <c r="C2391" t="s">
        <v>62</v>
      </c>
      <c r="D2391" s="1">
        <v>45746</v>
      </c>
      <c r="E2391" s="2">
        <v>0.5625</v>
      </c>
      <c r="F2391" t="s">
        <v>61</v>
      </c>
      <c r="G2391" t="s">
        <v>40</v>
      </c>
      <c r="H2391">
        <v>0</v>
      </c>
      <c r="I2391">
        <v>2</v>
      </c>
      <c r="J2391" t="s">
        <v>30</v>
      </c>
      <c r="K2391">
        <v>33</v>
      </c>
      <c r="L2391">
        <v>333</v>
      </c>
      <c r="M2391">
        <v>233</v>
      </c>
      <c r="N2391">
        <v>35</v>
      </c>
      <c r="O2391">
        <v>345</v>
      </c>
      <c r="P2391">
        <v>233</v>
      </c>
      <c r="Q2391">
        <v>323</v>
      </c>
      <c r="R2391">
        <v>331</v>
      </c>
      <c r="S2391">
        <v>224</v>
      </c>
      <c r="T2391" t="s">
        <v>93</v>
      </c>
      <c r="U2391" t="s">
        <v>93</v>
      </c>
      <c r="V2391" t="s">
        <v>109</v>
      </c>
      <c r="W2391" t="s">
        <v>31</v>
      </c>
      <c r="X2391" t="s">
        <v>31</v>
      </c>
      <c r="Y2391" t="s">
        <v>31</v>
      </c>
    </row>
    <row r="2392" spans="1:25" hidden="1">
      <c r="A2392" t="s">
        <v>25</v>
      </c>
      <c r="B2392" t="s">
        <v>26</v>
      </c>
      <c r="C2392" t="s">
        <v>62</v>
      </c>
      <c r="D2392" s="1">
        <v>45746</v>
      </c>
      <c r="E2392" s="2">
        <v>0.5625</v>
      </c>
      <c r="F2392" t="s">
        <v>39</v>
      </c>
      <c r="G2392" t="s">
        <v>28</v>
      </c>
      <c r="H2392">
        <v>1</v>
      </c>
      <c r="I2392">
        <v>1</v>
      </c>
      <c r="J2392" t="s">
        <v>41</v>
      </c>
      <c r="K2392">
        <v>32</v>
      </c>
      <c r="L2392">
        <v>336</v>
      </c>
      <c r="M2392">
        <v>236</v>
      </c>
      <c r="N2392">
        <v>328</v>
      </c>
      <c r="O2392">
        <v>345</v>
      </c>
      <c r="P2392">
        <v>248</v>
      </c>
      <c r="Q2392">
        <v>303</v>
      </c>
      <c r="R2392">
        <v>331</v>
      </c>
      <c r="S2392">
        <v>235</v>
      </c>
      <c r="T2392" t="s">
        <v>110</v>
      </c>
      <c r="U2392" t="s">
        <v>70</v>
      </c>
      <c r="V2392" t="s">
        <v>127</v>
      </c>
      <c r="W2392" t="s">
        <v>31</v>
      </c>
      <c r="X2392" t="s">
        <v>31</v>
      </c>
      <c r="Y2392" t="s">
        <v>31</v>
      </c>
    </row>
    <row r="2393" spans="1:25" hidden="1">
      <c r="A2393" t="s">
        <v>25</v>
      </c>
      <c r="B2393" t="s">
        <v>26</v>
      </c>
      <c r="C2393" t="s">
        <v>62</v>
      </c>
      <c r="D2393" s="1">
        <v>45746</v>
      </c>
      <c r="E2393" s="2">
        <v>0.66666666666666663</v>
      </c>
      <c r="F2393" t="s">
        <v>35</v>
      </c>
      <c r="G2393" t="s">
        <v>29</v>
      </c>
      <c r="H2393">
        <v>0</v>
      </c>
      <c r="I2393">
        <v>2</v>
      </c>
      <c r="J2393" t="s">
        <v>30</v>
      </c>
      <c r="K2393">
        <v>236</v>
      </c>
      <c r="L2393">
        <v>347</v>
      </c>
      <c r="M2393">
        <v>312</v>
      </c>
      <c r="N2393">
        <v>254</v>
      </c>
      <c r="O2393">
        <v>35</v>
      </c>
      <c r="P2393">
        <v>312</v>
      </c>
      <c r="Q2393">
        <v>236</v>
      </c>
      <c r="R2393">
        <v>342</v>
      </c>
      <c r="S2393">
        <v>291</v>
      </c>
      <c r="T2393" t="s">
        <v>204</v>
      </c>
      <c r="U2393" t="s">
        <v>80</v>
      </c>
      <c r="V2393" t="s">
        <v>103</v>
      </c>
      <c r="W2393" t="s">
        <v>31</v>
      </c>
      <c r="X2393" t="s">
        <v>31</v>
      </c>
      <c r="Y2393" t="s">
        <v>31</v>
      </c>
    </row>
    <row r="2394" spans="1:25" hidden="1">
      <c r="A2394" t="s">
        <v>25</v>
      </c>
      <c r="B2394" t="s">
        <v>26</v>
      </c>
      <c r="C2394" t="s">
        <v>62</v>
      </c>
      <c r="D2394" s="1">
        <v>45751</v>
      </c>
      <c r="E2394" s="2">
        <v>0.77083333333333337</v>
      </c>
      <c r="F2394" t="s">
        <v>28</v>
      </c>
      <c r="G2394" t="s">
        <v>35</v>
      </c>
      <c r="H2394">
        <v>2</v>
      </c>
      <c r="I2394">
        <v>0</v>
      </c>
      <c r="J2394" t="s">
        <v>34</v>
      </c>
      <c r="K2394">
        <v>28</v>
      </c>
      <c r="L2394">
        <v>33</v>
      </c>
      <c r="M2394">
        <v>268</v>
      </c>
      <c r="N2394">
        <v>28</v>
      </c>
      <c r="O2394">
        <v>341</v>
      </c>
      <c r="P2394">
        <v>279</v>
      </c>
      <c r="Q2394">
        <v>265</v>
      </c>
      <c r="R2394">
        <v>329</v>
      </c>
      <c r="S2394">
        <v>265</v>
      </c>
      <c r="T2394" t="s">
        <v>104</v>
      </c>
      <c r="U2394" t="s">
        <v>93</v>
      </c>
      <c r="V2394" t="s">
        <v>78</v>
      </c>
      <c r="W2394" t="s">
        <v>31</v>
      </c>
      <c r="X2394" t="s">
        <v>31</v>
      </c>
      <c r="Y2394" t="s">
        <v>31</v>
      </c>
    </row>
    <row r="2395" spans="1:25" hidden="1">
      <c r="A2395" t="s">
        <v>25</v>
      </c>
      <c r="B2395" t="s">
        <v>26</v>
      </c>
      <c r="C2395" t="s">
        <v>62</v>
      </c>
      <c r="D2395" s="1">
        <v>45752</v>
      </c>
      <c r="E2395" s="2">
        <v>0.66666666666666663</v>
      </c>
      <c r="F2395" t="s">
        <v>56</v>
      </c>
      <c r="G2395" t="s">
        <v>45</v>
      </c>
      <c r="H2395">
        <v>2</v>
      </c>
      <c r="I2395">
        <v>3</v>
      </c>
      <c r="J2395" t="s">
        <v>30</v>
      </c>
      <c r="K2395">
        <v>321</v>
      </c>
      <c r="L2395">
        <v>323</v>
      </c>
      <c r="M2395">
        <v>243</v>
      </c>
      <c r="N2395">
        <v>321</v>
      </c>
      <c r="O2395">
        <v>338</v>
      </c>
      <c r="P2395">
        <v>26</v>
      </c>
      <c r="Q2395">
        <v>306</v>
      </c>
      <c r="R2395">
        <v>318</v>
      </c>
      <c r="S2395">
        <v>239</v>
      </c>
      <c r="T2395" t="s">
        <v>143</v>
      </c>
      <c r="U2395" t="s">
        <v>143</v>
      </c>
      <c r="V2395" t="s">
        <v>128</v>
      </c>
      <c r="W2395" t="s">
        <v>31</v>
      </c>
      <c r="X2395" t="s">
        <v>31</v>
      </c>
      <c r="Y2395" t="s">
        <v>31</v>
      </c>
    </row>
    <row r="2396" spans="1:25" hidden="1">
      <c r="A2396" t="s">
        <v>25</v>
      </c>
      <c r="B2396" t="s">
        <v>26</v>
      </c>
      <c r="C2396" t="s">
        <v>62</v>
      </c>
      <c r="D2396" s="1">
        <v>45752</v>
      </c>
      <c r="E2396" s="2">
        <v>0.66666666666666663</v>
      </c>
      <c r="F2396" t="s">
        <v>50</v>
      </c>
      <c r="G2396" t="s">
        <v>63</v>
      </c>
      <c r="H2396">
        <v>1</v>
      </c>
      <c r="I2396">
        <v>0</v>
      </c>
      <c r="J2396" t="s">
        <v>34</v>
      </c>
      <c r="K2396">
        <v>175</v>
      </c>
      <c r="L2396">
        <v>374</v>
      </c>
      <c r="M2396">
        <v>503</v>
      </c>
      <c r="N2396">
        <v>178</v>
      </c>
      <c r="O2396">
        <v>375</v>
      </c>
      <c r="P2396">
        <v>514</v>
      </c>
      <c r="Q2396">
        <v>174</v>
      </c>
      <c r="R2396">
        <v>361</v>
      </c>
      <c r="S2396">
        <v>47</v>
      </c>
      <c r="T2396" t="s">
        <v>171</v>
      </c>
      <c r="U2396" t="s">
        <v>92</v>
      </c>
      <c r="V2396" t="s">
        <v>97</v>
      </c>
      <c r="W2396" t="s">
        <v>31</v>
      </c>
      <c r="X2396" t="s">
        <v>31</v>
      </c>
      <c r="Y2396" t="s">
        <v>31</v>
      </c>
    </row>
    <row r="2397" spans="1:25" hidden="1">
      <c r="A2397" t="s">
        <v>25</v>
      </c>
      <c r="B2397" t="s">
        <v>26</v>
      </c>
      <c r="C2397" t="s">
        <v>62</v>
      </c>
      <c r="D2397" s="1">
        <v>45752</v>
      </c>
      <c r="E2397" s="2">
        <v>0.66666666666666663</v>
      </c>
      <c r="F2397" t="s">
        <v>54</v>
      </c>
      <c r="G2397" t="s">
        <v>52</v>
      </c>
      <c r="H2397">
        <v>1</v>
      </c>
      <c r="I2397">
        <v>3</v>
      </c>
      <c r="J2397" t="s">
        <v>30</v>
      </c>
      <c r="K2397">
        <v>251</v>
      </c>
      <c r="L2397">
        <v>324</v>
      </c>
      <c r="M2397">
        <v>308</v>
      </c>
      <c r="N2397">
        <v>251</v>
      </c>
      <c r="O2397">
        <v>331</v>
      </c>
      <c r="P2397">
        <v>31</v>
      </c>
      <c r="Q2397">
        <v>242</v>
      </c>
      <c r="R2397">
        <v>317</v>
      </c>
      <c r="S2397">
        <v>296</v>
      </c>
      <c r="T2397" t="s">
        <v>181</v>
      </c>
      <c r="U2397" t="s">
        <v>143</v>
      </c>
      <c r="V2397" t="s">
        <v>110</v>
      </c>
      <c r="W2397" t="s">
        <v>31</v>
      </c>
      <c r="X2397" t="s">
        <v>31</v>
      </c>
      <c r="Y2397" t="s">
        <v>31</v>
      </c>
    </row>
    <row r="2398" spans="1:25" hidden="1">
      <c r="A2398" t="s">
        <v>25</v>
      </c>
      <c r="B2398" t="s">
        <v>26</v>
      </c>
      <c r="C2398" t="s">
        <v>62</v>
      </c>
      <c r="D2398" s="1">
        <v>45753</v>
      </c>
      <c r="E2398" s="2">
        <v>0.5625</v>
      </c>
      <c r="F2398" t="s">
        <v>29</v>
      </c>
      <c r="G2398" t="s">
        <v>61</v>
      </c>
      <c r="H2398">
        <v>2</v>
      </c>
      <c r="I2398">
        <v>1</v>
      </c>
      <c r="J2398" t="s">
        <v>34</v>
      </c>
      <c r="K2398">
        <v>161</v>
      </c>
      <c r="L2398">
        <v>411</v>
      </c>
      <c r="M2398">
        <v>583</v>
      </c>
      <c r="N2398">
        <v>164</v>
      </c>
      <c r="O2398">
        <v>44</v>
      </c>
      <c r="P2398">
        <v>6</v>
      </c>
      <c r="Q2398">
        <v>158</v>
      </c>
      <c r="R2398">
        <v>414</v>
      </c>
      <c r="S2398">
        <v>551</v>
      </c>
      <c r="T2398" t="s">
        <v>155</v>
      </c>
      <c r="U2398" t="s">
        <v>100</v>
      </c>
      <c r="V2398" t="s">
        <v>176</v>
      </c>
      <c r="W2398" t="s">
        <v>31</v>
      </c>
      <c r="X2398" t="s">
        <v>31</v>
      </c>
      <c r="Y2398" t="s">
        <v>31</v>
      </c>
    </row>
    <row r="2399" spans="1:25" hidden="1">
      <c r="A2399" t="s">
        <v>25</v>
      </c>
      <c r="B2399" t="s">
        <v>26</v>
      </c>
      <c r="C2399" t="s">
        <v>62</v>
      </c>
      <c r="D2399" s="1">
        <v>45753</v>
      </c>
      <c r="E2399" s="2">
        <v>0.66666666666666663</v>
      </c>
      <c r="F2399" t="s">
        <v>40</v>
      </c>
      <c r="G2399" t="s">
        <v>39</v>
      </c>
      <c r="H2399">
        <v>0</v>
      </c>
      <c r="I2399">
        <v>0</v>
      </c>
      <c r="J2399" t="s">
        <v>41</v>
      </c>
      <c r="K2399">
        <v>218</v>
      </c>
      <c r="L2399">
        <v>336</v>
      </c>
      <c r="M2399">
        <v>361</v>
      </c>
      <c r="N2399">
        <v>218</v>
      </c>
      <c r="O2399">
        <v>357</v>
      </c>
      <c r="P2399">
        <v>361</v>
      </c>
      <c r="Q2399">
        <v>213</v>
      </c>
      <c r="R2399">
        <v>337</v>
      </c>
      <c r="S2399">
        <v>342</v>
      </c>
      <c r="T2399" t="s">
        <v>91</v>
      </c>
      <c r="U2399" t="s">
        <v>70</v>
      </c>
      <c r="V2399" t="s">
        <v>77</v>
      </c>
      <c r="W2399" t="s">
        <v>31</v>
      </c>
      <c r="X2399" t="s">
        <v>31</v>
      </c>
      <c r="Y2399" t="s">
        <v>31</v>
      </c>
    </row>
    <row r="2400" spans="1:25" hidden="1">
      <c r="A2400" t="s">
        <v>25</v>
      </c>
      <c r="B2400" t="s">
        <v>26</v>
      </c>
      <c r="C2400" t="s">
        <v>62</v>
      </c>
      <c r="D2400" s="1">
        <v>45758</v>
      </c>
      <c r="E2400" s="2">
        <v>0.77083333333333337</v>
      </c>
      <c r="F2400" t="s">
        <v>61</v>
      </c>
      <c r="G2400" t="s">
        <v>39</v>
      </c>
      <c r="H2400">
        <v>1</v>
      </c>
      <c r="I2400">
        <v>2</v>
      </c>
      <c r="J2400" t="s">
        <v>30</v>
      </c>
      <c r="K2400">
        <v>331</v>
      </c>
      <c r="L2400">
        <v>309</v>
      </c>
      <c r="M2400">
        <v>245</v>
      </c>
      <c r="N2400">
        <v>34</v>
      </c>
      <c r="O2400">
        <v>31</v>
      </c>
      <c r="P2400">
        <v>247</v>
      </c>
      <c r="Q2400">
        <v>323</v>
      </c>
      <c r="R2400">
        <v>303</v>
      </c>
      <c r="S2400">
        <v>238</v>
      </c>
      <c r="T2400" t="s">
        <v>144</v>
      </c>
      <c r="U2400" t="s">
        <v>110</v>
      </c>
      <c r="V2400" t="s">
        <v>81</v>
      </c>
      <c r="W2400" t="s">
        <v>31</v>
      </c>
      <c r="X2400" t="s">
        <v>31</v>
      </c>
      <c r="Y2400" t="s">
        <v>31</v>
      </c>
    </row>
    <row r="2401" spans="1:25" hidden="1">
      <c r="A2401" t="s">
        <v>25</v>
      </c>
      <c r="B2401" t="s">
        <v>26</v>
      </c>
      <c r="C2401" t="s">
        <v>62</v>
      </c>
      <c r="D2401" s="1">
        <v>45759</v>
      </c>
      <c r="E2401" s="2">
        <v>0.66666666666666663</v>
      </c>
      <c r="F2401" t="s">
        <v>63</v>
      </c>
      <c r="G2401" t="s">
        <v>45</v>
      </c>
      <c r="H2401">
        <v>1</v>
      </c>
      <c r="I2401">
        <v>0</v>
      </c>
      <c r="J2401" t="s">
        <v>34</v>
      </c>
      <c r="K2401">
        <v>347</v>
      </c>
      <c r="L2401">
        <v>315</v>
      </c>
      <c r="M2401">
        <v>234</v>
      </c>
      <c r="N2401">
        <v>347</v>
      </c>
      <c r="O2401">
        <v>341</v>
      </c>
      <c r="P2401">
        <v>238</v>
      </c>
      <c r="Q2401">
        <v>323</v>
      </c>
      <c r="R2401">
        <v>316</v>
      </c>
      <c r="S2401">
        <v>229</v>
      </c>
      <c r="T2401" t="s">
        <v>70</v>
      </c>
      <c r="U2401" t="s">
        <v>103</v>
      </c>
      <c r="V2401" t="s">
        <v>102</v>
      </c>
      <c r="W2401" t="s">
        <v>31</v>
      </c>
      <c r="X2401" t="s">
        <v>31</v>
      </c>
      <c r="Y2401" t="s">
        <v>31</v>
      </c>
    </row>
    <row r="2402" spans="1:25" hidden="1">
      <c r="A2402" t="s">
        <v>25</v>
      </c>
      <c r="B2402" t="s">
        <v>26</v>
      </c>
      <c r="C2402" t="s">
        <v>62</v>
      </c>
      <c r="D2402" s="1">
        <v>45759</v>
      </c>
      <c r="E2402" s="2">
        <v>0.66666666666666663</v>
      </c>
      <c r="F2402" t="s">
        <v>52</v>
      </c>
      <c r="G2402" t="s">
        <v>50</v>
      </c>
      <c r="H2402">
        <v>0</v>
      </c>
      <c r="I2402">
        <v>1</v>
      </c>
      <c r="J2402" t="s">
        <v>30</v>
      </c>
      <c r="K2402">
        <v>34</v>
      </c>
      <c r="L2402">
        <v>351</v>
      </c>
      <c r="M2402">
        <v>22</v>
      </c>
      <c r="N2402">
        <v>359</v>
      </c>
      <c r="O2402">
        <v>378</v>
      </c>
      <c r="P2402">
        <v>22</v>
      </c>
      <c r="Q2402">
        <v>321</v>
      </c>
      <c r="R2402">
        <v>353</v>
      </c>
      <c r="S2402">
        <v>214</v>
      </c>
      <c r="T2402" t="s">
        <v>167</v>
      </c>
      <c r="U2402" t="s">
        <v>68</v>
      </c>
      <c r="V2402" t="s">
        <v>186</v>
      </c>
      <c r="W2402" t="s">
        <v>31</v>
      </c>
      <c r="X2402" t="s">
        <v>31</v>
      </c>
      <c r="Y2402" t="s">
        <v>31</v>
      </c>
    </row>
    <row r="2403" spans="1:25" hidden="1">
      <c r="A2403" t="s">
        <v>25</v>
      </c>
      <c r="B2403" t="s">
        <v>26</v>
      </c>
      <c r="C2403" t="s">
        <v>62</v>
      </c>
      <c r="D2403" s="1">
        <v>45759</v>
      </c>
      <c r="E2403" s="2">
        <v>0.66666666666666663</v>
      </c>
      <c r="F2403" t="s">
        <v>54</v>
      </c>
      <c r="G2403" t="s">
        <v>56</v>
      </c>
      <c r="H2403">
        <v>5</v>
      </c>
      <c r="I2403">
        <v>3</v>
      </c>
      <c r="J2403" t="s">
        <v>34</v>
      </c>
      <c r="K2403">
        <v>247</v>
      </c>
      <c r="L2403">
        <v>337</v>
      </c>
      <c r="M2403">
        <v>301</v>
      </c>
      <c r="N2403">
        <v>248</v>
      </c>
      <c r="O2403">
        <v>337</v>
      </c>
      <c r="P2403">
        <v>331</v>
      </c>
      <c r="Q2403">
        <v>238</v>
      </c>
      <c r="R2403">
        <v>328</v>
      </c>
      <c r="S2403">
        <v>296</v>
      </c>
      <c r="T2403" t="s">
        <v>128</v>
      </c>
      <c r="U2403" t="s">
        <v>70</v>
      </c>
      <c r="V2403" t="s">
        <v>126</v>
      </c>
      <c r="W2403" t="s">
        <v>31</v>
      </c>
      <c r="X2403" t="s">
        <v>31</v>
      </c>
      <c r="Y2403" t="s">
        <v>31</v>
      </c>
    </row>
    <row r="2404" spans="1:25" hidden="1">
      <c r="A2404" t="s">
        <v>25</v>
      </c>
      <c r="B2404" t="s">
        <v>26</v>
      </c>
      <c r="C2404" t="s">
        <v>62</v>
      </c>
      <c r="D2404" s="1">
        <v>45760</v>
      </c>
      <c r="E2404" s="2">
        <v>0.5625</v>
      </c>
      <c r="F2404" t="s">
        <v>29</v>
      </c>
      <c r="G2404" t="s">
        <v>28</v>
      </c>
      <c r="H2404">
        <v>1</v>
      </c>
      <c r="I2404">
        <v>2</v>
      </c>
      <c r="J2404" t="s">
        <v>30</v>
      </c>
      <c r="K2404">
        <v>193</v>
      </c>
      <c r="L2404">
        <v>36</v>
      </c>
      <c r="M2404">
        <v>418</v>
      </c>
      <c r="N2404">
        <v>195</v>
      </c>
      <c r="O2404">
        <v>371</v>
      </c>
      <c r="P2404">
        <v>418</v>
      </c>
      <c r="Q2404">
        <v>19</v>
      </c>
      <c r="R2404">
        <v>359</v>
      </c>
      <c r="S2404">
        <v>393</v>
      </c>
      <c r="T2404" t="s">
        <v>175</v>
      </c>
      <c r="U2404" t="s">
        <v>92</v>
      </c>
      <c r="V2404" t="s">
        <v>100</v>
      </c>
      <c r="W2404" t="s">
        <v>31</v>
      </c>
      <c r="X2404" t="s">
        <v>31</v>
      </c>
      <c r="Y2404" t="s">
        <v>31</v>
      </c>
    </row>
    <row r="2405" spans="1:25" hidden="1">
      <c r="A2405" t="s">
        <v>25</v>
      </c>
      <c r="B2405" t="s">
        <v>26</v>
      </c>
      <c r="C2405" t="s">
        <v>62</v>
      </c>
      <c r="D2405" s="1">
        <v>45760</v>
      </c>
      <c r="E2405" s="2">
        <v>0.66666666666666663</v>
      </c>
      <c r="F2405" t="s">
        <v>35</v>
      </c>
      <c r="G2405" t="s">
        <v>40</v>
      </c>
      <c r="H2405">
        <v>2</v>
      </c>
      <c r="I2405">
        <v>0</v>
      </c>
      <c r="J2405" t="s">
        <v>34</v>
      </c>
      <c r="K2405">
        <v>228</v>
      </c>
      <c r="L2405">
        <v>325</v>
      </c>
      <c r="M2405">
        <v>348</v>
      </c>
      <c r="N2405">
        <v>235</v>
      </c>
      <c r="O2405">
        <v>34</v>
      </c>
      <c r="P2405">
        <v>359</v>
      </c>
      <c r="Q2405">
        <v>226</v>
      </c>
      <c r="R2405">
        <v>319</v>
      </c>
      <c r="S2405">
        <v>331</v>
      </c>
      <c r="T2405" t="s">
        <v>142</v>
      </c>
      <c r="U2405" t="s">
        <v>143</v>
      </c>
      <c r="V2405" t="s">
        <v>77</v>
      </c>
      <c r="W2405" t="s">
        <v>31</v>
      </c>
      <c r="X2405" t="s">
        <v>31</v>
      </c>
      <c r="Y2405" t="s">
        <v>31</v>
      </c>
    </row>
    <row r="2406" spans="1:25" hidden="1">
      <c r="A2406" t="s">
        <v>25</v>
      </c>
      <c r="B2406" t="s">
        <v>26</v>
      </c>
      <c r="C2406" t="s">
        <v>62</v>
      </c>
      <c r="D2406" s="1">
        <v>45765</v>
      </c>
      <c r="E2406" s="2">
        <v>0.77083333333333337</v>
      </c>
      <c r="F2406" t="s">
        <v>50</v>
      </c>
      <c r="G2406" t="s">
        <v>54</v>
      </c>
      <c r="H2406">
        <v>2</v>
      </c>
      <c r="I2406">
        <v>0</v>
      </c>
      <c r="J2406" t="s">
        <v>34</v>
      </c>
      <c r="K2406">
        <v>164</v>
      </c>
      <c r="L2406">
        <v>398</v>
      </c>
      <c r="M2406">
        <v>572</v>
      </c>
      <c r="N2406">
        <v>169</v>
      </c>
      <c r="O2406">
        <v>413</v>
      </c>
      <c r="P2406">
        <v>572</v>
      </c>
      <c r="Q2406">
        <v>163</v>
      </c>
      <c r="R2406">
        <v>386</v>
      </c>
      <c r="S2406">
        <v>521</v>
      </c>
      <c r="T2406" t="s">
        <v>146</v>
      </c>
      <c r="U2406" t="s">
        <v>83</v>
      </c>
      <c r="V2406" t="s">
        <v>178</v>
      </c>
      <c r="W2406" t="s">
        <v>31</v>
      </c>
      <c r="X2406" t="s">
        <v>31</v>
      </c>
      <c r="Y2406" t="s">
        <v>31</v>
      </c>
    </row>
    <row r="2407" spans="1:25" hidden="1">
      <c r="A2407" t="s">
        <v>25</v>
      </c>
      <c r="B2407" t="s">
        <v>26</v>
      </c>
      <c r="C2407" t="s">
        <v>62</v>
      </c>
      <c r="D2407" s="1">
        <v>45766</v>
      </c>
      <c r="E2407" s="2">
        <v>0.66666666666666663</v>
      </c>
      <c r="F2407" t="s">
        <v>56</v>
      </c>
      <c r="G2407" t="s">
        <v>63</v>
      </c>
      <c r="H2407">
        <v>0</v>
      </c>
      <c r="I2407">
        <v>0</v>
      </c>
      <c r="J2407" t="s">
        <v>41</v>
      </c>
      <c r="K2407">
        <v>282</v>
      </c>
      <c r="L2407">
        <v>327</v>
      </c>
      <c r="M2407">
        <v>268</v>
      </c>
      <c r="N2407">
        <v>282</v>
      </c>
      <c r="O2407">
        <v>341</v>
      </c>
      <c r="P2407">
        <v>285</v>
      </c>
      <c r="Q2407">
        <v>264</v>
      </c>
      <c r="R2407">
        <v>321</v>
      </c>
      <c r="S2407">
        <v>27</v>
      </c>
      <c r="T2407" t="s">
        <v>180</v>
      </c>
      <c r="U2407" t="s">
        <v>143</v>
      </c>
      <c r="V2407" t="s">
        <v>205</v>
      </c>
      <c r="W2407" t="s">
        <v>31</v>
      </c>
      <c r="X2407" t="s">
        <v>31</v>
      </c>
      <c r="Y2407" t="s">
        <v>31</v>
      </c>
    </row>
    <row r="2408" spans="1:25" hidden="1">
      <c r="A2408" t="s">
        <v>25</v>
      </c>
      <c r="B2408" t="s">
        <v>26</v>
      </c>
      <c r="C2408" t="s">
        <v>62</v>
      </c>
      <c r="D2408" s="1">
        <v>45766</v>
      </c>
      <c r="E2408" s="2">
        <v>0.66666666666666663</v>
      </c>
      <c r="F2408" t="s">
        <v>45</v>
      </c>
      <c r="G2408" t="s">
        <v>52</v>
      </c>
      <c r="H2408">
        <v>1</v>
      </c>
      <c r="I2408">
        <v>1</v>
      </c>
      <c r="J2408" t="s">
        <v>41</v>
      </c>
      <c r="K2408">
        <v>22</v>
      </c>
      <c r="L2408">
        <v>328</v>
      </c>
      <c r="M2408">
        <v>363</v>
      </c>
      <c r="N2408">
        <v>223</v>
      </c>
      <c r="O2408">
        <v>335</v>
      </c>
      <c r="P2408">
        <v>363</v>
      </c>
      <c r="Q2408">
        <v>218</v>
      </c>
      <c r="R2408">
        <v>324</v>
      </c>
      <c r="S2408">
        <v>34</v>
      </c>
      <c r="T2408" t="s">
        <v>186</v>
      </c>
      <c r="U2408" t="s">
        <v>143</v>
      </c>
      <c r="V2408" t="s">
        <v>71</v>
      </c>
      <c r="W2408" t="s">
        <v>31</v>
      </c>
      <c r="X2408" t="s">
        <v>31</v>
      </c>
      <c r="Y2408" t="s">
        <v>31</v>
      </c>
    </row>
    <row r="2409" spans="1:25" hidden="1">
      <c r="A2409" t="s">
        <v>25</v>
      </c>
      <c r="B2409" t="s">
        <v>26</v>
      </c>
      <c r="C2409" t="s">
        <v>62</v>
      </c>
      <c r="D2409" s="1">
        <v>45767</v>
      </c>
      <c r="E2409" s="2">
        <v>0.5625</v>
      </c>
      <c r="F2409" t="s">
        <v>28</v>
      </c>
      <c r="G2409" t="s">
        <v>61</v>
      </c>
      <c r="H2409">
        <v>2</v>
      </c>
      <c r="I2409">
        <v>0</v>
      </c>
      <c r="J2409" t="s">
        <v>34</v>
      </c>
      <c r="K2409">
        <v>154</v>
      </c>
      <c r="L2409">
        <v>424</v>
      </c>
      <c r="M2409">
        <v>646</v>
      </c>
      <c r="N2409">
        <v>161</v>
      </c>
      <c r="O2409">
        <v>43</v>
      </c>
      <c r="P2409">
        <v>646</v>
      </c>
      <c r="Q2409">
        <v>153</v>
      </c>
      <c r="R2409">
        <v>414</v>
      </c>
      <c r="S2409">
        <v>597</v>
      </c>
      <c r="T2409" t="s">
        <v>206</v>
      </c>
      <c r="U2409" t="s">
        <v>75</v>
      </c>
      <c r="V2409" t="s">
        <v>112</v>
      </c>
      <c r="W2409" t="s">
        <v>31</v>
      </c>
      <c r="X2409" t="s">
        <v>31</v>
      </c>
      <c r="Y2409" t="s">
        <v>31</v>
      </c>
    </row>
    <row r="2410" spans="1:25" hidden="1">
      <c r="A2410" t="s">
        <v>25</v>
      </c>
      <c r="B2410" t="s">
        <v>26</v>
      </c>
      <c r="C2410" t="s">
        <v>62</v>
      </c>
      <c r="D2410" s="1">
        <v>45767</v>
      </c>
      <c r="E2410" s="2">
        <v>0.5625</v>
      </c>
      <c r="F2410" t="s">
        <v>39</v>
      </c>
      <c r="G2410" t="s">
        <v>35</v>
      </c>
      <c r="H2410">
        <v>5</v>
      </c>
      <c r="I2410">
        <v>1</v>
      </c>
      <c r="J2410" t="s">
        <v>34</v>
      </c>
      <c r="K2410">
        <v>269</v>
      </c>
      <c r="L2410">
        <v>364</v>
      </c>
      <c r="M2410">
        <v>258</v>
      </c>
      <c r="N2410">
        <v>276</v>
      </c>
      <c r="O2410">
        <v>364</v>
      </c>
      <c r="P2410">
        <v>269</v>
      </c>
      <c r="Q2410">
        <v>264</v>
      </c>
      <c r="R2410">
        <v>342</v>
      </c>
      <c r="S2410">
        <v>255</v>
      </c>
      <c r="T2410" t="s">
        <v>207</v>
      </c>
      <c r="U2410" t="s">
        <v>68</v>
      </c>
      <c r="V2410" t="s">
        <v>208</v>
      </c>
      <c r="W2410" t="s">
        <v>31</v>
      </c>
      <c r="X2410" t="s">
        <v>31</v>
      </c>
      <c r="Y2410" t="s">
        <v>31</v>
      </c>
    </row>
    <row r="2411" spans="1:25" hidden="1">
      <c r="A2411" t="s">
        <v>25</v>
      </c>
      <c r="B2411" t="s">
        <v>26</v>
      </c>
      <c r="C2411" t="s">
        <v>62</v>
      </c>
      <c r="D2411" s="1">
        <v>45767</v>
      </c>
      <c r="E2411" s="2">
        <v>0.66666666666666663</v>
      </c>
      <c r="F2411" t="s">
        <v>40</v>
      </c>
      <c r="G2411" t="s">
        <v>29</v>
      </c>
      <c r="H2411">
        <v>1</v>
      </c>
      <c r="I2411">
        <v>3</v>
      </c>
      <c r="J2411" t="s">
        <v>30</v>
      </c>
      <c r="K2411">
        <v>311</v>
      </c>
      <c r="L2411">
        <v>338</v>
      </c>
      <c r="M2411">
        <v>24</v>
      </c>
      <c r="N2411">
        <v>344</v>
      </c>
      <c r="O2411">
        <v>35</v>
      </c>
      <c r="P2411">
        <v>24</v>
      </c>
      <c r="Q2411">
        <v>309</v>
      </c>
      <c r="R2411">
        <v>326</v>
      </c>
      <c r="S2411">
        <v>231</v>
      </c>
      <c r="T2411" t="s">
        <v>143</v>
      </c>
      <c r="U2411" t="s">
        <v>167</v>
      </c>
      <c r="V2411" t="s">
        <v>102</v>
      </c>
      <c r="W2411" t="s">
        <v>31</v>
      </c>
      <c r="X2411" t="s">
        <v>31</v>
      </c>
      <c r="Y2411" t="s">
        <v>31</v>
      </c>
    </row>
    <row r="2412" spans="1:25" hidden="1">
      <c r="A2412" t="s">
        <v>25</v>
      </c>
      <c r="B2412" t="s">
        <v>26</v>
      </c>
      <c r="C2412" t="s">
        <v>62</v>
      </c>
      <c r="D2412" s="1">
        <v>45769</v>
      </c>
      <c r="E2412" s="2">
        <v>0.72916666666666663</v>
      </c>
      <c r="F2412" t="s">
        <v>63</v>
      </c>
      <c r="G2412" t="s">
        <v>52</v>
      </c>
      <c r="H2412">
        <v>0</v>
      </c>
      <c r="I2412">
        <v>3</v>
      </c>
      <c r="J2412" t="s">
        <v>30</v>
      </c>
      <c r="K2412">
        <v>211</v>
      </c>
      <c r="L2412">
        <v>345</v>
      </c>
      <c r="M2412">
        <v>371</v>
      </c>
      <c r="N2412">
        <v>213</v>
      </c>
      <c r="O2412">
        <v>367</v>
      </c>
      <c r="P2412">
        <v>376</v>
      </c>
      <c r="Q2412">
        <v>206</v>
      </c>
      <c r="R2412">
        <v>34</v>
      </c>
      <c r="S2412">
        <v>356</v>
      </c>
      <c r="T2412" t="s">
        <v>72</v>
      </c>
      <c r="U2412" t="s">
        <v>70</v>
      </c>
      <c r="V2412" t="s">
        <v>71</v>
      </c>
      <c r="W2412" t="s">
        <v>31</v>
      </c>
      <c r="X2412" t="s">
        <v>31</v>
      </c>
      <c r="Y2412" t="s">
        <v>31</v>
      </c>
    </row>
    <row r="2413" spans="1:25" hidden="1">
      <c r="A2413" t="s">
        <v>25</v>
      </c>
      <c r="B2413" t="s">
        <v>26</v>
      </c>
      <c r="C2413" t="s">
        <v>62</v>
      </c>
      <c r="D2413" s="1">
        <v>45769</v>
      </c>
      <c r="E2413" s="2">
        <v>0.72916666666666663</v>
      </c>
      <c r="F2413" t="s">
        <v>54</v>
      </c>
      <c r="G2413" t="s">
        <v>45</v>
      </c>
      <c r="H2413">
        <v>1</v>
      </c>
      <c r="I2413">
        <v>0</v>
      </c>
      <c r="J2413" t="s">
        <v>34</v>
      </c>
      <c r="K2413">
        <v>381</v>
      </c>
      <c r="L2413">
        <v>316</v>
      </c>
      <c r="M2413">
        <v>22</v>
      </c>
      <c r="N2413">
        <v>381</v>
      </c>
      <c r="O2413">
        <v>332</v>
      </c>
      <c r="P2413">
        <v>225</v>
      </c>
      <c r="Q2413">
        <v>351</v>
      </c>
      <c r="R2413">
        <v>312</v>
      </c>
      <c r="S2413">
        <v>22</v>
      </c>
      <c r="T2413" t="s">
        <v>125</v>
      </c>
      <c r="U2413" t="s">
        <v>103</v>
      </c>
      <c r="V2413" t="s">
        <v>122</v>
      </c>
      <c r="W2413" t="s">
        <v>31</v>
      </c>
      <c r="X2413" t="s">
        <v>31</v>
      </c>
      <c r="Y2413" t="s">
        <v>31</v>
      </c>
    </row>
    <row r="2414" spans="1:25" hidden="1">
      <c r="A2414" t="s">
        <v>25</v>
      </c>
      <c r="B2414" t="s">
        <v>26</v>
      </c>
      <c r="C2414" t="s">
        <v>62</v>
      </c>
      <c r="D2414" s="1">
        <v>45769</v>
      </c>
      <c r="E2414" s="2">
        <v>0.8125</v>
      </c>
      <c r="F2414" t="s">
        <v>56</v>
      </c>
      <c r="G2414" t="s">
        <v>50</v>
      </c>
      <c r="H2414">
        <v>1</v>
      </c>
      <c r="I2414">
        <v>4</v>
      </c>
      <c r="J2414" t="s">
        <v>30</v>
      </c>
      <c r="K2414">
        <v>42</v>
      </c>
      <c r="L2414">
        <v>374</v>
      </c>
      <c r="M2414">
        <v>188</v>
      </c>
      <c r="N2414">
        <v>435</v>
      </c>
      <c r="O2414">
        <v>377</v>
      </c>
      <c r="P2414">
        <v>19</v>
      </c>
      <c r="Q2414">
        <v>411</v>
      </c>
      <c r="R2414">
        <v>363</v>
      </c>
      <c r="S2414">
        <v>184</v>
      </c>
      <c r="T2414" t="s">
        <v>69</v>
      </c>
      <c r="U2414" t="s">
        <v>92</v>
      </c>
      <c r="V2414" t="s">
        <v>139</v>
      </c>
      <c r="W2414" t="s">
        <v>31</v>
      </c>
      <c r="X2414" t="s">
        <v>31</v>
      </c>
      <c r="Y2414" t="s">
        <v>31</v>
      </c>
    </row>
    <row r="2415" spans="1:25" hidden="1">
      <c r="A2415" t="s">
        <v>25</v>
      </c>
      <c r="B2415" t="s">
        <v>26</v>
      </c>
      <c r="C2415" t="s">
        <v>62</v>
      </c>
      <c r="D2415" s="1">
        <v>45770</v>
      </c>
      <c r="E2415" s="2">
        <v>0.72916666666666663</v>
      </c>
      <c r="F2415" t="s">
        <v>61</v>
      </c>
      <c r="G2415" t="s">
        <v>35</v>
      </c>
      <c r="H2415">
        <v>2</v>
      </c>
      <c r="I2415">
        <v>1</v>
      </c>
      <c r="J2415" t="s">
        <v>34</v>
      </c>
      <c r="K2415">
        <v>375</v>
      </c>
      <c r="L2415">
        <v>371</v>
      </c>
      <c r="M2415">
        <v>201</v>
      </c>
      <c r="N2415">
        <v>395</v>
      </c>
      <c r="O2415">
        <v>379</v>
      </c>
      <c r="P2415">
        <v>202</v>
      </c>
      <c r="Q2415">
        <v>363</v>
      </c>
      <c r="R2415">
        <v>364</v>
      </c>
      <c r="S2415">
        <v>196</v>
      </c>
      <c r="T2415" t="s">
        <v>129</v>
      </c>
      <c r="U2415" t="s">
        <v>71</v>
      </c>
      <c r="V2415" t="s">
        <v>123</v>
      </c>
      <c r="W2415" t="s">
        <v>31</v>
      </c>
      <c r="X2415" t="s">
        <v>31</v>
      </c>
      <c r="Y2415" t="s">
        <v>31</v>
      </c>
    </row>
    <row r="2416" spans="1:25" hidden="1">
      <c r="A2416" t="s">
        <v>25</v>
      </c>
      <c r="B2416" t="s">
        <v>26</v>
      </c>
      <c r="C2416" t="s">
        <v>62</v>
      </c>
      <c r="D2416" s="1">
        <v>45770</v>
      </c>
      <c r="E2416" s="2">
        <v>0.72916666666666663</v>
      </c>
      <c r="F2416" t="s">
        <v>29</v>
      </c>
      <c r="G2416" t="s">
        <v>39</v>
      </c>
      <c r="H2416">
        <v>1</v>
      </c>
      <c r="I2416">
        <v>1</v>
      </c>
      <c r="J2416" t="s">
        <v>41</v>
      </c>
      <c r="K2416">
        <v>178</v>
      </c>
      <c r="L2416">
        <v>393</v>
      </c>
      <c r="M2416">
        <v>453</v>
      </c>
      <c r="N2416">
        <v>194</v>
      </c>
      <c r="O2416">
        <v>393</v>
      </c>
      <c r="P2416">
        <v>481</v>
      </c>
      <c r="Q2416">
        <v>177</v>
      </c>
      <c r="R2416">
        <v>376</v>
      </c>
      <c r="S2416">
        <v>435</v>
      </c>
      <c r="T2416" t="s">
        <v>209</v>
      </c>
      <c r="U2416" t="s">
        <v>116</v>
      </c>
      <c r="V2416" t="s">
        <v>97</v>
      </c>
      <c r="W2416" t="s">
        <v>31</v>
      </c>
      <c r="X2416" t="s">
        <v>31</v>
      </c>
      <c r="Y2416" t="s">
        <v>31</v>
      </c>
    </row>
    <row r="2417" spans="1:25" hidden="1">
      <c r="A2417" t="s">
        <v>25</v>
      </c>
      <c r="B2417" t="s">
        <v>26</v>
      </c>
      <c r="C2417" t="s">
        <v>62</v>
      </c>
      <c r="D2417" s="1">
        <v>45770</v>
      </c>
      <c r="E2417" s="2">
        <v>0.8125</v>
      </c>
      <c r="F2417" t="s">
        <v>40</v>
      </c>
      <c r="G2417" t="s">
        <v>28</v>
      </c>
      <c r="H2417">
        <v>2</v>
      </c>
      <c r="I2417">
        <v>1</v>
      </c>
      <c r="J2417" t="s">
        <v>34</v>
      </c>
      <c r="K2417">
        <v>279</v>
      </c>
      <c r="L2417">
        <v>333</v>
      </c>
      <c r="M2417">
        <v>267</v>
      </c>
      <c r="N2417">
        <v>281</v>
      </c>
      <c r="O2417">
        <v>333</v>
      </c>
      <c r="P2417">
        <v>275</v>
      </c>
      <c r="Q2417">
        <v>271</v>
      </c>
      <c r="R2417">
        <v>318</v>
      </c>
      <c r="S2417">
        <v>263</v>
      </c>
      <c r="T2417" t="s">
        <v>210</v>
      </c>
      <c r="U2417" t="s">
        <v>144</v>
      </c>
      <c r="V2417" t="s">
        <v>211</v>
      </c>
      <c r="W2417" t="s">
        <v>31</v>
      </c>
      <c r="X2417" t="s">
        <v>31</v>
      </c>
      <c r="Y2417" t="s">
        <v>31</v>
      </c>
    </row>
    <row r="2418" spans="1:25" hidden="1">
      <c r="A2418" t="s">
        <v>25</v>
      </c>
      <c r="B2418" t="s">
        <v>26</v>
      </c>
      <c r="C2418" t="s">
        <v>62</v>
      </c>
      <c r="D2418" s="1">
        <v>45772</v>
      </c>
      <c r="E2418" s="2">
        <v>0.77083333333333337</v>
      </c>
      <c r="F2418" t="s">
        <v>52</v>
      </c>
      <c r="G2418" t="s">
        <v>63</v>
      </c>
      <c r="H2418">
        <v>1</v>
      </c>
      <c r="I2418">
        <v>1</v>
      </c>
      <c r="J2418" t="s">
        <v>41</v>
      </c>
      <c r="K2418">
        <v>206</v>
      </c>
      <c r="L2418">
        <v>348</v>
      </c>
      <c r="M2418">
        <v>375</v>
      </c>
      <c r="N2418">
        <v>207</v>
      </c>
      <c r="O2418">
        <v>369</v>
      </c>
      <c r="P2418">
        <v>375</v>
      </c>
      <c r="Q2418">
        <v>202</v>
      </c>
      <c r="R2418">
        <v>348</v>
      </c>
      <c r="S2418">
        <v>355</v>
      </c>
      <c r="T2418" t="s">
        <v>212</v>
      </c>
      <c r="U2418" t="s">
        <v>68</v>
      </c>
      <c r="V2418" t="s">
        <v>116</v>
      </c>
      <c r="W2418" t="s">
        <v>31</v>
      </c>
      <c r="X2418" t="s">
        <v>31</v>
      </c>
      <c r="Y2418" t="s">
        <v>31</v>
      </c>
    </row>
    <row r="2419" spans="1:25" hidden="1">
      <c r="A2419" t="s">
        <v>25</v>
      </c>
      <c r="B2419" t="s">
        <v>26</v>
      </c>
      <c r="C2419" t="s">
        <v>62</v>
      </c>
      <c r="D2419" s="1">
        <v>45773</v>
      </c>
      <c r="E2419" s="2">
        <v>0.66666666666666663</v>
      </c>
      <c r="F2419" t="s">
        <v>45</v>
      </c>
      <c r="G2419" t="s">
        <v>54</v>
      </c>
      <c r="H2419">
        <v>3</v>
      </c>
      <c r="I2419">
        <v>0</v>
      </c>
      <c r="J2419" t="s">
        <v>34</v>
      </c>
      <c r="K2419">
        <v>185</v>
      </c>
      <c r="L2419">
        <v>36</v>
      </c>
      <c r="M2419">
        <v>458</v>
      </c>
      <c r="N2419">
        <v>193</v>
      </c>
      <c r="O2419">
        <v>369</v>
      </c>
      <c r="P2419">
        <v>458</v>
      </c>
      <c r="Q2419">
        <v>185</v>
      </c>
      <c r="R2419">
        <v>349</v>
      </c>
      <c r="S2419">
        <v>421</v>
      </c>
      <c r="T2419" t="s">
        <v>139</v>
      </c>
      <c r="U2419" t="s">
        <v>68</v>
      </c>
      <c r="V2419" t="s">
        <v>154</v>
      </c>
      <c r="W2419" t="s">
        <v>31</v>
      </c>
      <c r="X2419" t="s">
        <v>31</v>
      </c>
      <c r="Y2419" t="s">
        <v>31</v>
      </c>
    </row>
    <row r="2420" spans="1:25" hidden="1">
      <c r="A2420" t="s">
        <v>25</v>
      </c>
      <c r="B2420" t="s">
        <v>26</v>
      </c>
      <c r="C2420" t="s">
        <v>62</v>
      </c>
      <c r="D2420" s="1">
        <v>45773</v>
      </c>
      <c r="E2420" s="2">
        <v>0.66666666666666663</v>
      </c>
      <c r="F2420" t="s">
        <v>50</v>
      </c>
      <c r="G2420" t="s">
        <v>56</v>
      </c>
      <c r="H2420">
        <v>6</v>
      </c>
      <c r="I2420">
        <v>0</v>
      </c>
      <c r="J2420" t="s">
        <v>34</v>
      </c>
      <c r="K2420">
        <v>162</v>
      </c>
      <c r="L2420">
        <v>441</v>
      </c>
      <c r="M2420">
        <v>518</v>
      </c>
      <c r="N2420">
        <v>163</v>
      </c>
      <c r="O2420">
        <v>446</v>
      </c>
      <c r="P2420">
        <v>53</v>
      </c>
      <c r="Q2420">
        <v>158</v>
      </c>
      <c r="R2420">
        <v>43</v>
      </c>
      <c r="S2420">
        <v>502</v>
      </c>
      <c r="T2420" t="s">
        <v>213</v>
      </c>
      <c r="U2420" t="s">
        <v>156</v>
      </c>
      <c r="V2420" t="s">
        <v>107</v>
      </c>
      <c r="W2420" t="s">
        <v>31</v>
      </c>
      <c r="X2420" t="s">
        <v>31</v>
      </c>
      <c r="Y2420" t="s">
        <v>31</v>
      </c>
    </row>
    <row r="2421" spans="1:25" hidden="1">
      <c r="A2421" t="s">
        <v>25</v>
      </c>
      <c r="B2421" t="s">
        <v>26</v>
      </c>
      <c r="C2421" t="s">
        <v>62</v>
      </c>
      <c r="D2421" s="1">
        <v>45774</v>
      </c>
      <c r="E2421" s="2">
        <v>0.5625</v>
      </c>
      <c r="F2421" t="s">
        <v>35</v>
      </c>
      <c r="G2421" t="s">
        <v>61</v>
      </c>
      <c r="H2421">
        <v>0</v>
      </c>
      <c r="I2421">
        <v>0</v>
      </c>
      <c r="J2421" t="s">
        <v>41</v>
      </c>
      <c r="K2421">
        <v>166</v>
      </c>
      <c r="L2421">
        <v>422</v>
      </c>
      <c r="M2421">
        <v>507</v>
      </c>
      <c r="N2421">
        <v>17</v>
      </c>
      <c r="O2421">
        <v>433</v>
      </c>
      <c r="P2421">
        <v>507</v>
      </c>
      <c r="Q2421">
        <v>164</v>
      </c>
      <c r="R2421">
        <v>41</v>
      </c>
      <c r="S2421">
        <v>475</v>
      </c>
      <c r="T2421" t="s">
        <v>82</v>
      </c>
      <c r="U2421" t="s">
        <v>100</v>
      </c>
      <c r="V2421" t="s">
        <v>214</v>
      </c>
      <c r="W2421" t="s">
        <v>31</v>
      </c>
      <c r="X2421" t="s">
        <v>31</v>
      </c>
      <c r="Y2421" t="s">
        <v>31</v>
      </c>
    </row>
    <row r="2422" spans="1:25" hidden="1">
      <c r="A2422" t="s">
        <v>25</v>
      </c>
      <c r="B2422" t="s">
        <v>26</v>
      </c>
      <c r="C2422" t="s">
        <v>62</v>
      </c>
      <c r="D2422" s="1">
        <v>45774</v>
      </c>
      <c r="E2422" s="2">
        <v>0.5625</v>
      </c>
      <c r="F2422" t="s">
        <v>39</v>
      </c>
      <c r="G2422" t="s">
        <v>29</v>
      </c>
      <c r="H2422">
        <v>2</v>
      </c>
      <c r="I2422">
        <v>1</v>
      </c>
      <c r="J2422" t="s">
        <v>34</v>
      </c>
      <c r="K2422">
        <v>4</v>
      </c>
      <c r="L2422">
        <v>376</v>
      </c>
      <c r="M2422">
        <v>193</v>
      </c>
      <c r="N2422">
        <v>422</v>
      </c>
      <c r="O2422">
        <v>38</v>
      </c>
      <c r="P2422">
        <v>196</v>
      </c>
      <c r="Q2422">
        <v>387</v>
      </c>
      <c r="R2422">
        <v>369</v>
      </c>
      <c r="S2422">
        <v>187</v>
      </c>
      <c r="T2422" t="s">
        <v>69</v>
      </c>
      <c r="U2422" t="s">
        <v>116</v>
      </c>
      <c r="V2422" t="s">
        <v>73</v>
      </c>
      <c r="W2422" t="s">
        <v>31</v>
      </c>
      <c r="X2422" t="s">
        <v>31</v>
      </c>
      <c r="Y2422" t="s">
        <v>31</v>
      </c>
    </row>
    <row r="2423" spans="1:25" hidden="1">
      <c r="A2423" t="s">
        <v>25</v>
      </c>
      <c r="B2423" t="s">
        <v>26</v>
      </c>
      <c r="C2423" t="s">
        <v>62</v>
      </c>
      <c r="D2423" s="1">
        <v>45774</v>
      </c>
      <c r="E2423" s="2">
        <v>0.66666666666666663</v>
      </c>
      <c r="F2423" t="s">
        <v>28</v>
      </c>
      <c r="G2423" t="s">
        <v>40</v>
      </c>
      <c r="H2423">
        <v>0</v>
      </c>
      <c r="I2423">
        <v>1</v>
      </c>
      <c r="J2423" t="s">
        <v>30</v>
      </c>
      <c r="K2423">
        <v>238</v>
      </c>
      <c r="L2423">
        <v>32</v>
      </c>
      <c r="M2423">
        <v>333</v>
      </c>
      <c r="N2423">
        <v>246</v>
      </c>
      <c r="O2423">
        <v>345</v>
      </c>
      <c r="P2423">
        <v>348</v>
      </c>
      <c r="Q2423">
        <v>231</v>
      </c>
      <c r="R2423">
        <v>321</v>
      </c>
      <c r="S2423">
        <v>316</v>
      </c>
      <c r="T2423" t="s">
        <v>102</v>
      </c>
      <c r="U2423" t="s">
        <v>93</v>
      </c>
      <c r="V2423" t="s">
        <v>144</v>
      </c>
      <c r="W2423" t="s">
        <v>31</v>
      </c>
      <c r="X2423" t="s">
        <v>31</v>
      </c>
      <c r="Y2423" t="s">
        <v>31</v>
      </c>
    </row>
    <row r="2424" spans="1:25" hidden="1">
      <c r="A2424" t="s">
        <v>25</v>
      </c>
      <c r="B2424" t="s">
        <v>26</v>
      </c>
      <c r="C2424" t="s">
        <v>62</v>
      </c>
      <c r="D2424" s="1">
        <v>45779</v>
      </c>
      <c r="E2424" s="2">
        <v>0.77083333333333337</v>
      </c>
      <c r="F2424" t="s">
        <v>63</v>
      </c>
      <c r="G2424" t="s">
        <v>56</v>
      </c>
      <c r="H2424">
        <v>1</v>
      </c>
      <c r="I2424">
        <v>1</v>
      </c>
      <c r="J2424" t="s">
        <v>41</v>
      </c>
      <c r="K2424">
        <v>182</v>
      </c>
      <c r="L2424">
        <v>369</v>
      </c>
      <c r="M2424">
        <v>456</v>
      </c>
      <c r="N2424">
        <v>185</v>
      </c>
      <c r="O2424">
        <v>369</v>
      </c>
      <c r="P2424">
        <v>475</v>
      </c>
      <c r="Q2424">
        <v>18</v>
      </c>
      <c r="R2424">
        <v>354</v>
      </c>
      <c r="S2424">
        <v>44</v>
      </c>
      <c r="T2424" t="s">
        <v>215</v>
      </c>
      <c r="U2424" t="s">
        <v>92</v>
      </c>
      <c r="V2424" t="s">
        <v>154</v>
      </c>
      <c r="W2424" t="s">
        <v>31</v>
      </c>
      <c r="X2424" t="s">
        <v>31</v>
      </c>
      <c r="Y2424" t="s">
        <v>31</v>
      </c>
    </row>
    <row r="2425" spans="1:25" hidden="1">
      <c r="A2425" t="s">
        <v>25</v>
      </c>
      <c r="B2425" t="s">
        <v>26</v>
      </c>
      <c r="C2425" t="s">
        <v>62</v>
      </c>
      <c r="D2425" s="1">
        <v>45780</v>
      </c>
      <c r="E2425" s="2">
        <v>0.66666666666666663</v>
      </c>
      <c r="F2425" t="s">
        <v>54</v>
      </c>
      <c r="G2425" t="s">
        <v>50</v>
      </c>
      <c r="H2425">
        <v>1</v>
      </c>
      <c r="I2425">
        <v>3</v>
      </c>
      <c r="J2425" t="s">
        <v>30</v>
      </c>
      <c r="K2425">
        <v>419</v>
      </c>
      <c r="L2425">
        <v>408</v>
      </c>
      <c r="M2425">
        <v>181</v>
      </c>
      <c r="N2425">
        <v>445</v>
      </c>
      <c r="O2425">
        <v>408</v>
      </c>
      <c r="P2425">
        <v>183</v>
      </c>
      <c r="Q2425">
        <v>417</v>
      </c>
      <c r="R2425">
        <v>384</v>
      </c>
      <c r="S2425">
        <v>177</v>
      </c>
      <c r="T2425" t="s">
        <v>100</v>
      </c>
      <c r="U2425" t="s">
        <v>129</v>
      </c>
      <c r="V2425" t="s">
        <v>117</v>
      </c>
      <c r="W2425" t="s">
        <v>31</v>
      </c>
      <c r="X2425" t="s">
        <v>31</v>
      </c>
      <c r="Y2425" t="s">
        <v>31</v>
      </c>
    </row>
    <row r="2426" spans="1:25" hidden="1">
      <c r="A2426" t="s">
        <v>25</v>
      </c>
      <c r="B2426" t="s">
        <v>26</v>
      </c>
      <c r="C2426" t="s">
        <v>62</v>
      </c>
      <c r="D2426" s="1">
        <v>45781</v>
      </c>
      <c r="E2426" s="2">
        <v>0.5625</v>
      </c>
      <c r="F2426" t="s">
        <v>61</v>
      </c>
      <c r="G2426" t="s">
        <v>28</v>
      </c>
      <c r="H2426">
        <v>0</v>
      </c>
      <c r="I2426">
        <v>1</v>
      </c>
      <c r="J2426" t="s">
        <v>30</v>
      </c>
      <c r="K2426">
        <v>396</v>
      </c>
      <c r="L2426">
        <v>345</v>
      </c>
      <c r="M2426">
        <v>203</v>
      </c>
      <c r="N2426">
        <v>409</v>
      </c>
      <c r="O2426">
        <v>351</v>
      </c>
      <c r="P2426">
        <v>204</v>
      </c>
      <c r="Q2426">
        <v>372</v>
      </c>
      <c r="R2426">
        <v>342</v>
      </c>
      <c r="S2426">
        <v>198</v>
      </c>
      <c r="T2426" t="s">
        <v>83</v>
      </c>
      <c r="U2426" t="s">
        <v>80</v>
      </c>
      <c r="V2426" t="s">
        <v>189</v>
      </c>
      <c r="W2426" t="s">
        <v>31</v>
      </c>
      <c r="X2426" t="s">
        <v>31</v>
      </c>
      <c r="Y2426" t="s">
        <v>31</v>
      </c>
    </row>
    <row r="2427" spans="1:25" hidden="1">
      <c r="A2427" t="s">
        <v>25</v>
      </c>
      <c r="B2427" t="s">
        <v>26</v>
      </c>
      <c r="C2427" t="s">
        <v>62</v>
      </c>
      <c r="D2427" s="1">
        <v>45781</v>
      </c>
      <c r="E2427" s="2">
        <v>0.5625</v>
      </c>
      <c r="F2427" t="s">
        <v>52</v>
      </c>
      <c r="G2427" t="s">
        <v>45</v>
      </c>
      <c r="H2427">
        <v>2</v>
      </c>
      <c r="I2427">
        <v>0</v>
      </c>
      <c r="J2427" t="s">
        <v>34</v>
      </c>
      <c r="K2427">
        <v>311</v>
      </c>
      <c r="L2427">
        <v>309</v>
      </c>
      <c r="M2427">
        <v>258</v>
      </c>
      <c r="N2427">
        <v>311</v>
      </c>
      <c r="O2427">
        <v>319</v>
      </c>
      <c r="P2427">
        <v>262</v>
      </c>
      <c r="Q2427">
        <v>289</v>
      </c>
      <c r="R2427">
        <v>31</v>
      </c>
      <c r="S2427">
        <v>252</v>
      </c>
      <c r="T2427" t="s">
        <v>126</v>
      </c>
      <c r="U2427" t="s">
        <v>103</v>
      </c>
      <c r="V2427" t="s">
        <v>118</v>
      </c>
      <c r="W2427" t="s">
        <v>31</v>
      </c>
      <c r="X2427" t="s">
        <v>31</v>
      </c>
      <c r="Y2427" t="s">
        <v>31</v>
      </c>
    </row>
    <row r="2428" spans="1:25" hidden="1">
      <c r="A2428" t="s">
        <v>25</v>
      </c>
      <c r="B2428" t="s">
        <v>26</v>
      </c>
      <c r="C2428" t="s">
        <v>62</v>
      </c>
      <c r="D2428" s="1">
        <v>45781</v>
      </c>
      <c r="E2428" s="2">
        <v>0.5625</v>
      </c>
      <c r="F2428" t="s">
        <v>35</v>
      </c>
      <c r="G2428" t="s">
        <v>39</v>
      </c>
      <c r="H2428">
        <v>0</v>
      </c>
      <c r="I2428">
        <v>1</v>
      </c>
      <c r="J2428" t="s">
        <v>30</v>
      </c>
      <c r="K2428">
        <v>247</v>
      </c>
      <c r="L2428">
        <v>377</v>
      </c>
      <c r="M2428">
        <v>275</v>
      </c>
      <c r="N2428">
        <v>247</v>
      </c>
      <c r="O2428">
        <v>377</v>
      </c>
      <c r="P2428">
        <v>278</v>
      </c>
      <c r="Q2428">
        <v>24</v>
      </c>
      <c r="R2428">
        <v>363</v>
      </c>
      <c r="S2428">
        <v>269</v>
      </c>
      <c r="T2428" t="s">
        <v>128</v>
      </c>
      <c r="U2428" t="s">
        <v>92</v>
      </c>
      <c r="V2428" t="s">
        <v>207</v>
      </c>
      <c r="W2428" t="s">
        <v>31</v>
      </c>
      <c r="X2428" t="s">
        <v>31</v>
      </c>
      <c r="Y2428" t="s">
        <v>31</v>
      </c>
    </row>
    <row r="2429" spans="1:25" hidden="1">
      <c r="A2429" t="s">
        <v>25</v>
      </c>
      <c r="B2429" t="s">
        <v>26</v>
      </c>
      <c r="C2429" t="s">
        <v>62</v>
      </c>
      <c r="D2429" s="1">
        <v>45781</v>
      </c>
      <c r="E2429" s="2">
        <v>0.66666666666666663</v>
      </c>
      <c r="F2429" t="s">
        <v>29</v>
      </c>
      <c r="G2429" t="s">
        <v>40</v>
      </c>
      <c r="H2429">
        <v>2</v>
      </c>
      <c r="I2429">
        <v>0</v>
      </c>
      <c r="J2429" t="s">
        <v>34</v>
      </c>
      <c r="K2429">
        <v>178</v>
      </c>
      <c r="L2429">
        <v>402</v>
      </c>
      <c r="M2429">
        <v>442</v>
      </c>
      <c r="N2429">
        <v>181</v>
      </c>
      <c r="O2429">
        <v>402</v>
      </c>
      <c r="P2429">
        <v>444</v>
      </c>
      <c r="Q2429">
        <v>178</v>
      </c>
      <c r="R2429">
        <v>384</v>
      </c>
      <c r="S2429">
        <v>418</v>
      </c>
      <c r="T2429" t="s">
        <v>203</v>
      </c>
      <c r="U2429" t="s">
        <v>83</v>
      </c>
      <c r="V2429" t="s">
        <v>95</v>
      </c>
      <c r="W2429" t="s">
        <v>31</v>
      </c>
      <c r="X2429" t="s">
        <v>31</v>
      </c>
      <c r="Y2429" t="s">
        <v>31</v>
      </c>
    </row>
    <row r="2430" spans="1:25" hidden="1">
      <c r="A2430" t="s">
        <v>25</v>
      </c>
      <c r="B2430" t="s">
        <v>26</v>
      </c>
      <c r="C2430" t="s">
        <v>62</v>
      </c>
      <c r="D2430" s="1">
        <v>45786</v>
      </c>
      <c r="E2430" s="2">
        <v>0.77083333333333337</v>
      </c>
      <c r="F2430" t="s">
        <v>28</v>
      </c>
      <c r="G2430" t="s">
        <v>29</v>
      </c>
      <c r="H2430">
        <v>4</v>
      </c>
      <c r="I2430">
        <v>2</v>
      </c>
      <c r="J2430" t="s">
        <v>34</v>
      </c>
      <c r="K2430">
        <v>273</v>
      </c>
      <c r="L2430">
        <v>35</v>
      </c>
      <c r="M2430">
        <v>262</v>
      </c>
      <c r="N2430">
        <v>275</v>
      </c>
      <c r="O2430">
        <v>355</v>
      </c>
      <c r="P2430">
        <v>27</v>
      </c>
      <c r="Q2430">
        <v>266</v>
      </c>
      <c r="R2430">
        <v>339</v>
      </c>
      <c r="S2430">
        <v>257</v>
      </c>
      <c r="T2430" t="s">
        <v>104</v>
      </c>
      <c r="U2430" t="s">
        <v>80</v>
      </c>
      <c r="V2430" t="s">
        <v>199</v>
      </c>
      <c r="W2430" t="s">
        <v>31</v>
      </c>
      <c r="X2430" t="s">
        <v>31</v>
      </c>
      <c r="Y2430" t="s">
        <v>31</v>
      </c>
    </row>
    <row r="2431" spans="1:25" hidden="1">
      <c r="A2431" t="s">
        <v>25</v>
      </c>
      <c r="B2431" t="s">
        <v>26</v>
      </c>
      <c r="C2431" t="s">
        <v>62</v>
      </c>
      <c r="D2431" s="1">
        <v>45787</v>
      </c>
      <c r="E2431" s="2">
        <v>0.66666666666666663</v>
      </c>
      <c r="F2431" t="s">
        <v>56</v>
      </c>
      <c r="G2431" t="s">
        <v>54</v>
      </c>
      <c r="H2431">
        <v>1</v>
      </c>
      <c r="I2431">
        <v>4</v>
      </c>
      <c r="J2431" t="s">
        <v>30</v>
      </c>
      <c r="K2431">
        <v>289</v>
      </c>
      <c r="L2431">
        <v>347</v>
      </c>
      <c r="M2431">
        <v>251</v>
      </c>
      <c r="N2431">
        <v>293</v>
      </c>
      <c r="O2431">
        <v>347</v>
      </c>
      <c r="P2431">
        <v>254</v>
      </c>
      <c r="Q2431">
        <v>281</v>
      </c>
      <c r="R2431">
        <v>334</v>
      </c>
      <c r="S2431">
        <v>245</v>
      </c>
      <c r="T2431" t="s">
        <v>210</v>
      </c>
      <c r="U2431" t="s">
        <v>70</v>
      </c>
      <c r="V2431" t="s">
        <v>190</v>
      </c>
      <c r="W2431" t="s">
        <v>31</v>
      </c>
      <c r="X2431" t="s">
        <v>31</v>
      </c>
      <c r="Y2431" t="s">
        <v>31</v>
      </c>
    </row>
    <row r="2432" spans="1:25" hidden="1">
      <c r="A2432" t="s">
        <v>25</v>
      </c>
      <c r="B2432" t="s">
        <v>26</v>
      </c>
      <c r="C2432" t="s">
        <v>62</v>
      </c>
      <c r="D2432" s="1">
        <v>45787</v>
      </c>
      <c r="E2432" s="2">
        <v>0.66666666666666663</v>
      </c>
      <c r="F2432" t="s">
        <v>45</v>
      </c>
      <c r="G2432" t="s">
        <v>63</v>
      </c>
      <c r="H2432">
        <v>2</v>
      </c>
      <c r="I2432">
        <v>2</v>
      </c>
      <c r="J2432" t="s">
        <v>41</v>
      </c>
      <c r="K2432">
        <v>215</v>
      </c>
      <c r="L2432">
        <v>334</v>
      </c>
      <c r="M2432">
        <v>371</v>
      </c>
      <c r="N2432">
        <v>219</v>
      </c>
      <c r="O2432">
        <v>334</v>
      </c>
      <c r="P2432">
        <v>378</v>
      </c>
      <c r="Q2432">
        <v>211</v>
      </c>
      <c r="R2432">
        <v>325</v>
      </c>
      <c r="S2432">
        <v>356</v>
      </c>
      <c r="T2432" t="s">
        <v>91</v>
      </c>
      <c r="U2432" t="s">
        <v>93</v>
      </c>
      <c r="V2432" t="s">
        <v>74</v>
      </c>
      <c r="W2432" t="s">
        <v>31</v>
      </c>
      <c r="X2432" t="s">
        <v>31</v>
      </c>
      <c r="Y2432" t="s">
        <v>31</v>
      </c>
    </row>
    <row r="2433" spans="1:25" hidden="1">
      <c r="A2433" t="s">
        <v>25</v>
      </c>
      <c r="B2433" t="s">
        <v>26</v>
      </c>
      <c r="C2433" t="s">
        <v>62</v>
      </c>
      <c r="D2433" s="1">
        <v>45787</v>
      </c>
      <c r="E2433" s="2">
        <v>0.66666666666666663</v>
      </c>
      <c r="F2433" t="s">
        <v>50</v>
      </c>
      <c r="G2433" t="s">
        <v>52</v>
      </c>
      <c r="H2433">
        <v>0</v>
      </c>
      <c r="I2433">
        <v>0</v>
      </c>
      <c r="J2433" t="s">
        <v>41</v>
      </c>
      <c r="K2433">
        <v>179</v>
      </c>
      <c r="L2433">
        <v>389</v>
      </c>
      <c r="M2433">
        <v>45</v>
      </c>
      <c r="N2433">
        <v>179</v>
      </c>
      <c r="O2433">
        <v>401</v>
      </c>
      <c r="P2433">
        <v>45</v>
      </c>
      <c r="Q2433">
        <v>175</v>
      </c>
      <c r="R2433">
        <v>383</v>
      </c>
      <c r="S2433">
        <v>434</v>
      </c>
      <c r="T2433" t="s">
        <v>203</v>
      </c>
      <c r="U2433" t="s">
        <v>74</v>
      </c>
      <c r="V2433" t="s">
        <v>115</v>
      </c>
      <c r="W2433" t="s">
        <v>31</v>
      </c>
      <c r="X2433" t="s">
        <v>31</v>
      </c>
      <c r="Y2433" t="s">
        <v>31</v>
      </c>
    </row>
    <row r="2434" spans="1:25" hidden="1">
      <c r="A2434" t="s">
        <v>25</v>
      </c>
      <c r="B2434" t="s">
        <v>26</v>
      </c>
      <c r="C2434" t="s">
        <v>62</v>
      </c>
      <c r="D2434" s="1">
        <v>45788</v>
      </c>
      <c r="E2434" s="2">
        <v>0.5625</v>
      </c>
      <c r="F2434" t="s">
        <v>39</v>
      </c>
      <c r="G2434" t="s">
        <v>61</v>
      </c>
      <c r="H2434">
        <v>2</v>
      </c>
      <c r="I2434">
        <v>0</v>
      </c>
      <c r="J2434" t="s">
        <v>34</v>
      </c>
      <c r="K2434">
        <v>163</v>
      </c>
      <c r="L2434">
        <v>4</v>
      </c>
      <c r="M2434">
        <v>577</v>
      </c>
      <c r="N2434">
        <v>165</v>
      </c>
      <c r="O2434">
        <v>408</v>
      </c>
      <c r="P2434">
        <v>577</v>
      </c>
      <c r="Q2434">
        <v>162</v>
      </c>
      <c r="R2434">
        <v>392</v>
      </c>
      <c r="S2434">
        <v>529</v>
      </c>
      <c r="T2434" t="s">
        <v>216</v>
      </c>
      <c r="U2434" t="s">
        <v>75</v>
      </c>
      <c r="V2434" t="s">
        <v>176</v>
      </c>
      <c r="W2434" t="s">
        <v>31</v>
      </c>
      <c r="X2434" t="s">
        <v>31</v>
      </c>
      <c r="Y2434" t="s">
        <v>31</v>
      </c>
    </row>
    <row r="2435" spans="1:25" hidden="1">
      <c r="A2435" t="s">
        <v>25</v>
      </c>
      <c r="B2435" t="s">
        <v>26</v>
      </c>
      <c r="C2435" t="s">
        <v>62</v>
      </c>
      <c r="D2435" s="1">
        <v>45788</v>
      </c>
      <c r="E2435" s="2">
        <v>0.66666666666666663</v>
      </c>
      <c r="F2435" t="s">
        <v>40</v>
      </c>
      <c r="G2435" t="s">
        <v>35</v>
      </c>
      <c r="H2435">
        <v>1</v>
      </c>
      <c r="I2435">
        <v>2</v>
      </c>
      <c r="J2435" t="s">
        <v>30</v>
      </c>
      <c r="K2435">
        <v>209</v>
      </c>
      <c r="L2435">
        <v>369</v>
      </c>
      <c r="M2435">
        <v>351</v>
      </c>
      <c r="N2435">
        <v>212</v>
      </c>
      <c r="O2435">
        <v>369</v>
      </c>
      <c r="P2435">
        <v>351</v>
      </c>
      <c r="Q2435">
        <v>206</v>
      </c>
      <c r="R2435">
        <v>355</v>
      </c>
      <c r="S2435">
        <v>339</v>
      </c>
      <c r="T2435" t="s">
        <v>136</v>
      </c>
      <c r="U2435" t="s">
        <v>77</v>
      </c>
      <c r="V2435" t="s">
        <v>114</v>
      </c>
      <c r="W2435" t="s">
        <v>31</v>
      </c>
      <c r="X2435" t="s">
        <v>31</v>
      </c>
      <c r="Y2435" t="s">
        <v>31</v>
      </c>
    </row>
    <row r="2436" spans="1:25" hidden="1">
      <c r="A2436" t="s">
        <v>25</v>
      </c>
      <c r="B2436" t="s">
        <v>26</v>
      </c>
      <c r="C2436" t="s">
        <v>62</v>
      </c>
      <c r="D2436" s="1">
        <v>45794</v>
      </c>
      <c r="E2436" s="2">
        <v>0.66666666666666663</v>
      </c>
      <c r="F2436" t="s">
        <v>45</v>
      </c>
      <c r="G2436" t="s">
        <v>56</v>
      </c>
      <c r="H2436">
        <v>0</v>
      </c>
      <c r="I2436">
        <v>0</v>
      </c>
      <c r="J2436" t="s">
        <v>41</v>
      </c>
      <c r="K2436">
        <v>165</v>
      </c>
      <c r="L2436">
        <v>384</v>
      </c>
      <c r="M2436">
        <v>546</v>
      </c>
      <c r="N2436">
        <v>165</v>
      </c>
      <c r="O2436">
        <v>42</v>
      </c>
      <c r="P2436">
        <v>577</v>
      </c>
      <c r="Q2436">
        <v>162</v>
      </c>
      <c r="R2436">
        <v>399</v>
      </c>
      <c r="S2436">
        <v>522</v>
      </c>
      <c r="T2436" t="s">
        <v>217</v>
      </c>
      <c r="U2436" t="s">
        <v>74</v>
      </c>
      <c r="V2436" t="s">
        <v>121</v>
      </c>
      <c r="W2436" t="s">
        <v>31</v>
      </c>
      <c r="X2436" t="s">
        <v>31</v>
      </c>
      <c r="Y2436" t="s">
        <v>31</v>
      </c>
    </row>
    <row r="2437" spans="1:25" hidden="1">
      <c r="A2437" t="s">
        <v>25</v>
      </c>
      <c r="B2437" t="s">
        <v>26</v>
      </c>
      <c r="C2437" t="s">
        <v>62</v>
      </c>
      <c r="D2437" s="1">
        <v>45794</v>
      </c>
      <c r="E2437" s="2">
        <v>0.66666666666666663</v>
      </c>
      <c r="F2437" t="s">
        <v>63</v>
      </c>
      <c r="G2437" t="s">
        <v>50</v>
      </c>
      <c r="H2437">
        <v>1</v>
      </c>
      <c r="I2437">
        <v>0</v>
      </c>
      <c r="J2437" t="s">
        <v>34</v>
      </c>
      <c r="K2437">
        <v>344</v>
      </c>
      <c r="L2437">
        <v>372</v>
      </c>
      <c r="M2437">
        <v>204</v>
      </c>
      <c r="N2437">
        <v>369</v>
      </c>
      <c r="O2437">
        <v>375</v>
      </c>
      <c r="P2437">
        <v>206</v>
      </c>
      <c r="Q2437">
        <v>342</v>
      </c>
      <c r="R2437">
        <v>36</v>
      </c>
      <c r="S2437">
        <v>202</v>
      </c>
      <c r="T2437" t="s">
        <v>71</v>
      </c>
      <c r="U2437" t="s">
        <v>92</v>
      </c>
      <c r="V2437" t="s">
        <v>189</v>
      </c>
      <c r="W2437" t="s">
        <v>31</v>
      </c>
      <c r="X2437" t="s">
        <v>31</v>
      </c>
      <c r="Y2437" t="s">
        <v>31</v>
      </c>
    </row>
    <row r="2438" spans="1:25" hidden="1">
      <c r="A2438" t="s">
        <v>25</v>
      </c>
      <c r="B2438" t="s">
        <v>26</v>
      </c>
      <c r="C2438" t="s">
        <v>62</v>
      </c>
      <c r="D2438" s="1">
        <v>45794</v>
      </c>
      <c r="E2438" s="2">
        <v>0.66666666666666663</v>
      </c>
      <c r="F2438" t="s">
        <v>52</v>
      </c>
      <c r="G2438" t="s">
        <v>54</v>
      </c>
      <c r="H2438">
        <v>3</v>
      </c>
      <c r="I2438">
        <v>2</v>
      </c>
      <c r="J2438" t="s">
        <v>34</v>
      </c>
      <c r="K2438">
        <v>18</v>
      </c>
      <c r="L2438">
        <v>375</v>
      </c>
      <c r="M2438">
        <v>438</v>
      </c>
      <c r="N2438">
        <v>182</v>
      </c>
      <c r="O2438">
        <v>384</v>
      </c>
      <c r="P2438">
        <v>46</v>
      </c>
      <c r="Q2438">
        <v>179</v>
      </c>
      <c r="R2438">
        <v>371</v>
      </c>
      <c r="S2438">
        <v>427</v>
      </c>
      <c r="T2438" t="s">
        <v>117</v>
      </c>
      <c r="U2438" t="s">
        <v>74</v>
      </c>
      <c r="V2438" t="s">
        <v>115</v>
      </c>
      <c r="W2438" t="s">
        <v>31</v>
      </c>
      <c r="X2438" t="s">
        <v>31</v>
      </c>
      <c r="Y2438" t="s">
        <v>31</v>
      </c>
    </row>
    <row r="2439" spans="1:25" hidden="1">
      <c r="A2439" t="s">
        <v>25</v>
      </c>
      <c r="B2439" t="s">
        <v>26</v>
      </c>
      <c r="C2439" t="s">
        <v>62</v>
      </c>
      <c r="D2439" s="1">
        <v>45795</v>
      </c>
      <c r="E2439" s="2">
        <v>0.66666666666666663</v>
      </c>
      <c r="F2439" t="s">
        <v>61</v>
      </c>
      <c r="G2439" t="s">
        <v>29</v>
      </c>
      <c r="H2439">
        <v>1</v>
      </c>
      <c r="I2439">
        <v>2</v>
      </c>
      <c r="J2439" t="s">
        <v>30</v>
      </c>
      <c r="K2439">
        <v>587</v>
      </c>
      <c r="L2439">
        <v>46</v>
      </c>
      <c r="M2439">
        <v>151</v>
      </c>
      <c r="N2439">
        <v>6</v>
      </c>
      <c r="O2439">
        <v>486</v>
      </c>
      <c r="P2439">
        <v>154</v>
      </c>
      <c r="Q2439">
        <v>569</v>
      </c>
      <c r="R2439">
        <v>46</v>
      </c>
      <c r="S2439">
        <v>15</v>
      </c>
      <c r="T2439" t="s">
        <v>176</v>
      </c>
      <c r="U2439" t="s">
        <v>115</v>
      </c>
      <c r="V2439" t="s">
        <v>153</v>
      </c>
      <c r="W2439" t="s">
        <v>31</v>
      </c>
      <c r="X2439" t="s">
        <v>31</v>
      </c>
      <c r="Y2439" t="s">
        <v>31</v>
      </c>
    </row>
    <row r="2440" spans="1:25" hidden="1">
      <c r="A2440" t="s">
        <v>25</v>
      </c>
      <c r="B2440" t="s">
        <v>26</v>
      </c>
      <c r="C2440" t="s">
        <v>62</v>
      </c>
      <c r="D2440" s="1">
        <v>45795</v>
      </c>
      <c r="E2440" s="2">
        <v>0.66666666666666663</v>
      </c>
      <c r="F2440" t="s">
        <v>35</v>
      </c>
      <c r="G2440" t="s">
        <v>28</v>
      </c>
      <c r="H2440">
        <v>3</v>
      </c>
      <c r="I2440">
        <v>1</v>
      </c>
      <c r="J2440" t="s">
        <v>34</v>
      </c>
      <c r="K2440">
        <v>323</v>
      </c>
      <c r="L2440">
        <v>371</v>
      </c>
      <c r="M2440">
        <v>213</v>
      </c>
      <c r="N2440">
        <v>333</v>
      </c>
      <c r="O2440">
        <v>375</v>
      </c>
      <c r="P2440">
        <v>223</v>
      </c>
      <c r="Q2440">
        <v>317</v>
      </c>
      <c r="R2440">
        <v>365</v>
      </c>
      <c r="S2440">
        <v>212</v>
      </c>
      <c r="T2440" t="s">
        <v>167</v>
      </c>
      <c r="U2440" t="s">
        <v>92</v>
      </c>
      <c r="V2440" t="s">
        <v>72</v>
      </c>
      <c r="W2440" t="s">
        <v>31</v>
      </c>
      <c r="X2440" t="s">
        <v>31</v>
      </c>
      <c r="Y2440" t="s">
        <v>31</v>
      </c>
    </row>
    <row r="2441" spans="1:25" hidden="1">
      <c r="A2441" t="s">
        <v>25</v>
      </c>
      <c r="B2441" t="s">
        <v>26</v>
      </c>
      <c r="C2441" t="s">
        <v>62</v>
      </c>
      <c r="D2441" s="1">
        <v>45795</v>
      </c>
      <c r="E2441" s="2">
        <v>0.66666666666666663</v>
      </c>
      <c r="F2441" t="s">
        <v>39</v>
      </c>
      <c r="G2441" t="s">
        <v>40</v>
      </c>
      <c r="H2441">
        <v>1</v>
      </c>
      <c r="I2441">
        <v>2</v>
      </c>
      <c r="J2441" t="s">
        <v>30</v>
      </c>
      <c r="K2441">
        <v>261</v>
      </c>
      <c r="L2441">
        <v>318</v>
      </c>
      <c r="M2441">
        <v>285</v>
      </c>
      <c r="N2441">
        <v>261</v>
      </c>
      <c r="O2441">
        <v>337</v>
      </c>
      <c r="P2441">
        <v>295</v>
      </c>
      <c r="Q2441">
        <v>249</v>
      </c>
      <c r="R2441">
        <v>328</v>
      </c>
      <c r="S2441">
        <v>284</v>
      </c>
      <c r="T2441" t="s">
        <v>105</v>
      </c>
      <c r="U2441" t="s">
        <v>93</v>
      </c>
      <c r="V2441" t="s">
        <v>163</v>
      </c>
      <c r="W2441" t="s">
        <v>31</v>
      </c>
      <c r="X2441" t="s">
        <v>31</v>
      </c>
      <c r="Y2441" t="s">
        <v>31</v>
      </c>
    </row>
    <row r="2442" spans="1:25" hidden="1">
      <c r="A2442" t="s">
        <v>25</v>
      </c>
      <c r="B2442" t="s">
        <v>26</v>
      </c>
      <c r="C2442" t="s">
        <v>62</v>
      </c>
      <c r="D2442" s="1">
        <v>45800</v>
      </c>
      <c r="E2442" s="2">
        <v>0.77083333333333337</v>
      </c>
      <c r="F2442" t="s">
        <v>56</v>
      </c>
      <c r="G2442" t="s">
        <v>52</v>
      </c>
      <c r="H2442">
        <v>0</v>
      </c>
      <c r="I2442">
        <v>1</v>
      </c>
      <c r="J2442" t="s">
        <v>30</v>
      </c>
      <c r="K2442">
        <v>229</v>
      </c>
      <c r="L2442">
        <v>366</v>
      </c>
      <c r="M2442">
        <v>296</v>
      </c>
      <c r="N2442">
        <v>232</v>
      </c>
      <c r="O2442">
        <v>38</v>
      </c>
      <c r="P2442">
        <v>31</v>
      </c>
      <c r="Q2442">
        <v>226</v>
      </c>
      <c r="R2442">
        <v>36</v>
      </c>
      <c r="S2442">
        <v>293</v>
      </c>
      <c r="T2442" t="s">
        <v>102</v>
      </c>
      <c r="U2442" t="s">
        <v>71</v>
      </c>
      <c r="V2442" t="s">
        <v>79</v>
      </c>
      <c r="W2442" t="s">
        <v>31</v>
      </c>
      <c r="X2442" t="s">
        <v>31</v>
      </c>
      <c r="Y2442" t="s">
        <v>31</v>
      </c>
    </row>
    <row r="2443" spans="1:25" hidden="1">
      <c r="A2443" t="s">
        <v>25</v>
      </c>
      <c r="B2443" t="s">
        <v>26</v>
      </c>
      <c r="C2443" t="s">
        <v>62</v>
      </c>
      <c r="D2443" s="1">
        <v>45800</v>
      </c>
      <c r="E2443" s="2">
        <v>0.77083333333333337</v>
      </c>
      <c r="F2443" t="s">
        <v>50</v>
      </c>
      <c r="G2443" t="s">
        <v>45</v>
      </c>
      <c r="H2443">
        <v>0</v>
      </c>
      <c r="I2443">
        <v>0</v>
      </c>
      <c r="J2443" t="s">
        <v>41</v>
      </c>
      <c r="K2443">
        <v>309</v>
      </c>
      <c r="L2443">
        <v>357</v>
      </c>
      <c r="M2443">
        <v>225</v>
      </c>
      <c r="N2443">
        <v>309</v>
      </c>
      <c r="O2443">
        <v>371</v>
      </c>
      <c r="P2443">
        <v>241</v>
      </c>
      <c r="Q2443">
        <v>29</v>
      </c>
      <c r="R2443">
        <v>355</v>
      </c>
      <c r="S2443">
        <v>23</v>
      </c>
      <c r="T2443" t="s">
        <v>126</v>
      </c>
      <c r="U2443" t="s">
        <v>68</v>
      </c>
      <c r="V2443" t="s">
        <v>102</v>
      </c>
      <c r="W2443" t="s">
        <v>31</v>
      </c>
      <c r="X2443" t="s">
        <v>31</v>
      </c>
      <c r="Y2443" t="s">
        <v>31</v>
      </c>
    </row>
    <row r="2444" spans="1:25" hidden="1">
      <c r="A2444" t="s">
        <v>25</v>
      </c>
      <c r="B2444" t="s">
        <v>26</v>
      </c>
      <c r="C2444" t="s">
        <v>62</v>
      </c>
      <c r="D2444" s="1">
        <v>45800</v>
      </c>
      <c r="E2444" s="2">
        <v>0.77083333333333337</v>
      </c>
      <c r="F2444" t="s">
        <v>54</v>
      </c>
      <c r="G2444" t="s">
        <v>63</v>
      </c>
      <c r="H2444">
        <v>1</v>
      </c>
      <c r="I2444">
        <v>1</v>
      </c>
      <c r="J2444" t="s">
        <v>41</v>
      </c>
      <c r="K2444">
        <v>332</v>
      </c>
      <c r="L2444">
        <v>282</v>
      </c>
      <c r="M2444">
        <v>243</v>
      </c>
      <c r="N2444">
        <v>345</v>
      </c>
      <c r="O2444">
        <v>292</v>
      </c>
      <c r="P2444">
        <v>263</v>
      </c>
      <c r="Q2444">
        <v>318</v>
      </c>
      <c r="R2444">
        <v>282</v>
      </c>
      <c r="S2444">
        <v>249</v>
      </c>
      <c r="T2444" t="s">
        <v>144</v>
      </c>
      <c r="U2444" t="s">
        <v>110</v>
      </c>
      <c r="V2444" t="s">
        <v>81</v>
      </c>
      <c r="W2444" t="s">
        <v>31</v>
      </c>
      <c r="X2444" t="s">
        <v>31</v>
      </c>
      <c r="Y2444" t="s">
        <v>31</v>
      </c>
    </row>
    <row r="2445" spans="1:25" hidden="1">
      <c r="A2445" t="s">
        <v>25</v>
      </c>
      <c r="B2445" t="s">
        <v>26</v>
      </c>
      <c r="C2445" t="s">
        <v>62</v>
      </c>
      <c r="D2445" s="1">
        <v>45801</v>
      </c>
      <c r="E2445" s="2">
        <v>0.66666666666666663</v>
      </c>
      <c r="F2445" t="s">
        <v>40</v>
      </c>
      <c r="G2445" t="s">
        <v>61</v>
      </c>
      <c r="H2445">
        <v>2</v>
      </c>
      <c r="I2445">
        <v>2</v>
      </c>
      <c r="J2445" t="s">
        <v>41</v>
      </c>
      <c r="K2445">
        <v>134</v>
      </c>
      <c r="L2445">
        <v>513</v>
      </c>
      <c r="M2445">
        <v>919</v>
      </c>
      <c r="N2445">
        <v>134</v>
      </c>
      <c r="O2445">
        <v>6</v>
      </c>
      <c r="P2445">
        <v>11</v>
      </c>
      <c r="Q2445">
        <v>131</v>
      </c>
      <c r="R2445">
        <v>524</v>
      </c>
      <c r="S2445">
        <v>944</v>
      </c>
      <c r="T2445" t="s">
        <v>218</v>
      </c>
      <c r="U2445" t="s">
        <v>65</v>
      </c>
      <c r="V2445" t="s">
        <v>219</v>
      </c>
      <c r="W2445" t="s">
        <v>31</v>
      </c>
      <c r="X2445" t="s">
        <v>31</v>
      </c>
      <c r="Y2445" t="s">
        <v>31</v>
      </c>
    </row>
    <row r="2446" spans="1:25" hidden="1">
      <c r="A2446" t="s">
        <v>25</v>
      </c>
      <c r="B2446" t="s">
        <v>26</v>
      </c>
      <c r="C2446" t="s">
        <v>62</v>
      </c>
      <c r="D2446" s="1">
        <v>45801</v>
      </c>
      <c r="E2446" s="2">
        <v>0.66666666666666663</v>
      </c>
      <c r="F2446" t="s">
        <v>29</v>
      </c>
      <c r="G2446" t="s">
        <v>35</v>
      </c>
      <c r="H2446">
        <v>4</v>
      </c>
      <c r="I2446">
        <v>2</v>
      </c>
      <c r="J2446" t="s">
        <v>34</v>
      </c>
      <c r="K2446">
        <v>149</v>
      </c>
      <c r="L2446">
        <v>486</v>
      </c>
      <c r="M2446">
        <v>573</v>
      </c>
      <c r="N2446">
        <v>152</v>
      </c>
      <c r="O2446">
        <v>51</v>
      </c>
      <c r="P2446">
        <v>64</v>
      </c>
      <c r="Q2446">
        <v>147</v>
      </c>
      <c r="R2446">
        <v>49</v>
      </c>
      <c r="S2446">
        <v>565</v>
      </c>
      <c r="T2446" t="s">
        <v>220</v>
      </c>
      <c r="U2446" t="s">
        <v>214</v>
      </c>
      <c r="V2446" t="s">
        <v>176</v>
      </c>
      <c r="W2446" t="s">
        <v>31</v>
      </c>
      <c r="X2446" t="s">
        <v>31</v>
      </c>
      <c r="Y2446" t="s">
        <v>31</v>
      </c>
    </row>
    <row r="2447" spans="1:25" hidden="1">
      <c r="A2447" t="s">
        <v>25</v>
      </c>
      <c r="B2447" t="s">
        <v>26</v>
      </c>
      <c r="C2447" t="s">
        <v>62</v>
      </c>
      <c r="D2447" s="1">
        <v>45801</v>
      </c>
      <c r="E2447" s="2">
        <v>0.66666666666666663</v>
      </c>
      <c r="F2447" t="s">
        <v>28</v>
      </c>
      <c r="G2447" t="s">
        <v>39</v>
      </c>
      <c r="H2447">
        <v>1</v>
      </c>
      <c r="I2447">
        <v>1</v>
      </c>
      <c r="J2447" t="s">
        <v>41</v>
      </c>
      <c r="K2447">
        <v>186</v>
      </c>
      <c r="L2447">
        <v>358</v>
      </c>
      <c r="M2447">
        <v>426</v>
      </c>
      <c r="N2447">
        <v>199</v>
      </c>
      <c r="O2447">
        <v>361</v>
      </c>
      <c r="P2447">
        <v>464</v>
      </c>
      <c r="Q2447">
        <v>189</v>
      </c>
      <c r="R2447">
        <v>352</v>
      </c>
      <c r="S2447">
        <v>408</v>
      </c>
      <c r="T2447" t="s">
        <v>165</v>
      </c>
      <c r="U2447" t="s">
        <v>92</v>
      </c>
      <c r="V2447" t="s">
        <v>100</v>
      </c>
      <c r="W2447" t="s">
        <v>31</v>
      </c>
      <c r="X2447" t="s">
        <v>31</v>
      </c>
      <c r="Y2447" t="s">
        <v>31</v>
      </c>
    </row>
    <row r="2448" spans="1:25">
      <c r="A2448" t="s">
        <v>25</v>
      </c>
      <c r="B2448" t="s">
        <v>26</v>
      </c>
      <c r="C2448" t="s">
        <v>221</v>
      </c>
      <c r="D2448" s="1">
        <v>45870</v>
      </c>
      <c r="E2448" s="2">
        <v>0.8125</v>
      </c>
      <c r="F2448" t="s">
        <v>50</v>
      </c>
      <c r="G2448" t="s">
        <v>28</v>
      </c>
      <c r="H2448">
        <v>0</v>
      </c>
      <c r="I2448">
        <v>2</v>
      </c>
      <c r="J2448" t="s">
        <v>30</v>
      </c>
      <c r="K2448">
        <v>236</v>
      </c>
      <c r="L2448">
        <v>361</v>
      </c>
      <c r="M2448">
        <v>3</v>
      </c>
      <c r="N2448">
        <v>25</v>
      </c>
      <c r="O2448">
        <v>361</v>
      </c>
      <c r="P2448">
        <v>3</v>
      </c>
      <c r="Q2448">
        <v>237</v>
      </c>
      <c r="R2448">
        <v>344</v>
      </c>
      <c r="S2448">
        <v>271</v>
      </c>
      <c r="T2448" t="s">
        <v>105</v>
      </c>
      <c r="U2448" t="s">
        <v>77</v>
      </c>
      <c r="V2448" t="s">
        <v>210</v>
      </c>
      <c r="W2448" t="s">
        <v>31</v>
      </c>
      <c r="X2448" t="s">
        <v>31</v>
      </c>
      <c r="Y2448" t="s">
        <v>31</v>
      </c>
    </row>
    <row r="2449" spans="1:25">
      <c r="A2449" t="s">
        <v>25</v>
      </c>
      <c r="B2449" t="s">
        <v>26</v>
      </c>
      <c r="C2449" t="s">
        <v>221</v>
      </c>
      <c r="D2449" s="1">
        <v>45871</v>
      </c>
      <c r="E2449" s="2">
        <v>0.66666666666666663</v>
      </c>
      <c r="F2449" t="s">
        <v>54</v>
      </c>
      <c r="G2449" t="s">
        <v>52</v>
      </c>
      <c r="H2449">
        <v>4</v>
      </c>
      <c r="I2449">
        <v>2</v>
      </c>
      <c r="J2449" t="s">
        <v>34</v>
      </c>
      <c r="K2449">
        <v>271</v>
      </c>
      <c r="L2449">
        <v>33</v>
      </c>
      <c r="M2449">
        <v>278</v>
      </c>
      <c r="N2449">
        <v>271</v>
      </c>
      <c r="O2449">
        <v>35</v>
      </c>
      <c r="P2449">
        <v>325</v>
      </c>
      <c r="Q2449">
        <v>224</v>
      </c>
      <c r="R2449">
        <v>326</v>
      </c>
      <c r="S2449">
        <v>307</v>
      </c>
      <c r="T2449" t="s">
        <v>124</v>
      </c>
      <c r="U2449" t="s">
        <v>144</v>
      </c>
      <c r="V2449" t="s">
        <v>114</v>
      </c>
      <c r="W2449" t="s">
        <v>31</v>
      </c>
      <c r="X2449" t="s">
        <v>31</v>
      </c>
      <c r="Y2449" t="s">
        <v>31</v>
      </c>
    </row>
    <row r="2450" spans="1:25">
      <c r="A2450" t="s">
        <v>25</v>
      </c>
      <c r="B2450" t="s">
        <v>26</v>
      </c>
      <c r="C2450" t="s">
        <v>221</v>
      </c>
      <c r="D2450" s="1">
        <v>45871</v>
      </c>
      <c r="E2450" s="2">
        <v>0.66666666666666663</v>
      </c>
      <c r="F2450" t="s">
        <v>39</v>
      </c>
      <c r="G2450" t="s">
        <v>45</v>
      </c>
      <c r="H2450">
        <v>0</v>
      </c>
      <c r="I2450">
        <v>2</v>
      </c>
      <c r="J2450" t="s">
        <v>30</v>
      </c>
      <c r="K2450">
        <v>191</v>
      </c>
      <c r="L2450">
        <v>377</v>
      </c>
      <c r="M2450">
        <v>407</v>
      </c>
      <c r="N2450">
        <v>215</v>
      </c>
      <c r="O2450">
        <v>377</v>
      </c>
      <c r="P2450">
        <v>407</v>
      </c>
      <c r="Q2450">
        <v>206</v>
      </c>
      <c r="R2450">
        <v>334</v>
      </c>
      <c r="S2450">
        <v>337</v>
      </c>
      <c r="T2450" t="s">
        <v>222</v>
      </c>
      <c r="U2450" t="s">
        <v>70</v>
      </c>
      <c r="V2450" t="s">
        <v>68</v>
      </c>
      <c r="W2450" t="s">
        <v>31</v>
      </c>
      <c r="X2450" t="s">
        <v>31</v>
      </c>
      <c r="Y2450" t="s">
        <v>31</v>
      </c>
    </row>
    <row r="2451" spans="1:25">
      <c r="A2451" t="s">
        <v>25</v>
      </c>
      <c r="B2451" t="s">
        <v>26</v>
      </c>
      <c r="C2451" t="s">
        <v>221</v>
      </c>
      <c r="D2451" s="1">
        <v>45871</v>
      </c>
      <c r="E2451" s="2">
        <v>0.77083333333333337</v>
      </c>
      <c r="F2451" t="s">
        <v>38</v>
      </c>
      <c r="G2451" t="s">
        <v>29</v>
      </c>
      <c r="H2451">
        <v>2</v>
      </c>
      <c r="I2451">
        <v>2</v>
      </c>
      <c r="J2451" t="s">
        <v>41</v>
      </c>
      <c r="K2451">
        <v>51</v>
      </c>
      <c r="L2451">
        <v>418</v>
      </c>
      <c r="M2451">
        <v>166</v>
      </c>
      <c r="N2451">
        <v>525</v>
      </c>
      <c r="O2451">
        <v>418</v>
      </c>
      <c r="P2451">
        <v>17</v>
      </c>
      <c r="Q2451">
        <v>495</v>
      </c>
      <c r="R2451">
        <v>372</v>
      </c>
      <c r="S2451">
        <v>164</v>
      </c>
      <c r="T2451" t="s">
        <v>65</v>
      </c>
      <c r="U2451" t="s">
        <v>69</v>
      </c>
      <c r="V2451" t="s">
        <v>155</v>
      </c>
      <c r="W2451" t="s">
        <v>31</v>
      </c>
      <c r="X2451" t="s">
        <v>31</v>
      </c>
      <c r="Y2451" t="s">
        <v>31</v>
      </c>
    </row>
    <row r="2452" spans="1:25">
      <c r="A2452" t="s">
        <v>25</v>
      </c>
      <c r="B2452" t="s">
        <v>26</v>
      </c>
      <c r="C2452" t="s">
        <v>221</v>
      </c>
      <c r="D2452" s="1">
        <v>45872</v>
      </c>
      <c r="E2452" s="2">
        <v>0.66666666666666663</v>
      </c>
      <c r="F2452" t="s">
        <v>63</v>
      </c>
      <c r="G2452" t="s">
        <v>40</v>
      </c>
      <c r="H2452">
        <v>2</v>
      </c>
      <c r="I2452">
        <v>2</v>
      </c>
      <c r="J2452" t="s">
        <v>41</v>
      </c>
      <c r="K2452">
        <v>376</v>
      </c>
      <c r="L2452">
        <v>373</v>
      </c>
      <c r="M2452">
        <v>2</v>
      </c>
      <c r="N2452">
        <v>45</v>
      </c>
      <c r="O2452">
        <v>39</v>
      </c>
      <c r="P2452">
        <v>2</v>
      </c>
      <c r="Q2452">
        <v>397</v>
      </c>
      <c r="R2452">
        <v>362</v>
      </c>
      <c r="S2452">
        <v>18</v>
      </c>
      <c r="T2452" t="s">
        <v>83</v>
      </c>
      <c r="U2452" t="s">
        <v>74</v>
      </c>
      <c r="V2452" t="s">
        <v>223</v>
      </c>
      <c r="W2452" t="s">
        <v>31</v>
      </c>
      <c r="X2452" t="s">
        <v>31</v>
      </c>
      <c r="Y2452" t="s">
        <v>31</v>
      </c>
    </row>
    <row r="2453" spans="1:25">
      <c r="A2453" t="s">
        <v>25</v>
      </c>
      <c r="B2453" t="s">
        <v>26</v>
      </c>
      <c r="C2453" t="s">
        <v>221</v>
      </c>
      <c r="D2453" s="1">
        <v>45872</v>
      </c>
      <c r="E2453" s="2">
        <v>0.66666666666666663</v>
      </c>
      <c r="F2453" t="s">
        <v>35</v>
      </c>
      <c r="G2453" t="s">
        <v>61</v>
      </c>
      <c r="H2453">
        <v>1</v>
      </c>
      <c r="I2453">
        <v>0</v>
      </c>
      <c r="J2453" t="s">
        <v>34</v>
      </c>
      <c r="K2453">
        <v>193</v>
      </c>
      <c r="L2453">
        <v>354</v>
      </c>
      <c r="M2453">
        <v>381</v>
      </c>
      <c r="N2453">
        <v>193</v>
      </c>
      <c r="O2453">
        <v>39</v>
      </c>
      <c r="P2453">
        <v>433</v>
      </c>
      <c r="Q2453">
        <v>181</v>
      </c>
      <c r="R2453">
        <v>36</v>
      </c>
      <c r="S2453">
        <v>401</v>
      </c>
      <c r="T2453" t="s">
        <v>198</v>
      </c>
      <c r="U2453" t="s">
        <v>116</v>
      </c>
      <c r="V2453" t="s">
        <v>95</v>
      </c>
      <c r="W2453" t="s">
        <v>31</v>
      </c>
      <c r="X2453" t="s">
        <v>31</v>
      </c>
      <c r="Y2453" t="s">
        <v>31</v>
      </c>
    </row>
    <row r="2454" spans="1:25">
      <c r="A2454" t="s">
        <v>25</v>
      </c>
      <c r="B2454" t="s">
        <v>26</v>
      </c>
      <c r="C2454" t="s">
        <v>221</v>
      </c>
      <c r="D2454" s="1">
        <v>45878</v>
      </c>
      <c r="E2454" s="2">
        <v>0.66666666666666663</v>
      </c>
      <c r="F2454" t="s">
        <v>45</v>
      </c>
      <c r="G2454" t="s">
        <v>38</v>
      </c>
      <c r="H2454">
        <v>1</v>
      </c>
      <c r="I2454">
        <v>0</v>
      </c>
      <c r="J2454" t="s">
        <v>34</v>
      </c>
      <c r="K2454">
        <v>226</v>
      </c>
      <c r="L2454">
        <v>286</v>
      </c>
      <c r="M2454">
        <v>412</v>
      </c>
      <c r="N2454">
        <v>238</v>
      </c>
      <c r="O2454">
        <v>3</v>
      </c>
      <c r="P2454">
        <v>4</v>
      </c>
      <c r="Q2454">
        <v>216</v>
      </c>
      <c r="R2454">
        <v>284</v>
      </c>
      <c r="S2454">
        <v>374</v>
      </c>
      <c r="T2454" t="s">
        <v>142</v>
      </c>
      <c r="U2454" t="s">
        <v>163</v>
      </c>
      <c r="V2454" t="s">
        <v>129</v>
      </c>
      <c r="W2454" t="s">
        <v>31</v>
      </c>
      <c r="X2454" t="s">
        <v>31</v>
      </c>
      <c r="Y2454" t="s">
        <v>31</v>
      </c>
    </row>
    <row r="2455" spans="1:25">
      <c r="A2455" t="s">
        <v>25</v>
      </c>
      <c r="B2455" t="s">
        <v>26</v>
      </c>
      <c r="C2455" t="s">
        <v>221</v>
      </c>
      <c r="D2455" s="1">
        <v>45878</v>
      </c>
      <c r="E2455" s="2">
        <v>0.66666666666666663</v>
      </c>
      <c r="F2455" t="s">
        <v>61</v>
      </c>
      <c r="G2455" t="s">
        <v>52</v>
      </c>
      <c r="H2455">
        <v>0</v>
      </c>
      <c r="I2455">
        <v>1</v>
      </c>
      <c r="J2455" t="s">
        <v>30</v>
      </c>
      <c r="K2455">
        <v>205</v>
      </c>
      <c r="L2455">
        <v>348</v>
      </c>
      <c r="M2455">
        <v>387</v>
      </c>
      <c r="N2455">
        <v>184</v>
      </c>
      <c r="O2455">
        <v>4</v>
      </c>
      <c r="P2455">
        <v>55</v>
      </c>
      <c r="Q2455">
        <v>17</v>
      </c>
      <c r="R2455">
        <v>364</v>
      </c>
      <c r="S2455">
        <v>463</v>
      </c>
      <c r="T2455" t="s">
        <v>132</v>
      </c>
      <c r="U2455" t="s">
        <v>125</v>
      </c>
      <c r="V2455" t="s">
        <v>107</v>
      </c>
      <c r="W2455" t="s">
        <v>31</v>
      </c>
      <c r="X2455" t="s">
        <v>31</v>
      </c>
      <c r="Y2455" t="s">
        <v>31</v>
      </c>
    </row>
    <row r="2456" spans="1:25">
      <c r="A2456" t="s">
        <v>25</v>
      </c>
      <c r="B2456" t="s">
        <v>26</v>
      </c>
      <c r="C2456" t="s">
        <v>221</v>
      </c>
      <c r="D2456" s="1">
        <v>45878</v>
      </c>
      <c r="E2456" s="2">
        <v>0.77083333333333337</v>
      </c>
      <c r="F2456" t="s">
        <v>29</v>
      </c>
      <c r="G2456" t="s">
        <v>63</v>
      </c>
      <c r="H2456">
        <v>5</v>
      </c>
      <c r="I2456">
        <v>0</v>
      </c>
      <c r="J2456" t="s">
        <v>34</v>
      </c>
      <c r="K2456">
        <v>135</v>
      </c>
      <c r="L2456">
        <v>52</v>
      </c>
      <c r="M2456">
        <v>964</v>
      </c>
      <c r="N2456">
        <v>144</v>
      </c>
      <c r="O2456">
        <v>5</v>
      </c>
      <c r="P2456">
        <v>8</v>
      </c>
      <c r="Q2456">
        <v>14</v>
      </c>
      <c r="R2456">
        <v>467</v>
      </c>
      <c r="S2456">
        <v>667</v>
      </c>
      <c r="T2456" t="s">
        <v>168</v>
      </c>
      <c r="U2456" t="s">
        <v>150</v>
      </c>
      <c r="V2456" t="s">
        <v>151</v>
      </c>
      <c r="W2456" t="s">
        <v>31</v>
      </c>
      <c r="X2456" t="s">
        <v>31</v>
      </c>
      <c r="Y2456" t="s">
        <v>31</v>
      </c>
    </row>
    <row r="2457" spans="1:25">
      <c r="A2457" t="s">
        <v>25</v>
      </c>
      <c r="B2457" t="s">
        <v>26</v>
      </c>
      <c r="C2457" t="s">
        <v>221</v>
      </c>
      <c r="D2457" s="1">
        <v>45879</v>
      </c>
      <c r="E2457" s="2">
        <v>0.66666666666666663</v>
      </c>
      <c r="F2457" t="s">
        <v>40</v>
      </c>
      <c r="G2457" t="s">
        <v>39</v>
      </c>
      <c r="H2457">
        <v>0</v>
      </c>
      <c r="I2457">
        <v>2</v>
      </c>
      <c r="J2457" t="s">
        <v>30</v>
      </c>
      <c r="K2457">
        <v>2</v>
      </c>
      <c r="L2457">
        <v>365</v>
      </c>
      <c r="M2457">
        <v>385</v>
      </c>
      <c r="N2457">
        <v>21</v>
      </c>
      <c r="O2457">
        <v>38</v>
      </c>
      <c r="P2457">
        <v>35</v>
      </c>
      <c r="Q2457">
        <v>199</v>
      </c>
      <c r="R2457">
        <v>353</v>
      </c>
      <c r="S2457">
        <v>336</v>
      </c>
      <c r="T2457" t="s">
        <v>99</v>
      </c>
      <c r="U2457" t="s">
        <v>92</v>
      </c>
      <c r="V2457" t="s">
        <v>114</v>
      </c>
      <c r="W2457" t="s">
        <v>31</v>
      </c>
      <c r="X2457" t="s">
        <v>31</v>
      </c>
      <c r="Y2457" t="s">
        <v>31</v>
      </c>
    </row>
    <row r="2458" spans="1:25">
      <c r="A2458" t="s">
        <v>25</v>
      </c>
      <c r="B2458" t="s">
        <v>26</v>
      </c>
      <c r="C2458" t="s">
        <v>221</v>
      </c>
      <c r="D2458" s="1">
        <v>45879</v>
      </c>
      <c r="E2458" s="2">
        <v>0.66666666666666663</v>
      </c>
      <c r="F2458" t="s">
        <v>28</v>
      </c>
      <c r="G2458" t="s">
        <v>35</v>
      </c>
      <c r="H2458">
        <v>1</v>
      </c>
      <c r="I2458">
        <v>2</v>
      </c>
      <c r="J2458" t="s">
        <v>30</v>
      </c>
      <c r="K2458">
        <v>216</v>
      </c>
      <c r="L2458">
        <v>363</v>
      </c>
      <c r="M2458">
        <v>338</v>
      </c>
      <c r="N2458">
        <v>225</v>
      </c>
      <c r="O2458">
        <v>375</v>
      </c>
      <c r="P2458">
        <v>32</v>
      </c>
      <c r="Q2458">
        <v>213</v>
      </c>
      <c r="R2458">
        <v>349</v>
      </c>
      <c r="S2458">
        <v>309</v>
      </c>
      <c r="T2458" t="s">
        <v>222</v>
      </c>
      <c r="U2458" t="s">
        <v>68</v>
      </c>
      <c r="V2458" t="s">
        <v>70</v>
      </c>
      <c r="W2458" t="s">
        <v>31</v>
      </c>
      <c r="X2458" t="s">
        <v>31</v>
      </c>
      <c r="Y2458" t="s">
        <v>31</v>
      </c>
    </row>
    <row r="2459" spans="1:25">
      <c r="A2459" t="s">
        <v>25</v>
      </c>
      <c r="B2459" t="s">
        <v>26</v>
      </c>
      <c r="C2459" t="s">
        <v>221</v>
      </c>
      <c r="D2459" s="1">
        <v>45879</v>
      </c>
      <c r="E2459" s="2">
        <v>0.66666666666666663</v>
      </c>
      <c r="F2459" t="s">
        <v>54</v>
      </c>
      <c r="G2459" t="s">
        <v>50</v>
      </c>
      <c r="H2459">
        <v>3</v>
      </c>
      <c r="I2459">
        <v>1</v>
      </c>
      <c r="J2459" t="s">
        <v>34</v>
      </c>
      <c r="K2459">
        <v>348</v>
      </c>
      <c r="L2459">
        <v>358</v>
      </c>
      <c r="M2459">
        <v>214</v>
      </c>
      <c r="N2459">
        <v>36</v>
      </c>
      <c r="O2459">
        <v>375</v>
      </c>
      <c r="P2459">
        <v>212</v>
      </c>
      <c r="Q2459">
        <v>333</v>
      </c>
      <c r="R2459">
        <v>355</v>
      </c>
      <c r="S2459">
        <v>201</v>
      </c>
      <c r="T2459" t="s">
        <v>68</v>
      </c>
      <c r="U2459" t="s">
        <v>92</v>
      </c>
      <c r="V2459" t="s">
        <v>152</v>
      </c>
      <c r="W2459" t="s">
        <v>31</v>
      </c>
      <c r="X2459" t="s">
        <v>31</v>
      </c>
      <c r="Y2459" t="s">
        <v>31</v>
      </c>
    </row>
    <row r="2460" spans="1:25">
      <c r="A2460" t="s">
        <v>25</v>
      </c>
      <c r="B2460" t="s">
        <v>26</v>
      </c>
      <c r="C2460" t="s">
        <v>221</v>
      </c>
      <c r="D2460" s="1">
        <v>45885</v>
      </c>
      <c r="E2460" s="2">
        <v>0.66666666666666663</v>
      </c>
      <c r="F2460" t="s">
        <v>63</v>
      </c>
      <c r="G2460" t="s">
        <v>54</v>
      </c>
      <c r="H2460">
        <v>1</v>
      </c>
      <c r="I2460">
        <v>1</v>
      </c>
      <c r="J2460" t="s">
        <v>41</v>
      </c>
      <c r="K2460">
        <v>225</v>
      </c>
      <c r="L2460">
        <v>379</v>
      </c>
      <c r="M2460">
        <v>307</v>
      </c>
      <c r="N2460">
        <v>27</v>
      </c>
      <c r="O2460">
        <v>36</v>
      </c>
      <c r="P2460">
        <v>27</v>
      </c>
      <c r="Q2460">
        <v>258</v>
      </c>
      <c r="R2460">
        <v>339</v>
      </c>
      <c r="S2460">
        <v>252</v>
      </c>
      <c r="T2460" t="s">
        <v>224</v>
      </c>
      <c r="U2460" t="s">
        <v>125</v>
      </c>
      <c r="V2460" t="s">
        <v>158</v>
      </c>
      <c r="W2460" t="s">
        <v>225</v>
      </c>
      <c r="X2460" t="s">
        <v>70</v>
      </c>
      <c r="Y2460" t="s">
        <v>128</v>
      </c>
    </row>
    <row r="2461" spans="1:25">
      <c r="A2461" t="s">
        <v>25</v>
      </c>
      <c r="B2461" t="s">
        <v>26</v>
      </c>
      <c r="C2461" t="s">
        <v>221</v>
      </c>
      <c r="D2461" s="1">
        <v>45885</v>
      </c>
      <c r="E2461" s="2">
        <v>0.66666666666666663</v>
      </c>
      <c r="F2461" t="s">
        <v>52</v>
      </c>
      <c r="G2461" t="s">
        <v>29</v>
      </c>
      <c r="H2461">
        <v>1</v>
      </c>
      <c r="I2461">
        <v>2</v>
      </c>
      <c r="J2461" t="s">
        <v>30</v>
      </c>
      <c r="K2461">
        <v>675</v>
      </c>
      <c r="L2461">
        <v>464</v>
      </c>
      <c r="M2461">
        <v>148</v>
      </c>
      <c r="N2461">
        <v>75</v>
      </c>
      <c r="O2461">
        <v>48</v>
      </c>
      <c r="P2461">
        <v>145</v>
      </c>
      <c r="Q2461">
        <v>658</v>
      </c>
      <c r="R2461">
        <v>458</v>
      </c>
      <c r="S2461">
        <v>141</v>
      </c>
      <c r="T2461" t="s">
        <v>161</v>
      </c>
      <c r="U2461" t="s">
        <v>169</v>
      </c>
      <c r="V2461" t="s">
        <v>168</v>
      </c>
      <c r="W2461" t="s">
        <v>226</v>
      </c>
      <c r="X2461" t="s">
        <v>227</v>
      </c>
      <c r="Y2461" t="s">
        <v>98</v>
      </c>
    </row>
    <row r="2462" spans="1:25">
      <c r="A2462" t="s">
        <v>25</v>
      </c>
      <c r="B2462" t="s">
        <v>26</v>
      </c>
      <c r="C2462" t="s">
        <v>221</v>
      </c>
      <c r="D2462" s="1">
        <v>45885</v>
      </c>
      <c r="E2462" s="2">
        <v>0.77083333333333337</v>
      </c>
      <c r="F2462" t="s">
        <v>38</v>
      </c>
      <c r="G2462" t="s">
        <v>28</v>
      </c>
      <c r="H2462">
        <v>1</v>
      </c>
      <c r="I2462">
        <v>3</v>
      </c>
      <c r="J2462" t="s">
        <v>30</v>
      </c>
      <c r="K2462">
        <v>437</v>
      </c>
      <c r="L2462">
        <v>385</v>
      </c>
      <c r="M2462">
        <v>183</v>
      </c>
      <c r="N2462">
        <v>42</v>
      </c>
      <c r="O2462">
        <v>39</v>
      </c>
      <c r="P2462">
        <v>185</v>
      </c>
      <c r="Q2462">
        <v>397</v>
      </c>
      <c r="R2462">
        <v>376</v>
      </c>
      <c r="S2462">
        <v>178</v>
      </c>
      <c r="T2462" t="s">
        <v>69</v>
      </c>
      <c r="U2462" t="s">
        <v>129</v>
      </c>
      <c r="V2462" t="s">
        <v>228</v>
      </c>
      <c r="W2462" t="s">
        <v>75</v>
      </c>
      <c r="X2462" t="s">
        <v>116</v>
      </c>
      <c r="Y2462" t="s">
        <v>130</v>
      </c>
    </row>
    <row r="2463" spans="1:25">
      <c r="A2463" t="s">
        <v>25</v>
      </c>
      <c r="B2463" t="s">
        <v>26</v>
      </c>
      <c r="C2463" t="s">
        <v>221</v>
      </c>
      <c r="D2463" s="1">
        <v>45886</v>
      </c>
      <c r="E2463" s="2">
        <v>0.66666666666666663</v>
      </c>
      <c r="F2463" t="s">
        <v>50</v>
      </c>
      <c r="G2463" t="s">
        <v>40</v>
      </c>
      <c r="H2463">
        <v>2</v>
      </c>
      <c r="I2463">
        <v>1</v>
      </c>
      <c r="J2463" t="s">
        <v>34</v>
      </c>
      <c r="K2463">
        <v>262</v>
      </c>
      <c r="L2463">
        <v>378</v>
      </c>
      <c r="M2463">
        <v>259</v>
      </c>
      <c r="N2463">
        <v>255</v>
      </c>
      <c r="O2463">
        <v>37</v>
      </c>
      <c r="P2463">
        <v>26</v>
      </c>
      <c r="Q2463">
        <v>25</v>
      </c>
      <c r="R2463">
        <v>352</v>
      </c>
      <c r="S2463">
        <v>252</v>
      </c>
      <c r="T2463" t="s">
        <v>118</v>
      </c>
      <c r="U2463" t="s">
        <v>125</v>
      </c>
      <c r="V2463" t="s">
        <v>158</v>
      </c>
      <c r="W2463" t="s">
        <v>128</v>
      </c>
      <c r="X2463" t="s">
        <v>114</v>
      </c>
      <c r="Y2463" t="s">
        <v>229</v>
      </c>
    </row>
    <row r="2464" spans="1:25">
      <c r="A2464" t="s">
        <v>25</v>
      </c>
      <c r="B2464" t="s">
        <v>26</v>
      </c>
      <c r="C2464" t="s">
        <v>221</v>
      </c>
      <c r="D2464" s="1">
        <v>45886</v>
      </c>
      <c r="E2464" s="2">
        <v>0.66666666666666663</v>
      </c>
      <c r="F2464" t="s">
        <v>35</v>
      </c>
      <c r="G2464" t="s">
        <v>45</v>
      </c>
      <c r="H2464">
        <v>0</v>
      </c>
      <c r="I2464">
        <v>0</v>
      </c>
      <c r="J2464" t="s">
        <v>41</v>
      </c>
      <c r="K2464">
        <v>198</v>
      </c>
      <c r="L2464">
        <v>367</v>
      </c>
      <c r="M2464">
        <v>387</v>
      </c>
      <c r="N2464">
        <v>19</v>
      </c>
      <c r="O2464">
        <v>375</v>
      </c>
      <c r="P2464">
        <v>45</v>
      </c>
      <c r="Q2464">
        <v>18</v>
      </c>
      <c r="R2464">
        <v>357</v>
      </c>
      <c r="S2464">
        <v>408</v>
      </c>
      <c r="T2464" t="s">
        <v>228</v>
      </c>
      <c r="U2464" t="s">
        <v>116</v>
      </c>
      <c r="V2464" t="s">
        <v>154</v>
      </c>
      <c r="W2464" t="s">
        <v>130</v>
      </c>
      <c r="X2464" t="s">
        <v>114</v>
      </c>
      <c r="Y2464" t="s">
        <v>230</v>
      </c>
    </row>
    <row r="2465" spans="1:25">
      <c r="A2465" t="s">
        <v>25</v>
      </c>
      <c r="B2465" t="s">
        <v>26</v>
      </c>
      <c r="C2465" t="s">
        <v>221</v>
      </c>
      <c r="D2465" s="1">
        <v>45886</v>
      </c>
      <c r="E2465" s="2">
        <v>0.66666666666666663</v>
      </c>
      <c r="F2465" t="s">
        <v>39</v>
      </c>
      <c r="G2465" t="s">
        <v>61</v>
      </c>
      <c r="H2465">
        <v>3</v>
      </c>
      <c r="I2465">
        <v>0</v>
      </c>
      <c r="J2465" t="s">
        <v>34</v>
      </c>
      <c r="K2465">
        <v>196</v>
      </c>
      <c r="L2465">
        <v>365</v>
      </c>
      <c r="M2465">
        <v>399</v>
      </c>
      <c r="N2465">
        <v>199</v>
      </c>
      <c r="O2465">
        <v>365</v>
      </c>
      <c r="P2465">
        <v>4</v>
      </c>
      <c r="Q2465">
        <v>192</v>
      </c>
      <c r="R2465">
        <v>345</v>
      </c>
      <c r="S2465">
        <v>371</v>
      </c>
      <c r="T2465" t="s">
        <v>135</v>
      </c>
      <c r="U2465" t="s">
        <v>114</v>
      </c>
      <c r="V2465" t="s">
        <v>83</v>
      </c>
      <c r="W2465" t="s">
        <v>73</v>
      </c>
      <c r="X2465" t="s">
        <v>68</v>
      </c>
      <c r="Y2465" t="s">
        <v>116</v>
      </c>
    </row>
    <row r="2466" spans="1:25">
      <c r="A2466" t="s">
        <v>25</v>
      </c>
      <c r="B2466" t="s">
        <v>26</v>
      </c>
      <c r="C2466" t="s">
        <v>221</v>
      </c>
      <c r="D2466" s="1">
        <v>45892</v>
      </c>
      <c r="E2466" s="2">
        <v>0.66666666666666663</v>
      </c>
      <c r="F2466" t="s">
        <v>61</v>
      </c>
      <c r="G2466" t="s">
        <v>38</v>
      </c>
      <c r="H2466">
        <v>0</v>
      </c>
      <c r="I2466">
        <v>2</v>
      </c>
      <c r="J2466" t="s">
        <v>30</v>
      </c>
      <c r="K2466">
        <v>228</v>
      </c>
      <c r="L2466">
        <v>329</v>
      </c>
      <c r="M2466">
        <v>344</v>
      </c>
      <c r="N2466">
        <v>263</v>
      </c>
      <c r="O2466">
        <v>34</v>
      </c>
      <c r="P2466">
        <v>32</v>
      </c>
      <c r="Q2466">
        <v>246</v>
      </c>
      <c r="R2466">
        <v>316</v>
      </c>
      <c r="S2466">
        <v>281</v>
      </c>
      <c r="T2466" t="s">
        <v>190</v>
      </c>
      <c r="U2466" t="s">
        <v>143</v>
      </c>
      <c r="V2466" t="s">
        <v>79</v>
      </c>
      <c r="W2466" t="s">
        <v>225</v>
      </c>
      <c r="X2466" t="s">
        <v>86</v>
      </c>
      <c r="Y2466" t="s">
        <v>231</v>
      </c>
    </row>
    <row r="2467" spans="1:25">
      <c r="A2467" t="s">
        <v>25</v>
      </c>
      <c r="B2467" t="s">
        <v>26</v>
      </c>
      <c r="C2467" t="s">
        <v>221</v>
      </c>
      <c r="D2467" s="1">
        <v>45892</v>
      </c>
      <c r="E2467" s="2">
        <v>0.66666666666666663</v>
      </c>
      <c r="F2467" t="s">
        <v>29</v>
      </c>
      <c r="G2467" t="s">
        <v>50</v>
      </c>
      <c r="H2467">
        <v>3</v>
      </c>
      <c r="I2467">
        <v>0</v>
      </c>
      <c r="J2467" t="s">
        <v>34</v>
      </c>
      <c r="K2467">
        <v>162</v>
      </c>
      <c r="L2467">
        <v>442</v>
      </c>
      <c r="M2467">
        <v>515</v>
      </c>
      <c r="N2467">
        <v>161</v>
      </c>
      <c r="O2467">
        <v>44</v>
      </c>
      <c r="P2467">
        <v>525</v>
      </c>
      <c r="Q2467">
        <v>157</v>
      </c>
      <c r="R2467">
        <v>419</v>
      </c>
      <c r="S2467">
        <v>488</v>
      </c>
      <c r="T2467" t="s">
        <v>177</v>
      </c>
      <c r="U2467" t="s">
        <v>156</v>
      </c>
      <c r="V2467" t="s">
        <v>84</v>
      </c>
      <c r="W2467" t="s">
        <v>195</v>
      </c>
      <c r="X2467" t="s">
        <v>129</v>
      </c>
      <c r="Y2467" t="s">
        <v>232</v>
      </c>
    </row>
    <row r="2468" spans="1:25">
      <c r="A2468" t="s">
        <v>25</v>
      </c>
      <c r="B2468" t="s">
        <v>26</v>
      </c>
      <c r="C2468" t="s">
        <v>221</v>
      </c>
      <c r="D2468" s="1">
        <v>45893</v>
      </c>
      <c r="E2468" s="2">
        <v>0.66666666666666663</v>
      </c>
      <c r="F2468" t="s">
        <v>45</v>
      </c>
      <c r="G2468" t="s">
        <v>63</v>
      </c>
      <c r="H2468">
        <v>1</v>
      </c>
      <c r="I2468">
        <v>1</v>
      </c>
      <c r="J2468" t="s">
        <v>41</v>
      </c>
      <c r="K2468">
        <v>2</v>
      </c>
      <c r="L2468">
        <v>344</v>
      </c>
      <c r="M2468">
        <v>41</v>
      </c>
      <c r="N2468">
        <v>198</v>
      </c>
      <c r="O2468">
        <v>35</v>
      </c>
      <c r="P2468">
        <v>46</v>
      </c>
      <c r="Q2468">
        <v>185</v>
      </c>
      <c r="R2468">
        <v>337</v>
      </c>
      <c r="S2468">
        <v>413</v>
      </c>
      <c r="T2468" t="s">
        <v>73</v>
      </c>
      <c r="U2468" t="s">
        <v>70</v>
      </c>
      <c r="V2468" t="s">
        <v>150</v>
      </c>
      <c r="W2468" t="s">
        <v>145</v>
      </c>
      <c r="X2468" t="s">
        <v>70</v>
      </c>
      <c r="Y2468" t="s">
        <v>230</v>
      </c>
    </row>
    <row r="2469" spans="1:25">
      <c r="A2469" t="s">
        <v>25</v>
      </c>
      <c r="B2469" t="s">
        <v>26</v>
      </c>
      <c r="C2469" t="s">
        <v>221</v>
      </c>
      <c r="D2469" s="1">
        <v>45893</v>
      </c>
      <c r="E2469" s="2">
        <v>0.66666666666666663</v>
      </c>
      <c r="F2469" t="s">
        <v>40</v>
      </c>
      <c r="G2469" t="s">
        <v>52</v>
      </c>
      <c r="H2469">
        <v>1</v>
      </c>
      <c r="I2469">
        <v>3</v>
      </c>
      <c r="J2469" t="s">
        <v>30</v>
      </c>
      <c r="K2469">
        <v>169</v>
      </c>
      <c r="L2469">
        <v>417</v>
      </c>
      <c r="M2469">
        <v>483</v>
      </c>
      <c r="N2469">
        <v>166</v>
      </c>
      <c r="O2469">
        <v>41</v>
      </c>
      <c r="P2469">
        <v>525</v>
      </c>
      <c r="Q2469">
        <v>163</v>
      </c>
      <c r="R2469">
        <v>388</v>
      </c>
      <c r="S2469">
        <v>483</v>
      </c>
      <c r="T2469" t="s">
        <v>197</v>
      </c>
      <c r="U2469" t="s">
        <v>83</v>
      </c>
      <c r="V2469" t="s">
        <v>84</v>
      </c>
      <c r="W2469" t="s">
        <v>177</v>
      </c>
      <c r="X2469" t="s">
        <v>129</v>
      </c>
      <c r="Y2469" t="s">
        <v>150</v>
      </c>
    </row>
    <row r="2470" spans="1:25">
      <c r="A2470" t="s">
        <v>25</v>
      </c>
      <c r="B2470" t="s">
        <v>26</v>
      </c>
      <c r="C2470" t="s">
        <v>221</v>
      </c>
      <c r="D2470" s="1">
        <v>45893</v>
      </c>
      <c r="E2470" s="2">
        <v>0.66666666666666663</v>
      </c>
      <c r="F2470" t="s">
        <v>39</v>
      </c>
      <c r="G2470" t="s">
        <v>35</v>
      </c>
      <c r="H2470">
        <v>1</v>
      </c>
      <c r="I2470">
        <v>2</v>
      </c>
      <c r="J2470" t="s">
        <v>30</v>
      </c>
      <c r="K2470">
        <v>261</v>
      </c>
      <c r="L2470">
        <v>356</v>
      </c>
      <c r="M2470">
        <v>271</v>
      </c>
      <c r="N2470">
        <v>27</v>
      </c>
      <c r="O2470">
        <v>36</v>
      </c>
      <c r="P2470">
        <v>265</v>
      </c>
      <c r="Q2470">
        <v>256</v>
      </c>
      <c r="R2470">
        <v>342</v>
      </c>
      <c r="S2470">
        <v>252</v>
      </c>
      <c r="T2470" t="s">
        <v>191</v>
      </c>
      <c r="U2470" t="s">
        <v>80</v>
      </c>
      <c r="V2470" t="s">
        <v>158</v>
      </c>
      <c r="W2470" t="s">
        <v>225</v>
      </c>
      <c r="X2470" t="s">
        <v>70</v>
      </c>
      <c r="Y2470" t="s">
        <v>128</v>
      </c>
    </row>
    <row r="2471" spans="1:25">
      <c r="A2471" t="s">
        <v>25</v>
      </c>
      <c r="B2471" t="s">
        <v>26</v>
      </c>
      <c r="C2471" t="s">
        <v>221</v>
      </c>
      <c r="D2471" s="1">
        <v>45899</v>
      </c>
      <c r="E2471" s="2">
        <v>0.66666666666666663</v>
      </c>
      <c r="F2471" t="s">
        <v>50</v>
      </c>
      <c r="G2471" t="s">
        <v>38</v>
      </c>
      <c r="H2471">
        <v>1</v>
      </c>
      <c r="I2471">
        <v>3</v>
      </c>
      <c r="J2471" t="s">
        <v>30</v>
      </c>
      <c r="K2471">
        <v>2</v>
      </c>
      <c r="L2471">
        <v>361</v>
      </c>
      <c r="M2471">
        <v>387</v>
      </c>
      <c r="N2471">
        <v>21</v>
      </c>
      <c r="O2471">
        <v>365</v>
      </c>
      <c r="P2471">
        <v>37</v>
      </c>
      <c r="Q2471">
        <v>199</v>
      </c>
      <c r="R2471">
        <v>348</v>
      </c>
      <c r="S2471">
        <v>344</v>
      </c>
      <c r="T2471" t="s">
        <v>166</v>
      </c>
      <c r="U2471" t="s">
        <v>77</v>
      </c>
      <c r="V2471" t="s">
        <v>125</v>
      </c>
      <c r="W2471" t="s">
        <v>99</v>
      </c>
      <c r="X2471" t="s">
        <v>86</v>
      </c>
      <c r="Y2471" t="s">
        <v>114</v>
      </c>
    </row>
    <row r="2472" spans="1:25">
      <c r="A2472" t="s">
        <v>25</v>
      </c>
      <c r="B2472" t="s">
        <v>26</v>
      </c>
      <c r="C2472" t="s">
        <v>221</v>
      </c>
      <c r="D2472" s="1">
        <v>45899</v>
      </c>
      <c r="E2472" s="2">
        <v>0.66666666666666663</v>
      </c>
      <c r="F2472" t="s">
        <v>29</v>
      </c>
      <c r="G2472" t="s">
        <v>61</v>
      </c>
      <c r="H2472">
        <v>2</v>
      </c>
      <c r="I2472">
        <v>2</v>
      </c>
      <c r="J2472" t="s">
        <v>41</v>
      </c>
      <c r="K2472">
        <v>129</v>
      </c>
      <c r="L2472">
        <v>587</v>
      </c>
      <c r="M2472">
        <v>1088</v>
      </c>
      <c r="N2472">
        <v>131</v>
      </c>
      <c r="O2472">
        <v>58</v>
      </c>
      <c r="P2472">
        <v>10</v>
      </c>
      <c r="Q2472">
        <v>128</v>
      </c>
      <c r="R2472">
        <v>544</v>
      </c>
      <c r="S2472">
        <v>889</v>
      </c>
      <c r="T2472" t="s">
        <v>218</v>
      </c>
      <c r="U2472" t="s">
        <v>65</v>
      </c>
      <c r="V2472" t="s">
        <v>233</v>
      </c>
      <c r="W2472" t="s">
        <v>234</v>
      </c>
      <c r="X2472" t="s">
        <v>232</v>
      </c>
      <c r="Y2472" t="s">
        <v>235</v>
      </c>
    </row>
    <row r="2473" spans="1:25">
      <c r="A2473" t="s">
        <v>25</v>
      </c>
      <c r="B2473" t="s">
        <v>26</v>
      </c>
      <c r="C2473" t="s">
        <v>221</v>
      </c>
      <c r="D2473" s="1">
        <v>45899</v>
      </c>
      <c r="E2473" s="2">
        <v>0.77083333333333337</v>
      </c>
      <c r="F2473" t="s">
        <v>63</v>
      </c>
      <c r="G2473" t="s">
        <v>28</v>
      </c>
      <c r="H2473">
        <v>0</v>
      </c>
      <c r="I2473">
        <v>3</v>
      </c>
      <c r="J2473" t="s">
        <v>30</v>
      </c>
      <c r="K2473">
        <v>536</v>
      </c>
      <c r="L2473">
        <v>425</v>
      </c>
      <c r="M2473">
        <v>163</v>
      </c>
      <c r="N2473">
        <v>525</v>
      </c>
      <c r="O2473">
        <v>42</v>
      </c>
      <c r="P2473">
        <v>165</v>
      </c>
      <c r="Q2473">
        <v>482</v>
      </c>
      <c r="R2473">
        <v>404</v>
      </c>
      <c r="S2473">
        <v>16</v>
      </c>
      <c r="T2473" t="s">
        <v>84</v>
      </c>
      <c r="U2473" t="s">
        <v>69</v>
      </c>
      <c r="V2473" t="s">
        <v>213</v>
      </c>
      <c r="W2473" t="s">
        <v>150</v>
      </c>
      <c r="X2473" t="s">
        <v>83</v>
      </c>
      <c r="Y2473" t="s">
        <v>236</v>
      </c>
    </row>
    <row r="2474" spans="1:25">
      <c r="A2474" t="s">
        <v>25</v>
      </c>
      <c r="B2474" t="s">
        <v>26</v>
      </c>
      <c r="C2474" t="s">
        <v>221</v>
      </c>
      <c r="D2474" s="1">
        <v>45900</v>
      </c>
      <c r="E2474" s="2">
        <v>0.66666666666666663</v>
      </c>
      <c r="F2474" t="s">
        <v>40</v>
      </c>
      <c r="G2474" t="s">
        <v>45</v>
      </c>
      <c r="H2474">
        <v>1</v>
      </c>
      <c r="I2474">
        <v>0</v>
      </c>
      <c r="J2474" t="s">
        <v>34</v>
      </c>
      <c r="K2474">
        <v>207</v>
      </c>
      <c r="L2474">
        <v>349</v>
      </c>
      <c r="M2474">
        <v>378</v>
      </c>
      <c r="N2474">
        <v>192</v>
      </c>
      <c r="O2474">
        <v>36</v>
      </c>
      <c r="P2474">
        <v>475</v>
      </c>
      <c r="Q2474">
        <v>184</v>
      </c>
      <c r="R2474">
        <v>346</v>
      </c>
      <c r="S2474">
        <v>402</v>
      </c>
      <c r="T2474" t="s">
        <v>198</v>
      </c>
      <c r="U2474" t="s">
        <v>77</v>
      </c>
      <c r="V2474" t="s">
        <v>115</v>
      </c>
      <c r="W2474" t="s">
        <v>217</v>
      </c>
      <c r="X2474" t="s">
        <v>144</v>
      </c>
      <c r="Y2474" t="s">
        <v>227</v>
      </c>
    </row>
    <row r="2475" spans="1:25">
      <c r="A2475" t="s">
        <v>25</v>
      </c>
      <c r="B2475" t="s">
        <v>26</v>
      </c>
      <c r="C2475" t="s">
        <v>221</v>
      </c>
      <c r="D2475" s="1">
        <v>45900</v>
      </c>
      <c r="E2475" s="2">
        <v>0.66666666666666663</v>
      </c>
      <c r="F2475" t="s">
        <v>52</v>
      </c>
      <c r="G2475" t="s">
        <v>35</v>
      </c>
      <c r="H2475">
        <v>0</v>
      </c>
      <c r="I2475">
        <v>1</v>
      </c>
      <c r="J2475" t="s">
        <v>30</v>
      </c>
      <c r="K2475">
        <v>483</v>
      </c>
      <c r="L2475">
        <v>405</v>
      </c>
      <c r="M2475">
        <v>171</v>
      </c>
      <c r="N2475">
        <v>42</v>
      </c>
      <c r="O2475">
        <v>39</v>
      </c>
      <c r="P2475">
        <v>187</v>
      </c>
      <c r="Q2475">
        <v>396</v>
      </c>
      <c r="R2475">
        <v>364</v>
      </c>
      <c r="S2475">
        <v>18</v>
      </c>
      <c r="T2475" t="s">
        <v>156</v>
      </c>
      <c r="U2475" t="s">
        <v>92</v>
      </c>
      <c r="V2475" t="s">
        <v>73</v>
      </c>
      <c r="W2475" t="s">
        <v>75</v>
      </c>
      <c r="X2475" t="s">
        <v>68</v>
      </c>
      <c r="Y2475" t="s">
        <v>237</v>
      </c>
    </row>
    <row r="2476" spans="1:25">
      <c r="A2476" t="s">
        <v>25</v>
      </c>
      <c r="B2476" t="s">
        <v>26</v>
      </c>
      <c r="C2476" t="s">
        <v>221</v>
      </c>
      <c r="D2476" s="1">
        <v>45900</v>
      </c>
      <c r="E2476" s="2">
        <v>0.66666666666666663</v>
      </c>
      <c r="F2476" t="s">
        <v>54</v>
      </c>
      <c r="G2476" t="s">
        <v>39</v>
      </c>
      <c r="H2476">
        <v>1</v>
      </c>
      <c r="I2476">
        <v>1</v>
      </c>
      <c r="J2476" t="s">
        <v>41</v>
      </c>
      <c r="K2476">
        <v>301</v>
      </c>
      <c r="L2476">
        <v>361</v>
      </c>
      <c r="M2476">
        <v>236</v>
      </c>
      <c r="N2476">
        <v>31</v>
      </c>
      <c r="O2476">
        <v>365</v>
      </c>
      <c r="P2476">
        <v>235</v>
      </c>
      <c r="Q2476">
        <v>291</v>
      </c>
      <c r="R2476">
        <v>341</v>
      </c>
      <c r="S2476">
        <v>224</v>
      </c>
      <c r="T2476" t="s">
        <v>110</v>
      </c>
      <c r="U2476" t="s">
        <v>77</v>
      </c>
      <c r="V2476" t="s">
        <v>238</v>
      </c>
      <c r="W2476" t="s">
        <v>126</v>
      </c>
      <c r="X2476" t="s">
        <v>144</v>
      </c>
      <c r="Y2476" t="s">
        <v>91</v>
      </c>
    </row>
    <row r="2477" spans="1:25">
      <c r="A2477" t="s">
        <v>25</v>
      </c>
      <c r="B2477" t="s">
        <v>26</v>
      </c>
      <c r="C2477" t="s">
        <v>221</v>
      </c>
      <c r="D2477" s="1">
        <v>45913</v>
      </c>
      <c r="E2477" s="2">
        <v>0.66666666666666663</v>
      </c>
      <c r="F2477" t="s">
        <v>45</v>
      </c>
      <c r="G2477" t="s">
        <v>50</v>
      </c>
      <c r="H2477">
        <v>1</v>
      </c>
      <c r="I2477">
        <v>0</v>
      </c>
      <c r="J2477" t="s">
        <v>34</v>
      </c>
      <c r="K2477">
        <v>278</v>
      </c>
      <c r="L2477">
        <v>332</v>
      </c>
      <c r="M2477">
        <v>269</v>
      </c>
      <c r="N2477">
        <v>238</v>
      </c>
      <c r="O2477">
        <v>34</v>
      </c>
      <c r="P2477">
        <v>33</v>
      </c>
      <c r="Q2477">
        <v>225</v>
      </c>
      <c r="R2477">
        <v>322</v>
      </c>
      <c r="S2477">
        <v>306</v>
      </c>
      <c r="T2477" t="s">
        <v>142</v>
      </c>
      <c r="U2477" t="s">
        <v>93</v>
      </c>
      <c r="V2477" t="s">
        <v>167</v>
      </c>
      <c r="W2477" t="s">
        <v>239</v>
      </c>
      <c r="X2477" t="s">
        <v>86</v>
      </c>
      <c r="Y2477" t="s">
        <v>143</v>
      </c>
    </row>
    <row r="2478" spans="1:25">
      <c r="A2478" t="s">
        <v>25</v>
      </c>
      <c r="B2478" t="s">
        <v>26</v>
      </c>
      <c r="C2478" t="s">
        <v>221</v>
      </c>
      <c r="D2478" s="1">
        <v>45913</v>
      </c>
      <c r="E2478" s="2">
        <v>0.66666666666666663</v>
      </c>
      <c r="F2478" t="s">
        <v>61</v>
      </c>
      <c r="G2478" t="s">
        <v>63</v>
      </c>
      <c r="H2478">
        <v>3</v>
      </c>
      <c r="I2478">
        <v>0</v>
      </c>
      <c r="J2478" t="s">
        <v>34</v>
      </c>
      <c r="K2478">
        <v>236</v>
      </c>
      <c r="L2478">
        <v>321</v>
      </c>
      <c r="M2478">
        <v>336</v>
      </c>
      <c r="N2478">
        <v>23</v>
      </c>
      <c r="O2478">
        <v>34</v>
      </c>
      <c r="P2478">
        <v>325</v>
      </c>
      <c r="Q2478">
        <v>219</v>
      </c>
      <c r="R2478">
        <v>321</v>
      </c>
      <c r="S2478">
        <v>317</v>
      </c>
      <c r="T2478" t="s">
        <v>238</v>
      </c>
      <c r="U2478" t="s">
        <v>143</v>
      </c>
      <c r="V2478" t="s">
        <v>70</v>
      </c>
      <c r="W2478" t="s">
        <v>91</v>
      </c>
      <c r="X2478" t="s">
        <v>86</v>
      </c>
      <c r="Y2478" t="s">
        <v>103</v>
      </c>
    </row>
    <row r="2479" spans="1:25">
      <c r="A2479" t="s">
        <v>25</v>
      </c>
      <c r="B2479" t="s">
        <v>26</v>
      </c>
      <c r="C2479" t="s">
        <v>221</v>
      </c>
      <c r="D2479" s="1">
        <v>45913</v>
      </c>
      <c r="E2479" s="2">
        <v>0.66666666666666663</v>
      </c>
      <c r="F2479" t="s">
        <v>39</v>
      </c>
      <c r="G2479" t="s">
        <v>29</v>
      </c>
      <c r="H2479">
        <v>3</v>
      </c>
      <c r="I2479">
        <v>1</v>
      </c>
      <c r="J2479" t="s">
        <v>34</v>
      </c>
      <c r="K2479">
        <v>378</v>
      </c>
      <c r="L2479">
        <v>405</v>
      </c>
      <c r="M2479">
        <v>191</v>
      </c>
      <c r="N2479">
        <v>41</v>
      </c>
      <c r="O2479">
        <v>4</v>
      </c>
      <c r="P2479">
        <v>186</v>
      </c>
      <c r="Q2479">
        <v>385</v>
      </c>
      <c r="R2479">
        <v>371</v>
      </c>
      <c r="S2479">
        <v>18</v>
      </c>
      <c r="T2479" t="s">
        <v>75</v>
      </c>
      <c r="U2479" t="s">
        <v>129</v>
      </c>
      <c r="V2479" t="s">
        <v>198</v>
      </c>
      <c r="W2479" t="s">
        <v>92</v>
      </c>
      <c r="X2479" t="s">
        <v>129</v>
      </c>
      <c r="Y2479" t="s">
        <v>90</v>
      </c>
    </row>
    <row r="2480" spans="1:25">
      <c r="A2480" t="s">
        <v>25</v>
      </c>
      <c r="B2480" t="s">
        <v>26</v>
      </c>
      <c r="C2480" t="s">
        <v>221</v>
      </c>
      <c r="D2480" s="1">
        <v>45914</v>
      </c>
      <c r="E2480" s="2">
        <v>0.5625</v>
      </c>
      <c r="F2480" t="s">
        <v>38</v>
      </c>
      <c r="G2480" t="s">
        <v>52</v>
      </c>
      <c r="H2480">
        <v>0</v>
      </c>
      <c r="I2480">
        <v>2</v>
      </c>
      <c r="J2480" t="s">
        <v>30</v>
      </c>
      <c r="K2480">
        <v>219</v>
      </c>
      <c r="L2480">
        <v>371</v>
      </c>
      <c r="M2480">
        <v>286</v>
      </c>
      <c r="N2480">
        <v>25</v>
      </c>
      <c r="O2480">
        <v>42</v>
      </c>
      <c r="P2480">
        <v>3</v>
      </c>
      <c r="Q2480">
        <v>222</v>
      </c>
      <c r="R2480">
        <v>361</v>
      </c>
      <c r="S2480">
        <v>278</v>
      </c>
      <c r="T2480" t="s">
        <v>85</v>
      </c>
      <c r="U2480" t="s">
        <v>116</v>
      </c>
      <c r="V2480" t="s">
        <v>79</v>
      </c>
      <c r="W2480" t="s">
        <v>91</v>
      </c>
      <c r="X2480" t="s">
        <v>114</v>
      </c>
      <c r="Y2480" t="s">
        <v>199</v>
      </c>
    </row>
    <row r="2481" spans="1:25">
      <c r="A2481" t="s">
        <v>25</v>
      </c>
      <c r="B2481" t="s">
        <v>26</v>
      </c>
      <c r="C2481" t="s">
        <v>221</v>
      </c>
      <c r="D2481" s="1">
        <v>45914</v>
      </c>
      <c r="E2481" s="2">
        <v>0.5625</v>
      </c>
      <c r="F2481" t="s">
        <v>35</v>
      </c>
      <c r="G2481" t="s">
        <v>54</v>
      </c>
      <c r="H2481">
        <v>4</v>
      </c>
      <c r="I2481">
        <v>1</v>
      </c>
      <c r="J2481" t="s">
        <v>34</v>
      </c>
      <c r="K2481">
        <v>154</v>
      </c>
      <c r="L2481">
        <v>465</v>
      </c>
      <c r="M2481">
        <v>58</v>
      </c>
      <c r="N2481">
        <v>153</v>
      </c>
      <c r="O2481">
        <v>44</v>
      </c>
      <c r="P2481">
        <v>575</v>
      </c>
      <c r="Q2481">
        <v>15</v>
      </c>
      <c r="R2481">
        <v>423</v>
      </c>
      <c r="S2481">
        <v>533</v>
      </c>
      <c r="T2481" t="s">
        <v>111</v>
      </c>
      <c r="U2481" t="s">
        <v>95</v>
      </c>
      <c r="V2481" t="s">
        <v>176</v>
      </c>
      <c r="W2481" t="s">
        <v>149</v>
      </c>
      <c r="X2481" t="s">
        <v>75</v>
      </c>
      <c r="Y2481" t="s">
        <v>227</v>
      </c>
    </row>
    <row r="2482" spans="1:25">
      <c r="A2482" t="s">
        <v>25</v>
      </c>
      <c r="B2482" t="s">
        <v>26</v>
      </c>
      <c r="C2482" t="s">
        <v>221</v>
      </c>
      <c r="D2482" s="1">
        <v>45914</v>
      </c>
      <c r="E2482" s="2">
        <v>0.66666666666666663</v>
      </c>
      <c r="F2482" t="s">
        <v>28</v>
      </c>
      <c r="G2482" t="s">
        <v>40</v>
      </c>
      <c r="H2482">
        <v>0</v>
      </c>
      <c r="I2482">
        <v>1</v>
      </c>
      <c r="J2482" t="s">
        <v>30</v>
      </c>
      <c r="K2482">
        <v>249</v>
      </c>
      <c r="L2482">
        <v>336</v>
      </c>
      <c r="M2482">
        <v>3</v>
      </c>
      <c r="N2482">
        <v>233</v>
      </c>
      <c r="O2482">
        <v>345</v>
      </c>
      <c r="P2482">
        <v>325</v>
      </c>
      <c r="Q2482">
        <v>224</v>
      </c>
      <c r="R2482">
        <v>331</v>
      </c>
      <c r="S2482">
        <v>299</v>
      </c>
      <c r="T2482" t="s">
        <v>122</v>
      </c>
      <c r="U2482" t="s">
        <v>167</v>
      </c>
      <c r="V2482" t="s">
        <v>144</v>
      </c>
      <c r="W2482" t="s">
        <v>239</v>
      </c>
      <c r="X2482" t="s">
        <v>143</v>
      </c>
      <c r="Y2482" t="s">
        <v>86</v>
      </c>
    </row>
    <row r="2483" spans="1:25">
      <c r="A2483" t="s">
        <v>25</v>
      </c>
      <c r="B2483" t="s">
        <v>26</v>
      </c>
      <c r="C2483" t="s">
        <v>221</v>
      </c>
      <c r="D2483" s="1">
        <v>45920</v>
      </c>
      <c r="E2483" s="2">
        <v>0.66666666666666663</v>
      </c>
      <c r="F2483" t="s">
        <v>40</v>
      </c>
      <c r="G2483" t="s">
        <v>38</v>
      </c>
      <c r="H2483">
        <v>3</v>
      </c>
      <c r="I2483">
        <v>2</v>
      </c>
      <c r="J2483" t="s">
        <v>34</v>
      </c>
      <c r="K2483">
        <v>212</v>
      </c>
      <c r="L2483">
        <v>354</v>
      </c>
      <c r="M2483">
        <v>358</v>
      </c>
      <c r="N2483">
        <v>225</v>
      </c>
      <c r="O2483">
        <v>34</v>
      </c>
      <c r="P2483">
        <v>325</v>
      </c>
      <c r="Q2483">
        <v>217</v>
      </c>
      <c r="R2483">
        <v>329</v>
      </c>
      <c r="S2483">
        <v>314</v>
      </c>
      <c r="T2483" t="s">
        <v>186</v>
      </c>
      <c r="U2483" t="s">
        <v>144</v>
      </c>
      <c r="V2483" t="s">
        <v>77</v>
      </c>
      <c r="W2483" t="s">
        <v>91</v>
      </c>
      <c r="X2483" t="s">
        <v>143</v>
      </c>
      <c r="Y2483" t="s">
        <v>126</v>
      </c>
    </row>
    <row r="2484" spans="1:25">
      <c r="A2484" t="s">
        <v>25</v>
      </c>
      <c r="B2484" t="s">
        <v>26</v>
      </c>
      <c r="C2484" t="s">
        <v>221</v>
      </c>
      <c r="D2484" s="1">
        <v>45920</v>
      </c>
      <c r="E2484" s="2">
        <v>0.66666666666666663</v>
      </c>
      <c r="F2484" t="s">
        <v>52</v>
      </c>
      <c r="G2484" t="s">
        <v>39</v>
      </c>
      <c r="H2484">
        <v>2</v>
      </c>
      <c r="I2484">
        <v>2</v>
      </c>
      <c r="J2484" t="s">
        <v>41</v>
      </c>
      <c r="K2484">
        <v>395</v>
      </c>
      <c r="L2484">
        <v>375</v>
      </c>
      <c r="M2484">
        <v>194</v>
      </c>
      <c r="N2484">
        <v>5</v>
      </c>
      <c r="O2484">
        <v>37</v>
      </c>
      <c r="P2484">
        <v>185</v>
      </c>
      <c r="Q2484">
        <v>439</v>
      </c>
      <c r="R2484">
        <v>341</v>
      </c>
      <c r="S2484">
        <v>178</v>
      </c>
      <c r="T2484" t="s">
        <v>169</v>
      </c>
      <c r="U2484" t="s">
        <v>114</v>
      </c>
      <c r="V2484" t="s">
        <v>117</v>
      </c>
      <c r="W2484" t="s">
        <v>227</v>
      </c>
      <c r="X2484" t="s">
        <v>114</v>
      </c>
      <c r="Y2484" t="s">
        <v>197</v>
      </c>
    </row>
    <row r="2485" spans="1:25">
      <c r="A2485" t="s">
        <v>25</v>
      </c>
      <c r="B2485" t="s">
        <v>26</v>
      </c>
      <c r="C2485" t="s">
        <v>221</v>
      </c>
      <c r="D2485" s="1">
        <v>45920</v>
      </c>
      <c r="E2485" s="2">
        <v>0.66666666666666663</v>
      </c>
      <c r="F2485" t="s">
        <v>29</v>
      </c>
      <c r="G2485" t="s">
        <v>28</v>
      </c>
      <c r="H2485">
        <v>0</v>
      </c>
      <c r="I2485">
        <v>2</v>
      </c>
      <c r="J2485" t="s">
        <v>30</v>
      </c>
      <c r="K2485">
        <v>193</v>
      </c>
      <c r="L2485">
        <v>397</v>
      </c>
      <c r="M2485">
        <v>376</v>
      </c>
      <c r="N2485">
        <v>193</v>
      </c>
      <c r="O2485">
        <v>39</v>
      </c>
      <c r="P2485">
        <v>37</v>
      </c>
      <c r="Q2485">
        <v>187</v>
      </c>
      <c r="R2485">
        <v>362</v>
      </c>
      <c r="S2485">
        <v>356</v>
      </c>
      <c r="T2485" t="s">
        <v>135</v>
      </c>
      <c r="U2485" t="s">
        <v>129</v>
      </c>
      <c r="V2485" t="s">
        <v>74</v>
      </c>
      <c r="W2485" t="s">
        <v>117</v>
      </c>
      <c r="X2485" t="s">
        <v>116</v>
      </c>
      <c r="Y2485" t="s">
        <v>70</v>
      </c>
    </row>
    <row r="2486" spans="1:25">
      <c r="A2486" t="s">
        <v>25</v>
      </c>
      <c r="B2486" t="s">
        <v>26</v>
      </c>
      <c r="C2486" t="s">
        <v>221</v>
      </c>
      <c r="D2486" s="1">
        <v>45921</v>
      </c>
      <c r="E2486" s="2">
        <v>0.66666666666666663</v>
      </c>
      <c r="F2486" t="s">
        <v>45</v>
      </c>
      <c r="G2486" t="s">
        <v>54</v>
      </c>
      <c r="H2486">
        <v>1</v>
      </c>
      <c r="I2486">
        <v>1</v>
      </c>
      <c r="J2486" t="s">
        <v>41</v>
      </c>
      <c r="K2486">
        <v>206</v>
      </c>
      <c r="L2486">
        <v>333</v>
      </c>
      <c r="M2486">
        <v>403</v>
      </c>
      <c r="N2486">
        <v>205</v>
      </c>
      <c r="O2486">
        <v>34</v>
      </c>
      <c r="P2486">
        <v>39</v>
      </c>
      <c r="Q2486">
        <v>199</v>
      </c>
      <c r="R2486">
        <v>329</v>
      </c>
      <c r="S2486">
        <v>364</v>
      </c>
      <c r="T2486" t="s">
        <v>99</v>
      </c>
      <c r="U2486" t="s">
        <v>93</v>
      </c>
      <c r="V2486" t="s">
        <v>83</v>
      </c>
      <c r="W2486" t="s">
        <v>175</v>
      </c>
      <c r="X2486" t="s">
        <v>143</v>
      </c>
      <c r="Y2486" t="s">
        <v>71</v>
      </c>
    </row>
    <row r="2487" spans="1:25">
      <c r="A2487" t="s">
        <v>25</v>
      </c>
      <c r="B2487" t="s">
        <v>26</v>
      </c>
      <c r="C2487" t="s">
        <v>221</v>
      </c>
      <c r="D2487" s="1">
        <v>45921</v>
      </c>
      <c r="E2487" s="2">
        <v>0.5625</v>
      </c>
      <c r="F2487" t="s">
        <v>50</v>
      </c>
      <c r="G2487" t="s">
        <v>61</v>
      </c>
      <c r="H2487">
        <v>2</v>
      </c>
      <c r="I2487">
        <v>0</v>
      </c>
      <c r="J2487" t="s">
        <v>34</v>
      </c>
      <c r="K2487">
        <v>196</v>
      </c>
      <c r="L2487">
        <v>369</v>
      </c>
      <c r="M2487">
        <v>394</v>
      </c>
      <c r="N2487">
        <v>193</v>
      </c>
      <c r="O2487">
        <v>375</v>
      </c>
      <c r="P2487">
        <v>41</v>
      </c>
      <c r="Q2487">
        <v>185</v>
      </c>
      <c r="R2487">
        <v>361</v>
      </c>
      <c r="S2487">
        <v>375</v>
      </c>
      <c r="T2487" t="s">
        <v>119</v>
      </c>
      <c r="U2487" t="s">
        <v>92</v>
      </c>
      <c r="V2487" t="s">
        <v>129</v>
      </c>
      <c r="W2487" t="s">
        <v>171</v>
      </c>
      <c r="X2487" t="s">
        <v>68</v>
      </c>
      <c r="Y2487" t="s">
        <v>83</v>
      </c>
    </row>
    <row r="2488" spans="1:25">
      <c r="A2488" t="s">
        <v>25</v>
      </c>
      <c r="B2488" t="s">
        <v>26</v>
      </c>
      <c r="C2488" t="s">
        <v>221</v>
      </c>
      <c r="D2488" s="1">
        <v>45921</v>
      </c>
      <c r="E2488" s="2">
        <v>0.66666666666666663</v>
      </c>
      <c r="F2488" t="s">
        <v>63</v>
      </c>
      <c r="G2488" t="s">
        <v>35</v>
      </c>
      <c r="H2488">
        <v>1</v>
      </c>
      <c r="I2488">
        <v>1</v>
      </c>
      <c r="J2488" t="s">
        <v>41</v>
      </c>
      <c r="K2488">
        <v>519</v>
      </c>
      <c r="L2488">
        <v>408</v>
      </c>
      <c r="M2488">
        <v>167</v>
      </c>
      <c r="N2488">
        <v>55</v>
      </c>
      <c r="O2488">
        <v>4</v>
      </c>
      <c r="P2488">
        <v>17</v>
      </c>
      <c r="Q2488">
        <v>493</v>
      </c>
      <c r="R2488">
        <v>381</v>
      </c>
      <c r="S2488">
        <v>162</v>
      </c>
      <c r="T2488" t="s">
        <v>201</v>
      </c>
      <c r="U2488" t="s">
        <v>129</v>
      </c>
      <c r="V2488" t="s">
        <v>82</v>
      </c>
      <c r="W2488" t="s">
        <v>107</v>
      </c>
      <c r="X2488" t="s">
        <v>129</v>
      </c>
      <c r="Y2488" t="s">
        <v>111</v>
      </c>
    </row>
    <row r="2489" spans="1:25">
      <c r="A2489" t="s">
        <v>25</v>
      </c>
      <c r="B2489" t="s">
        <v>26</v>
      </c>
      <c r="C2489" t="s">
        <v>221</v>
      </c>
      <c r="D2489" s="1">
        <v>45927</v>
      </c>
      <c r="E2489" s="2">
        <v>0.66666666666666663</v>
      </c>
      <c r="F2489" t="s">
        <v>61</v>
      </c>
      <c r="G2489" t="s">
        <v>45</v>
      </c>
      <c r="H2489">
        <v>1</v>
      </c>
      <c r="I2489">
        <v>0</v>
      </c>
      <c r="J2489" t="s">
        <v>34</v>
      </c>
      <c r="K2489">
        <v>321</v>
      </c>
      <c r="L2489">
        <v>325</v>
      </c>
      <c r="M2489">
        <v>242</v>
      </c>
      <c r="N2489">
        <v>32</v>
      </c>
      <c r="O2489">
        <v>32</v>
      </c>
      <c r="P2489">
        <v>238</v>
      </c>
      <c r="Q2489">
        <v>305</v>
      </c>
      <c r="R2489">
        <v>309</v>
      </c>
      <c r="S2489">
        <v>231</v>
      </c>
      <c r="T2489" t="s">
        <v>93</v>
      </c>
      <c r="U2489" t="s">
        <v>86</v>
      </c>
      <c r="V2489" t="s">
        <v>164</v>
      </c>
      <c r="W2489" t="s">
        <v>126</v>
      </c>
      <c r="X2489" t="s">
        <v>103</v>
      </c>
      <c r="Y2489" t="s">
        <v>122</v>
      </c>
    </row>
    <row r="2490" spans="1:25">
      <c r="A2490" t="s">
        <v>25</v>
      </c>
      <c r="B2490" t="s">
        <v>26</v>
      </c>
      <c r="C2490" t="s">
        <v>221</v>
      </c>
      <c r="D2490" s="1">
        <v>45927</v>
      </c>
      <c r="E2490" s="2">
        <v>0.66666666666666663</v>
      </c>
      <c r="F2490" t="s">
        <v>38</v>
      </c>
      <c r="G2490" t="s">
        <v>63</v>
      </c>
      <c r="H2490">
        <v>0</v>
      </c>
      <c r="I2490">
        <v>0</v>
      </c>
      <c r="J2490" t="s">
        <v>41</v>
      </c>
      <c r="K2490">
        <v>195</v>
      </c>
      <c r="L2490">
        <v>352</v>
      </c>
      <c r="M2490">
        <v>419</v>
      </c>
      <c r="N2490">
        <v>198</v>
      </c>
      <c r="O2490">
        <v>35</v>
      </c>
      <c r="P2490">
        <v>42</v>
      </c>
      <c r="Q2490">
        <v>193</v>
      </c>
      <c r="R2490">
        <v>337</v>
      </c>
      <c r="S2490">
        <v>375</v>
      </c>
      <c r="T2490" t="s">
        <v>101</v>
      </c>
      <c r="U2490" t="s">
        <v>80</v>
      </c>
      <c r="V2490" t="s">
        <v>100</v>
      </c>
      <c r="W2490" t="s">
        <v>117</v>
      </c>
      <c r="X2490" t="s">
        <v>144</v>
      </c>
      <c r="Y2490" t="s">
        <v>75</v>
      </c>
    </row>
    <row r="2491" spans="1:25">
      <c r="A2491" t="s">
        <v>25</v>
      </c>
      <c r="B2491" t="s">
        <v>26</v>
      </c>
      <c r="C2491" t="s">
        <v>221</v>
      </c>
      <c r="D2491" s="1">
        <v>45927</v>
      </c>
      <c r="E2491" s="2">
        <v>0.66666666666666663</v>
      </c>
      <c r="F2491" t="s">
        <v>39</v>
      </c>
      <c r="G2491" t="s">
        <v>50</v>
      </c>
      <c r="H2491">
        <v>1</v>
      </c>
      <c r="I2491">
        <v>0</v>
      </c>
      <c r="J2491" t="s">
        <v>34</v>
      </c>
      <c r="K2491">
        <v>219</v>
      </c>
      <c r="L2491">
        <v>353</v>
      </c>
      <c r="M2491">
        <v>341</v>
      </c>
      <c r="N2491">
        <v>22</v>
      </c>
      <c r="O2491">
        <v>355</v>
      </c>
      <c r="P2491">
        <v>333</v>
      </c>
      <c r="Q2491">
        <v>21</v>
      </c>
      <c r="R2491">
        <v>344</v>
      </c>
      <c r="S2491">
        <v>315</v>
      </c>
      <c r="T2491" t="s">
        <v>72</v>
      </c>
      <c r="U2491" t="s">
        <v>68</v>
      </c>
      <c r="V2491" t="s">
        <v>77</v>
      </c>
      <c r="W2491" t="s">
        <v>239</v>
      </c>
      <c r="X2491" t="s">
        <v>144</v>
      </c>
      <c r="Y2491" t="s">
        <v>126</v>
      </c>
    </row>
    <row r="2492" spans="1:25">
      <c r="A2492" t="s">
        <v>25</v>
      </c>
      <c r="B2492" t="s">
        <v>26</v>
      </c>
      <c r="C2492" t="s">
        <v>221</v>
      </c>
      <c r="D2492" s="1">
        <v>45928</v>
      </c>
      <c r="E2492" s="2">
        <v>0.5625</v>
      </c>
      <c r="F2492" t="s">
        <v>28</v>
      </c>
      <c r="G2492" t="s">
        <v>52</v>
      </c>
      <c r="H2492">
        <v>1</v>
      </c>
      <c r="I2492">
        <v>0</v>
      </c>
      <c r="J2492" t="s">
        <v>34</v>
      </c>
      <c r="K2492">
        <v>172</v>
      </c>
      <c r="L2492">
        <v>398</v>
      </c>
      <c r="M2492">
        <v>492</v>
      </c>
      <c r="N2492">
        <v>175</v>
      </c>
      <c r="O2492">
        <v>4</v>
      </c>
      <c r="P2492">
        <v>5</v>
      </c>
      <c r="Q2492">
        <v>169</v>
      </c>
      <c r="R2492">
        <v>381</v>
      </c>
      <c r="S2492">
        <v>443</v>
      </c>
      <c r="T2492" t="s">
        <v>237</v>
      </c>
      <c r="U2492" t="s">
        <v>116</v>
      </c>
      <c r="V2492" t="s">
        <v>169</v>
      </c>
      <c r="W2492" t="s">
        <v>197</v>
      </c>
      <c r="X2492" t="s">
        <v>116</v>
      </c>
      <c r="Y2492" t="s">
        <v>230</v>
      </c>
    </row>
    <row r="2493" spans="1:25">
      <c r="A2493" t="s">
        <v>25</v>
      </c>
      <c r="B2493" t="s">
        <v>26</v>
      </c>
      <c r="C2493" t="s">
        <v>221</v>
      </c>
      <c r="D2493" s="1">
        <v>45928</v>
      </c>
      <c r="E2493" s="2">
        <v>0.5625</v>
      </c>
      <c r="F2493" t="s">
        <v>54</v>
      </c>
      <c r="G2493" t="s">
        <v>29</v>
      </c>
      <c r="H2493">
        <v>1</v>
      </c>
      <c r="I2493">
        <v>2</v>
      </c>
      <c r="J2493" t="s">
        <v>30</v>
      </c>
      <c r="K2493">
        <v>496</v>
      </c>
      <c r="L2493">
        <v>443</v>
      </c>
      <c r="M2493">
        <v>164</v>
      </c>
      <c r="N2493">
        <v>525</v>
      </c>
      <c r="O2493">
        <v>433</v>
      </c>
      <c r="P2493">
        <v>162</v>
      </c>
      <c r="Q2493">
        <v>477</v>
      </c>
      <c r="R2493">
        <v>416</v>
      </c>
      <c r="S2493">
        <v>158</v>
      </c>
      <c r="T2493" t="s">
        <v>214</v>
      </c>
      <c r="U2493" t="s">
        <v>69</v>
      </c>
      <c r="V2493" t="s">
        <v>177</v>
      </c>
      <c r="W2493" t="s">
        <v>227</v>
      </c>
      <c r="X2493" t="s">
        <v>230</v>
      </c>
      <c r="Y2493" t="s">
        <v>182</v>
      </c>
    </row>
    <row r="2494" spans="1:25">
      <c r="A2494" t="s">
        <v>25</v>
      </c>
      <c r="B2494" t="s">
        <v>26</v>
      </c>
      <c r="C2494" t="s">
        <v>221</v>
      </c>
      <c r="D2494" s="1">
        <v>45928</v>
      </c>
      <c r="E2494" s="2">
        <v>0.66666666666666663</v>
      </c>
      <c r="F2494" t="s">
        <v>35</v>
      </c>
      <c r="G2494" t="s">
        <v>40</v>
      </c>
      <c r="H2494">
        <v>1</v>
      </c>
      <c r="I2494">
        <v>3</v>
      </c>
      <c r="J2494" t="s">
        <v>30</v>
      </c>
      <c r="K2494">
        <v>194</v>
      </c>
      <c r="L2494">
        <v>361</v>
      </c>
      <c r="M2494">
        <v>41</v>
      </c>
      <c r="N2494">
        <v>187</v>
      </c>
      <c r="O2494">
        <v>37</v>
      </c>
      <c r="P2494">
        <v>425</v>
      </c>
      <c r="Q2494">
        <v>181</v>
      </c>
      <c r="R2494">
        <v>353</v>
      </c>
      <c r="S2494">
        <v>402</v>
      </c>
      <c r="T2494" t="s">
        <v>240</v>
      </c>
      <c r="U2494" t="s">
        <v>114</v>
      </c>
      <c r="V2494" t="s">
        <v>154</v>
      </c>
      <c r="W2494" t="s">
        <v>90</v>
      </c>
      <c r="X2494" t="s">
        <v>114</v>
      </c>
      <c r="Y2494" t="s">
        <v>83</v>
      </c>
    </row>
    <row r="2495" spans="1:25">
      <c r="A2495" t="s">
        <v>25</v>
      </c>
      <c r="B2495" t="s">
        <v>26</v>
      </c>
      <c r="C2495" t="s">
        <v>221</v>
      </c>
      <c r="D2495" s="1">
        <v>45934</v>
      </c>
      <c r="E2495" s="2">
        <v>0.66666666666666663</v>
      </c>
      <c r="F2495" t="s">
        <v>40</v>
      </c>
      <c r="G2495" t="s">
        <v>61</v>
      </c>
      <c r="H2495">
        <v>0</v>
      </c>
      <c r="I2495">
        <v>1</v>
      </c>
      <c r="J2495" t="s">
        <v>30</v>
      </c>
      <c r="K2495">
        <v>194</v>
      </c>
      <c r="L2495">
        <v>365</v>
      </c>
      <c r="M2495">
        <v>406</v>
      </c>
      <c r="N2495">
        <v>2</v>
      </c>
      <c r="O2495">
        <v>36</v>
      </c>
      <c r="P2495">
        <v>4</v>
      </c>
      <c r="Q2495">
        <v>189</v>
      </c>
      <c r="R2495">
        <v>345</v>
      </c>
      <c r="S2495">
        <v>379</v>
      </c>
      <c r="T2495" t="s">
        <v>194</v>
      </c>
      <c r="U2495" t="s">
        <v>114</v>
      </c>
      <c r="V2495" t="s">
        <v>83</v>
      </c>
      <c r="W2495" t="s">
        <v>73</v>
      </c>
      <c r="X2495" t="s">
        <v>68</v>
      </c>
      <c r="Y2495" t="s">
        <v>114</v>
      </c>
    </row>
    <row r="2496" spans="1:25">
      <c r="A2496" t="s">
        <v>25</v>
      </c>
      <c r="B2496" t="s">
        <v>26</v>
      </c>
      <c r="C2496" t="s">
        <v>221</v>
      </c>
      <c r="D2496" s="1">
        <v>45934</v>
      </c>
      <c r="E2496" s="2">
        <v>0.66666666666666663</v>
      </c>
      <c r="F2496" t="s">
        <v>63</v>
      </c>
      <c r="G2496" t="s">
        <v>39</v>
      </c>
      <c r="H2496">
        <v>1</v>
      </c>
      <c r="I2496">
        <v>3</v>
      </c>
      <c r="J2496" t="s">
        <v>30</v>
      </c>
      <c r="K2496">
        <v>418</v>
      </c>
      <c r="L2496">
        <v>345</v>
      </c>
      <c r="M2496">
        <v>198</v>
      </c>
      <c r="N2496">
        <v>45</v>
      </c>
      <c r="O2496">
        <v>36</v>
      </c>
      <c r="P2496">
        <v>188</v>
      </c>
      <c r="Q2496">
        <v>406</v>
      </c>
      <c r="R2496">
        <v>344</v>
      </c>
      <c r="S2496">
        <v>183</v>
      </c>
      <c r="T2496" t="s">
        <v>89</v>
      </c>
      <c r="U2496" t="s">
        <v>68</v>
      </c>
      <c r="V2496" t="s">
        <v>240</v>
      </c>
      <c r="W2496" t="s">
        <v>230</v>
      </c>
      <c r="X2496" t="s">
        <v>70</v>
      </c>
      <c r="Y2496" t="s">
        <v>237</v>
      </c>
    </row>
    <row r="2497" spans="1:25">
      <c r="A2497" t="s">
        <v>25</v>
      </c>
      <c r="B2497" t="s">
        <v>26</v>
      </c>
      <c r="C2497" t="s">
        <v>221</v>
      </c>
      <c r="D2497" s="1">
        <v>45934</v>
      </c>
      <c r="E2497" s="2">
        <v>0.66666666666666663</v>
      </c>
      <c r="F2497" t="s">
        <v>38</v>
      </c>
      <c r="G2497" t="s">
        <v>54</v>
      </c>
      <c r="H2497">
        <v>2</v>
      </c>
      <c r="I2497">
        <v>0</v>
      </c>
      <c r="J2497" t="s">
        <v>34</v>
      </c>
      <c r="K2497">
        <v>216</v>
      </c>
      <c r="L2497">
        <v>332</v>
      </c>
      <c r="M2497">
        <v>37</v>
      </c>
      <c r="N2497">
        <v>212</v>
      </c>
      <c r="O2497">
        <v>34</v>
      </c>
      <c r="P2497">
        <v>35</v>
      </c>
      <c r="Q2497">
        <v>207</v>
      </c>
      <c r="R2497">
        <v>33</v>
      </c>
      <c r="S2497">
        <v>333</v>
      </c>
      <c r="T2497" t="s">
        <v>72</v>
      </c>
      <c r="U2497" t="s">
        <v>167</v>
      </c>
      <c r="V2497" t="s">
        <v>114</v>
      </c>
      <c r="W2497" t="s">
        <v>99</v>
      </c>
      <c r="X2497" t="s">
        <v>143</v>
      </c>
      <c r="Y2497" t="s">
        <v>144</v>
      </c>
    </row>
    <row r="2498" spans="1:25">
      <c r="A2498" t="s">
        <v>25</v>
      </c>
      <c r="B2498" t="s">
        <v>26</v>
      </c>
      <c r="C2498" t="s">
        <v>221</v>
      </c>
      <c r="D2498" s="1">
        <v>45935</v>
      </c>
      <c r="E2498" s="2">
        <v>0.5625</v>
      </c>
      <c r="F2498" t="s">
        <v>45</v>
      </c>
      <c r="G2498" t="s">
        <v>28</v>
      </c>
      <c r="H2498">
        <v>0</v>
      </c>
      <c r="I2498">
        <v>2</v>
      </c>
      <c r="J2498" t="s">
        <v>30</v>
      </c>
      <c r="K2498">
        <v>308</v>
      </c>
      <c r="L2498">
        <v>333</v>
      </c>
      <c r="M2498">
        <v>229</v>
      </c>
      <c r="N2498">
        <v>3</v>
      </c>
      <c r="O2498">
        <v>34</v>
      </c>
      <c r="P2498">
        <v>242</v>
      </c>
      <c r="Q2498">
        <v>292</v>
      </c>
      <c r="R2498">
        <v>323</v>
      </c>
      <c r="S2498">
        <v>23</v>
      </c>
      <c r="T2498" t="s">
        <v>126</v>
      </c>
      <c r="U2498" t="s">
        <v>167</v>
      </c>
      <c r="V2498" t="s">
        <v>128</v>
      </c>
      <c r="W2498" t="s">
        <v>104</v>
      </c>
      <c r="X2498" t="s">
        <v>144</v>
      </c>
      <c r="Y2498" t="s">
        <v>241</v>
      </c>
    </row>
    <row r="2499" spans="1:25">
      <c r="A2499" t="s">
        <v>25</v>
      </c>
      <c r="B2499" t="s">
        <v>26</v>
      </c>
      <c r="C2499" t="s">
        <v>221</v>
      </c>
      <c r="D2499" s="1">
        <v>45935</v>
      </c>
      <c r="E2499" s="2">
        <v>0.5625</v>
      </c>
      <c r="F2499" t="s">
        <v>50</v>
      </c>
      <c r="G2499" t="s">
        <v>52</v>
      </c>
      <c r="H2499">
        <v>3</v>
      </c>
      <c r="I2499">
        <v>3</v>
      </c>
      <c r="J2499" t="s">
        <v>41</v>
      </c>
      <c r="K2499">
        <v>195</v>
      </c>
      <c r="L2499">
        <v>37</v>
      </c>
      <c r="M2499">
        <v>398</v>
      </c>
      <c r="N2499">
        <v>187</v>
      </c>
      <c r="O2499">
        <v>38</v>
      </c>
      <c r="P2499">
        <v>42</v>
      </c>
      <c r="Q2499">
        <v>18</v>
      </c>
      <c r="R2499">
        <v>365</v>
      </c>
      <c r="S2499">
        <v>396</v>
      </c>
      <c r="T2499" t="s">
        <v>117</v>
      </c>
      <c r="U2499" t="s">
        <v>74</v>
      </c>
      <c r="V2499" t="s">
        <v>115</v>
      </c>
      <c r="W2499" t="s">
        <v>90</v>
      </c>
      <c r="X2499" t="s">
        <v>92</v>
      </c>
      <c r="Y2499" t="s">
        <v>75</v>
      </c>
    </row>
    <row r="2500" spans="1:25">
      <c r="A2500" t="s">
        <v>25</v>
      </c>
      <c r="B2500" t="s">
        <v>26</v>
      </c>
      <c r="C2500" t="s">
        <v>221</v>
      </c>
      <c r="D2500" s="1">
        <v>45935</v>
      </c>
      <c r="E2500" s="2">
        <v>0.66666666666666663</v>
      </c>
      <c r="F2500" t="s">
        <v>29</v>
      </c>
      <c r="G2500" t="s">
        <v>35</v>
      </c>
      <c r="H2500">
        <v>2</v>
      </c>
      <c r="I2500">
        <v>1</v>
      </c>
      <c r="J2500" t="s">
        <v>34</v>
      </c>
      <c r="K2500">
        <v>196</v>
      </c>
      <c r="L2500">
        <v>402</v>
      </c>
      <c r="M2500">
        <v>361</v>
      </c>
      <c r="N2500">
        <v>208</v>
      </c>
      <c r="O2500">
        <v>4</v>
      </c>
      <c r="P2500">
        <v>34</v>
      </c>
      <c r="Q2500">
        <v>199</v>
      </c>
      <c r="R2500">
        <v>367</v>
      </c>
      <c r="S2500">
        <v>323</v>
      </c>
      <c r="T2500" t="s">
        <v>212</v>
      </c>
      <c r="U2500" t="s">
        <v>116</v>
      </c>
      <c r="V2500" t="s">
        <v>70</v>
      </c>
      <c r="W2500" t="s">
        <v>242</v>
      </c>
      <c r="X2500" t="s">
        <v>129</v>
      </c>
      <c r="Y2500" t="s">
        <v>126</v>
      </c>
    </row>
    <row r="2501" spans="1:25">
      <c r="A2501" t="s">
        <v>25</v>
      </c>
      <c r="B2501" t="s">
        <v>26</v>
      </c>
      <c r="C2501" t="s">
        <v>221</v>
      </c>
      <c r="D2501" s="1">
        <v>45948</v>
      </c>
      <c r="E2501" s="2">
        <v>0.66666666666666663</v>
      </c>
      <c r="F2501" t="s">
        <v>63</v>
      </c>
      <c r="G2501" t="s">
        <v>52</v>
      </c>
      <c r="H2501">
        <v>0</v>
      </c>
      <c r="I2501">
        <v>0</v>
      </c>
      <c r="J2501" t="s">
        <v>41</v>
      </c>
      <c r="K2501">
        <v>325</v>
      </c>
      <c r="L2501">
        <v>316</v>
      </c>
      <c r="M2501">
        <v>245</v>
      </c>
      <c r="N2501">
        <v>31</v>
      </c>
      <c r="O2501">
        <v>33</v>
      </c>
      <c r="P2501">
        <v>255</v>
      </c>
      <c r="Q2501">
        <v>285</v>
      </c>
      <c r="R2501">
        <v>314</v>
      </c>
      <c r="S2501">
        <v>242</v>
      </c>
      <c r="T2501" t="s">
        <v>243</v>
      </c>
      <c r="U2501" t="s">
        <v>143</v>
      </c>
      <c r="V2501" t="s">
        <v>190</v>
      </c>
      <c r="W2501" t="s">
        <v>231</v>
      </c>
      <c r="X2501" t="s">
        <v>163</v>
      </c>
      <c r="Y2501" t="s">
        <v>229</v>
      </c>
    </row>
    <row r="2502" spans="1:25">
      <c r="A2502" t="s">
        <v>25</v>
      </c>
      <c r="B2502" t="s">
        <v>26</v>
      </c>
      <c r="C2502" t="s">
        <v>221</v>
      </c>
      <c r="D2502" s="1">
        <v>45948</v>
      </c>
      <c r="E2502" s="2">
        <v>0.66666666666666663</v>
      </c>
      <c r="F2502" t="s">
        <v>54</v>
      </c>
      <c r="G2502" t="s">
        <v>40</v>
      </c>
      <c r="H2502">
        <v>2</v>
      </c>
      <c r="I2502">
        <v>3</v>
      </c>
      <c r="J2502" t="s">
        <v>30</v>
      </c>
      <c r="K2502">
        <v>376</v>
      </c>
      <c r="L2502">
        <v>341</v>
      </c>
      <c r="M2502">
        <v>211</v>
      </c>
      <c r="N2502">
        <v>4</v>
      </c>
      <c r="O2502">
        <v>35</v>
      </c>
      <c r="P2502">
        <v>21</v>
      </c>
      <c r="Q2502">
        <v>355</v>
      </c>
      <c r="R2502">
        <v>33</v>
      </c>
      <c r="S2502">
        <v>2</v>
      </c>
      <c r="T2502" t="s">
        <v>92</v>
      </c>
      <c r="U2502" t="s">
        <v>70</v>
      </c>
      <c r="V2502" t="s">
        <v>212</v>
      </c>
      <c r="W2502" t="s">
        <v>70</v>
      </c>
      <c r="X2502" t="s">
        <v>86</v>
      </c>
      <c r="Y2502" t="s">
        <v>244</v>
      </c>
    </row>
    <row r="2503" spans="1:25">
      <c r="A2503" t="s">
        <v>25</v>
      </c>
      <c r="B2503" t="s">
        <v>26</v>
      </c>
      <c r="C2503" t="s">
        <v>221</v>
      </c>
      <c r="D2503" s="1">
        <v>45948</v>
      </c>
      <c r="E2503" s="2">
        <v>0.66666666666666663</v>
      </c>
      <c r="F2503" t="s">
        <v>39</v>
      </c>
      <c r="G2503" t="s">
        <v>38</v>
      </c>
      <c r="H2503">
        <v>1</v>
      </c>
      <c r="I2503">
        <v>2</v>
      </c>
      <c r="J2503" t="s">
        <v>30</v>
      </c>
      <c r="K2503">
        <v>206</v>
      </c>
      <c r="L2503">
        <v>334</v>
      </c>
      <c r="M2503">
        <v>4</v>
      </c>
      <c r="N2503">
        <v>205</v>
      </c>
      <c r="O2503">
        <v>34</v>
      </c>
      <c r="P2503">
        <v>375</v>
      </c>
      <c r="Q2503">
        <v>2</v>
      </c>
      <c r="R2503">
        <v>326</v>
      </c>
      <c r="S2503">
        <v>364</v>
      </c>
      <c r="T2503" t="s">
        <v>166</v>
      </c>
      <c r="U2503" t="s">
        <v>144</v>
      </c>
      <c r="V2503" t="s">
        <v>75</v>
      </c>
      <c r="W2503" t="s">
        <v>244</v>
      </c>
      <c r="X2503" t="s">
        <v>143</v>
      </c>
      <c r="Y2503" t="s">
        <v>70</v>
      </c>
    </row>
    <row r="2504" spans="1:25">
      <c r="A2504" t="s">
        <v>25</v>
      </c>
      <c r="B2504" t="s">
        <v>26</v>
      </c>
      <c r="C2504" t="s">
        <v>221</v>
      </c>
      <c r="D2504" s="1">
        <v>45949</v>
      </c>
      <c r="E2504" s="2">
        <v>0.5625</v>
      </c>
      <c r="F2504" t="s">
        <v>61</v>
      </c>
      <c r="G2504" t="s">
        <v>28</v>
      </c>
      <c r="H2504">
        <v>3</v>
      </c>
      <c r="I2504">
        <v>4</v>
      </c>
      <c r="J2504" t="s">
        <v>30</v>
      </c>
      <c r="K2504">
        <v>444</v>
      </c>
      <c r="L2504">
        <v>364</v>
      </c>
      <c r="M2504">
        <v>187</v>
      </c>
      <c r="N2504">
        <v>433</v>
      </c>
      <c r="O2504">
        <v>37</v>
      </c>
      <c r="P2504">
        <v>185</v>
      </c>
      <c r="Q2504">
        <v>408</v>
      </c>
      <c r="R2504">
        <v>355</v>
      </c>
      <c r="S2504">
        <v>18</v>
      </c>
      <c r="T2504" t="s">
        <v>95</v>
      </c>
      <c r="U2504" t="s">
        <v>71</v>
      </c>
      <c r="V2504" t="s">
        <v>159</v>
      </c>
      <c r="W2504" t="s">
        <v>230</v>
      </c>
      <c r="X2504" t="s">
        <v>70</v>
      </c>
      <c r="Y2504" t="s">
        <v>237</v>
      </c>
    </row>
    <row r="2505" spans="1:25">
      <c r="A2505" t="s">
        <v>25</v>
      </c>
      <c r="B2505" t="s">
        <v>26</v>
      </c>
      <c r="C2505" t="s">
        <v>221</v>
      </c>
      <c r="D2505" s="1">
        <v>45949</v>
      </c>
      <c r="E2505" s="2">
        <v>0.5625</v>
      </c>
      <c r="F2505" t="s">
        <v>29</v>
      </c>
      <c r="G2505" t="s">
        <v>45</v>
      </c>
      <c r="H2505">
        <v>2</v>
      </c>
      <c r="I2505">
        <v>2</v>
      </c>
      <c r="J2505" t="s">
        <v>41</v>
      </c>
      <c r="K2505">
        <v>171</v>
      </c>
      <c r="L2505">
        <v>429</v>
      </c>
      <c r="M2505">
        <v>457</v>
      </c>
      <c r="N2505">
        <v>17</v>
      </c>
      <c r="O2505">
        <v>42</v>
      </c>
      <c r="P2505">
        <v>48</v>
      </c>
      <c r="Q2505">
        <v>165</v>
      </c>
      <c r="R2505">
        <v>39</v>
      </c>
      <c r="S2505">
        <v>448</v>
      </c>
      <c r="T2505" t="s">
        <v>245</v>
      </c>
      <c r="U2505" t="s">
        <v>75</v>
      </c>
      <c r="V2505" t="s">
        <v>169</v>
      </c>
      <c r="W2505" t="s">
        <v>236</v>
      </c>
      <c r="X2505" t="s">
        <v>75</v>
      </c>
      <c r="Y2505" t="s">
        <v>230</v>
      </c>
    </row>
    <row r="2506" spans="1:25">
      <c r="A2506" t="s">
        <v>25</v>
      </c>
      <c r="B2506" t="s">
        <v>26</v>
      </c>
      <c r="C2506" t="s">
        <v>221</v>
      </c>
      <c r="D2506" s="1">
        <v>45949</v>
      </c>
      <c r="E2506" s="2">
        <v>0.66666666666666663</v>
      </c>
      <c r="F2506" t="s">
        <v>35</v>
      </c>
      <c r="G2506" t="s">
        <v>50</v>
      </c>
      <c r="H2506">
        <v>0</v>
      </c>
      <c r="I2506">
        <v>2</v>
      </c>
      <c r="J2506" t="s">
        <v>30</v>
      </c>
      <c r="K2506">
        <v>187</v>
      </c>
      <c r="L2506">
        <v>4</v>
      </c>
      <c r="M2506">
        <v>398</v>
      </c>
      <c r="N2506">
        <v>185</v>
      </c>
      <c r="O2506">
        <v>395</v>
      </c>
      <c r="P2506">
        <v>433</v>
      </c>
      <c r="Q2506">
        <v>18</v>
      </c>
      <c r="R2506">
        <v>377</v>
      </c>
      <c r="S2506">
        <v>38</v>
      </c>
      <c r="T2506" t="s">
        <v>215</v>
      </c>
      <c r="U2506" t="s">
        <v>83</v>
      </c>
      <c r="V2506" t="s">
        <v>100</v>
      </c>
      <c r="W2506" t="s">
        <v>90</v>
      </c>
      <c r="X2506" t="s">
        <v>70</v>
      </c>
      <c r="Y2506" t="s">
        <v>230</v>
      </c>
    </row>
    <row r="2507" spans="1:25">
      <c r="A2507" t="s">
        <v>25</v>
      </c>
      <c r="B2507" t="s">
        <v>26</v>
      </c>
      <c r="C2507" t="s">
        <v>221</v>
      </c>
      <c r="D2507" s="1">
        <v>45955</v>
      </c>
      <c r="E2507" s="2">
        <v>0.66666666666666663</v>
      </c>
      <c r="F2507" t="s">
        <v>45</v>
      </c>
      <c r="G2507" t="s">
        <v>52</v>
      </c>
      <c r="H2507">
        <v>2</v>
      </c>
      <c r="I2507">
        <v>2</v>
      </c>
      <c r="J2507" t="s">
        <v>41</v>
      </c>
      <c r="K2507">
        <v>209</v>
      </c>
      <c r="L2507">
        <v>32</v>
      </c>
      <c r="M2507">
        <v>385</v>
      </c>
      <c r="N2507">
        <v>22</v>
      </c>
      <c r="O2507">
        <v>325</v>
      </c>
      <c r="P2507">
        <v>39</v>
      </c>
      <c r="Q2507">
        <v>207</v>
      </c>
      <c r="R2507">
        <v>312</v>
      </c>
      <c r="S2507">
        <v>361</v>
      </c>
      <c r="T2507" t="s">
        <v>186</v>
      </c>
      <c r="U2507" t="s">
        <v>110</v>
      </c>
      <c r="V2507" t="s">
        <v>116</v>
      </c>
      <c r="W2507" t="s">
        <v>99</v>
      </c>
      <c r="X2507" t="s">
        <v>103</v>
      </c>
      <c r="Y2507" t="s">
        <v>70</v>
      </c>
    </row>
    <row r="2508" spans="1:25">
      <c r="A2508" t="s">
        <v>25</v>
      </c>
      <c r="B2508" t="s">
        <v>26</v>
      </c>
      <c r="C2508" t="s">
        <v>221</v>
      </c>
      <c r="D2508" s="1">
        <v>45955</v>
      </c>
      <c r="E2508" s="2">
        <v>0.66666666666666663</v>
      </c>
      <c r="F2508" t="s">
        <v>50</v>
      </c>
      <c r="G2508" t="s">
        <v>63</v>
      </c>
      <c r="H2508">
        <v>1</v>
      </c>
      <c r="I2508">
        <v>0</v>
      </c>
      <c r="J2508" t="s">
        <v>34</v>
      </c>
      <c r="K2508">
        <v>16</v>
      </c>
      <c r="L2508">
        <v>418</v>
      </c>
      <c r="M2508">
        <v>519</v>
      </c>
      <c r="N2508">
        <v>162</v>
      </c>
      <c r="O2508">
        <v>4</v>
      </c>
      <c r="P2508">
        <v>6</v>
      </c>
      <c r="Q2508">
        <v>16</v>
      </c>
      <c r="R2508">
        <v>378</v>
      </c>
      <c r="S2508">
        <v>52</v>
      </c>
      <c r="T2508" t="s">
        <v>146</v>
      </c>
      <c r="U2508" t="s">
        <v>129</v>
      </c>
      <c r="V2508" t="s">
        <v>65</v>
      </c>
      <c r="W2508" t="s">
        <v>111</v>
      </c>
      <c r="X2508" t="s">
        <v>114</v>
      </c>
      <c r="Y2508" t="s">
        <v>65</v>
      </c>
    </row>
    <row r="2509" spans="1:25">
      <c r="A2509" t="s">
        <v>25</v>
      </c>
      <c r="B2509" t="s">
        <v>26</v>
      </c>
      <c r="C2509" t="s">
        <v>221</v>
      </c>
      <c r="D2509" s="1">
        <v>45955</v>
      </c>
      <c r="E2509" s="2">
        <v>0.66666666666666663</v>
      </c>
      <c r="F2509" t="s">
        <v>54</v>
      </c>
      <c r="G2509" t="s">
        <v>61</v>
      </c>
      <c r="H2509">
        <v>2</v>
      </c>
      <c r="I2509">
        <v>0</v>
      </c>
      <c r="J2509" t="s">
        <v>34</v>
      </c>
      <c r="K2509">
        <v>266</v>
      </c>
      <c r="L2509">
        <v>324</v>
      </c>
      <c r="M2509">
        <v>274</v>
      </c>
      <c r="N2509">
        <v>314</v>
      </c>
      <c r="O2509">
        <v>33</v>
      </c>
      <c r="P2509">
        <v>238</v>
      </c>
      <c r="Q2509">
        <v>295</v>
      </c>
      <c r="R2509">
        <v>319</v>
      </c>
      <c r="S2509">
        <v>233</v>
      </c>
      <c r="T2509" t="s">
        <v>86</v>
      </c>
      <c r="U2509" t="s">
        <v>143</v>
      </c>
      <c r="V2509" t="s">
        <v>102</v>
      </c>
      <c r="W2509" t="s">
        <v>246</v>
      </c>
      <c r="X2509" t="s">
        <v>86</v>
      </c>
      <c r="Y2509" t="s">
        <v>241</v>
      </c>
    </row>
    <row r="2510" spans="1:25">
      <c r="A2510" t="s">
        <v>25</v>
      </c>
      <c r="B2510" t="s">
        <v>26</v>
      </c>
      <c r="C2510" t="s">
        <v>221</v>
      </c>
      <c r="D2510" s="1">
        <v>45956</v>
      </c>
      <c r="E2510" s="2">
        <v>0.5625</v>
      </c>
      <c r="F2510" t="s">
        <v>38</v>
      </c>
      <c r="G2510" t="s">
        <v>35</v>
      </c>
      <c r="H2510">
        <v>0</v>
      </c>
      <c r="I2510">
        <v>2</v>
      </c>
      <c r="J2510" t="s">
        <v>30</v>
      </c>
      <c r="K2510">
        <v>341</v>
      </c>
      <c r="L2510">
        <v>34</v>
      </c>
      <c r="M2510">
        <v>216</v>
      </c>
      <c r="N2510">
        <v>285</v>
      </c>
      <c r="O2510">
        <v>34</v>
      </c>
      <c r="P2510">
        <v>257</v>
      </c>
      <c r="Q2510">
        <v>271</v>
      </c>
      <c r="R2510">
        <v>327</v>
      </c>
      <c r="S2510">
        <v>245</v>
      </c>
      <c r="T2510" t="s">
        <v>133</v>
      </c>
      <c r="U2510" t="s">
        <v>167</v>
      </c>
      <c r="V2510" t="s">
        <v>118</v>
      </c>
      <c r="W2510" t="s">
        <v>247</v>
      </c>
      <c r="X2510" t="s">
        <v>103</v>
      </c>
      <c r="Y2510" t="s">
        <v>248</v>
      </c>
    </row>
    <row r="2511" spans="1:25">
      <c r="A2511" t="s">
        <v>25</v>
      </c>
      <c r="B2511" t="s">
        <v>26</v>
      </c>
      <c r="C2511" t="s">
        <v>221</v>
      </c>
      <c r="D2511" s="1">
        <v>45956</v>
      </c>
      <c r="E2511" s="2">
        <v>0.5625</v>
      </c>
      <c r="F2511" t="s">
        <v>28</v>
      </c>
      <c r="G2511" t="s">
        <v>39</v>
      </c>
      <c r="H2511">
        <v>1</v>
      </c>
      <c r="I2511">
        <v>3</v>
      </c>
      <c r="J2511" t="s">
        <v>30</v>
      </c>
      <c r="K2511">
        <v>211</v>
      </c>
      <c r="L2511">
        <v>347</v>
      </c>
      <c r="M2511">
        <v>346</v>
      </c>
      <c r="N2511">
        <v>24</v>
      </c>
      <c r="O2511">
        <v>34</v>
      </c>
      <c r="P2511">
        <v>3</v>
      </c>
      <c r="Q2511">
        <v>232</v>
      </c>
      <c r="R2511">
        <v>327</v>
      </c>
      <c r="S2511">
        <v>288</v>
      </c>
      <c r="T2511" t="s">
        <v>134</v>
      </c>
      <c r="U2511" t="s">
        <v>144</v>
      </c>
      <c r="V2511" t="s">
        <v>103</v>
      </c>
      <c r="W2511" t="s">
        <v>109</v>
      </c>
      <c r="X2511" t="s">
        <v>103</v>
      </c>
      <c r="Y2511" t="s">
        <v>104</v>
      </c>
    </row>
    <row r="2512" spans="1:25">
      <c r="A2512" t="s">
        <v>25</v>
      </c>
      <c r="B2512" t="s">
        <v>26</v>
      </c>
      <c r="C2512" t="s">
        <v>221</v>
      </c>
      <c r="D2512" s="1">
        <v>45956</v>
      </c>
      <c r="E2512" s="2">
        <v>0.66666666666666663</v>
      </c>
      <c r="F2512" t="s">
        <v>40</v>
      </c>
      <c r="G2512" t="s">
        <v>29</v>
      </c>
      <c r="H2512">
        <v>0</v>
      </c>
      <c r="I2512">
        <v>3</v>
      </c>
      <c r="J2512" t="s">
        <v>30</v>
      </c>
      <c r="K2512">
        <v>313</v>
      </c>
      <c r="L2512">
        <v>371</v>
      </c>
      <c r="M2512">
        <v>217</v>
      </c>
      <c r="N2512">
        <v>285</v>
      </c>
      <c r="O2512">
        <v>36</v>
      </c>
      <c r="P2512">
        <v>245</v>
      </c>
      <c r="Q2512">
        <v>269</v>
      </c>
      <c r="R2512">
        <v>35</v>
      </c>
      <c r="S2512">
        <v>235</v>
      </c>
      <c r="T2512" t="s">
        <v>78</v>
      </c>
      <c r="U2512" t="s">
        <v>71</v>
      </c>
      <c r="V2512" t="s">
        <v>181</v>
      </c>
      <c r="W2512" t="s">
        <v>199</v>
      </c>
      <c r="X2512" t="s">
        <v>144</v>
      </c>
      <c r="Y2512" t="s">
        <v>241</v>
      </c>
    </row>
    <row r="2513" spans="1:25">
      <c r="A2513" t="s">
        <v>25</v>
      </c>
      <c r="B2513" t="s">
        <v>26</v>
      </c>
      <c r="C2513" t="s">
        <v>221</v>
      </c>
      <c r="D2513" s="1">
        <v>45962</v>
      </c>
      <c r="E2513" s="2">
        <v>0.66666666666666663</v>
      </c>
      <c r="F2513" t="s">
        <v>61</v>
      </c>
      <c r="G2513" t="s">
        <v>50</v>
      </c>
      <c r="H2513">
        <v>0</v>
      </c>
      <c r="I2513">
        <v>1</v>
      </c>
      <c r="J2513" t="s">
        <v>30</v>
      </c>
      <c r="N2513">
        <v>37</v>
      </c>
      <c r="O2513">
        <v>35</v>
      </c>
      <c r="P2513">
        <v>21</v>
      </c>
      <c r="Q2513">
        <v>343</v>
      </c>
      <c r="R2513">
        <v>334</v>
      </c>
      <c r="S2513">
        <v>204</v>
      </c>
      <c r="T2513" t="s">
        <v>129</v>
      </c>
      <c r="U2513" t="s">
        <v>80</v>
      </c>
      <c r="V2513" t="s">
        <v>189</v>
      </c>
      <c r="W2513" t="s">
        <v>70</v>
      </c>
      <c r="X2513" t="s">
        <v>70</v>
      </c>
      <c r="Y2513" t="s">
        <v>242</v>
      </c>
    </row>
    <row r="2514" spans="1:25">
      <c r="A2514" t="s">
        <v>25</v>
      </c>
      <c r="B2514" t="s">
        <v>26</v>
      </c>
      <c r="C2514" t="s">
        <v>221</v>
      </c>
      <c r="D2514" s="1">
        <v>45962</v>
      </c>
      <c r="E2514" s="2">
        <v>0.66666666666666663</v>
      </c>
      <c r="F2514" t="s">
        <v>63</v>
      </c>
      <c r="G2514" t="s">
        <v>45</v>
      </c>
      <c r="H2514">
        <v>3</v>
      </c>
      <c r="I2514">
        <v>1</v>
      </c>
      <c r="J2514" t="s">
        <v>34</v>
      </c>
      <c r="N2514">
        <v>35</v>
      </c>
      <c r="O2514">
        <v>325</v>
      </c>
      <c r="P2514">
        <v>225</v>
      </c>
      <c r="Q2514">
        <v>336</v>
      </c>
      <c r="R2514">
        <v>298</v>
      </c>
      <c r="S2514">
        <v>222</v>
      </c>
      <c r="T2514" t="s">
        <v>114</v>
      </c>
      <c r="U2514" t="s">
        <v>126</v>
      </c>
      <c r="V2514" t="s">
        <v>109</v>
      </c>
      <c r="W2514" t="s">
        <v>143</v>
      </c>
      <c r="X2514" t="s">
        <v>86</v>
      </c>
      <c r="Y2514" t="s">
        <v>239</v>
      </c>
    </row>
    <row r="2515" spans="1:25">
      <c r="A2515" t="s">
        <v>25</v>
      </c>
      <c r="B2515" t="s">
        <v>26</v>
      </c>
      <c r="C2515" t="s">
        <v>221</v>
      </c>
      <c r="D2515" s="1">
        <v>45962</v>
      </c>
      <c r="E2515" s="2">
        <v>0.66666666666666663</v>
      </c>
      <c r="F2515" t="s">
        <v>52</v>
      </c>
      <c r="G2515" t="s">
        <v>40</v>
      </c>
      <c r="H2515">
        <v>2</v>
      </c>
      <c r="I2515">
        <v>1</v>
      </c>
      <c r="J2515" t="s">
        <v>34</v>
      </c>
      <c r="N2515">
        <v>39</v>
      </c>
      <c r="O2515">
        <v>35</v>
      </c>
      <c r="P2515">
        <v>205</v>
      </c>
      <c r="Q2515">
        <v>356</v>
      </c>
      <c r="R2515">
        <v>337</v>
      </c>
      <c r="S2515">
        <v>197</v>
      </c>
      <c r="T2515" t="s">
        <v>129</v>
      </c>
      <c r="U2515" t="s">
        <v>68</v>
      </c>
      <c r="V2515" t="s">
        <v>166</v>
      </c>
      <c r="W2515" t="s">
        <v>116</v>
      </c>
      <c r="X2515" t="s">
        <v>144</v>
      </c>
      <c r="Y2515" t="s">
        <v>73</v>
      </c>
    </row>
    <row r="2516" spans="1:25">
      <c r="A2516" t="s">
        <v>25</v>
      </c>
      <c r="B2516" t="s">
        <v>26</v>
      </c>
      <c r="C2516" t="s">
        <v>221</v>
      </c>
      <c r="D2516" s="1">
        <v>45963</v>
      </c>
      <c r="E2516" s="2">
        <v>0.5625</v>
      </c>
      <c r="F2516" t="s">
        <v>29</v>
      </c>
      <c r="G2516" t="s">
        <v>38</v>
      </c>
      <c r="H2516">
        <v>4</v>
      </c>
      <c r="I2516">
        <v>1</v>
      </c>
      <c r="J2516" t="s">
        <v>34</v>
      </c>
      <c r="N2516">
        <v>2</v>
      </c>
      <c r="O2516">
        <v>38</v>
      </c>
      <c r="P2516">
        <v>4</v>
      </c>
      <c r="Q2516">
        <v>192</v>
      </c>
      <c r="R2516">
        <v>355</v>
      </c>
      <c r="S2516">
        <v>354</v>
      </c>
      <c r="T2516" t="s">
        <v>101</v>
      </c>
      <c r="U2516" t="s">
        <v>71</v>
      </c>
      <c r="V2516" t="s">
        <v>129</v>
      </c>
      <c r="W2516" t="s">
        <v>175</v>
      </c>
      <c r="X2516" t="s">
        <v>92</v>
      </c>
      <c r="Y2516" t="s">
        <v>143</v>
      </c>
    </row>
    <row r="2517" spans="1:25">
      <c r="A2517" t="s">
        <v>25</v>
      </c>
      <c r="B2517" t="s">
        <v>26</v>
      </c>
      <c r="C2517" t="s">
        <v>221</v>
      </c>
      <c r="D2517" s="1">
        <v>45963</v>
      </c>
      <c r="E2517" s="2">
        <v>0.5625</v>
      </c>
      <c r="F2517" t="s">
        <v>39</v>
      </c>
      <c r="G2517" t="s">
        <v>54</v>
      </c>
      <c r="H2517">
        <v>0</v>
      </c>
      <c r="I2517">
        <v>0</v>
      </c>
      <c r="J2517" t="s">
        <v>41</v>
      </c>
      <c r="N2517">
        <v>17</v>
      </c>
      <c r="O2517">
        <v>395</v>
      </c>
      <c r="P2517">
        <v>533</v>
      </c>
      <c r="Q2517">
        <v>164</v>
      </c>
      <c r="R2517">
        <v>372</v>
      </c>
      <c r="S2517">
        <v>482</v>
      </c>
      <c r="T2517" t="s">
        <v>249</v>
      </c>
      <c r="U2517" t="s">
        <v>116</v>
      </c>
      <c r="V2517" t="s">
        <v>214</v>
      </c>
      <c r="W2517" t="s">
        <v>236</v>
      </c>
      <c r="X2517" t="s">
        <v>92</v>
      </c>
      <c r="Y2517" t="s">
        <v>227</v>
      </c>
    </row>
    <row r="2518" spans="1:25">
      <c r="A2518" t="s">
        <v>25</v>
      </c>
      <c r="B2518" t="s">
        <v>26</v>
      </c>
      <c r="C2518" t="s">
        <v>221</v>
      </c>
      <c r="D2518" s="1">
        <v>45963</v>
      </c>
      <c r="E2518" s="2">
        <v>0.66666666666666663</v>
      </c>
      <c r="F2518" t="s">
        <v>35</v>
      </c>
      <c r="G2518" t="s">
        <v>28</v>
      </c>
      <c r="H2518">
        <v>2</v>
      </c>
      <c r="I2518">
        <v>1</v>
      </c>
      <c r="J2518" t="s">
        <v>34</v>
      </c>
      <c r="N2518">
        <v>26</v>
      </c>
      <c r="O2518">
        <v>36</v>
      </c>
      <c r="P2518">
        <v>265</v>
      </c>
      <c r="Q2518">
        <v>25</v>
      </c>
      <c r="R2518">
        <v>342</v>
      </c>
      <c r="S2518">
        <v>255</v>
      </c>
      <c r="T2518" t="s">
        <v>224</v>
      </c>
      <c r="U2518" t="s">
        <v>68</v>
      </c>
      <c r="V2518" t="s">
        <v>250</v>
      </c>
      <c r="W2518" t="s">
        <v>229</v>
      </c>
      <c r="X2518" t="s">
        <v>70</v>
      </c>
      <c r="Y2518" t="s">
        <v>128</v>
      </c>
    </row>
    <row r="2519" spans="1:25">
      <c r="A2519" t="s">
        <v>25</v>
      </c>
      <c r="B2519" t="s">
        <v>26</v>
      </c>
      <c r="C2519" t="s">
        <v>221</v>
      </c>
      <c r="D2519" s="1">
        <v>45969</v>
      </c>
      <c r="E2519" s="2">
        <v>0.66666666666666663</v>
      </c>
      <c r="F2519" t="s">
        <v>40</v>
      </c>
      <c r="G2519" t="s">
        <v>63</v>
      </c>
      <c r="H2519">
        <v>2</v>
      </c>
      <c r="I2519">
        <v>1</v>
      </c>
      <c r="J2519" t="s">
        <v>34</v>
      </c>
      <c r="N2519">
        <v>175</v>
      </c>
      <c r="O2519">
        <v>36</v>
      </c>
      <c r="P2519">
        <v>55</v>
      </c>
      <c r="Q2519">
        <v>17</v>
      </c>
      <c r="R2519">
        <v>343</v>
      </c>
      <c r="S2519">
        <v>494</v>
      </c>
      <c r="T2519" t="s">
        <v>249</v>
      </c>
      <c r="U2519" t="s">
        <v>71</v>
      </c>
      <c r="V2519" t="s">
        <v>201</v>
      </c>
      <c r="W2519" t="s">
        <v>216</v>
      </c>
      <c r="X2519" t="s">
        <v>70</v>
      </c>
      <c r="Y2519" t="s">
        <v>107</v>
      </c>
    </row>
    <row r="2520" spans="1:25">
      <c r="A2520" t="s">
        <v>25</v>
      </c>
      <c r="B2520" t="s">
        <v>26</v>
      </c>
      <c r="C2520" t="s">
        <v>221</v>
      </c>
      <c r="D2520" s="1">
        <v>45969</v>
      </c>
      <c r="E2520" s="2">
        <v>0.66666666666666663</v>
      </c>
      <c r="F2520" t="s">
        <v>38</v>
      </c>
      <c r="G2520" t="s">
        <v>61</v>
      </c>
      <c r="H2520">
        <v>2</v>
      </c>
      <c r="I2520">
        <v>1</v>
      </c>
      <c r="J2520" t="s">
        <v>34</v>
      </c>
      <c r="N2520">
        <v>215</v>
      </c>
      <c r="O2520">
        <v>33</v>
      </c>
      <c r="P2520">
        <v>36</v>
      </c>
      <c r="Q2520">
        <v>207</v>
      </c>
      <c r="R2520">
        <v>32</v>
      </c>
      <c r="S2520">
        <v>347</v>
      </c>
      <c r="T2520" t="s">
        <v>124</v>
      </c>
      <c r="U2520" t="s">
        <v>143</v>
      </c>
      <c r="V2520" t="s">
        <v>77</v>
      </c>
      <c r="W2520" t="s">
        <v>99</v>
      </c>
      <c r="X2520" t="s">
        <v>86</v>
      </c>
      <c r="Y2520" t="s">
        <v>70</v>
      </c>
    </row>
    <row r="2521" spans="1:25">
      <c r="A2521" t="s">
        <v>25</v>
      </c>
      <c r="B2521" t="s">
        <v>26</v>
      </c>
      <c r="C2521" t="s">
        <v>221</v>
      </c>
      <c r="D2521" s="1">
        <v>45969</v>
      </c>
      <c r="E2521" s="2">
        <v>0.66666666666666663</v>
      </c>
      <c r="F2521" t="s">
        <v>39</v>
      </c>
      <c r="G2521" t="s">
        <v>52</v>
      </c>
      <c r="H2521">
        <v>1</v>
      </c>
      <c r="I2521">
        <v>2</v>
      </c>
      <c r="J2521" t="s">
        <v>30</v>
      </c>
      <c r="N2521">
        <v>191</v>
      </c>
      <c r="O2521">
        <v>36</v>
      </c>
      <c r="P2521">
        <v>42</v>
      </c>
      <c r="Q2521">
        <v>184</v>
      </c>
      <c r="R2521">
        <v>347</v>
      </c>
      <c r="S2521">
        <v>396</v>
      </c>
      <c r="T2521" t="s">
        <v>165</v>
      </c>
      <c r="U2521" t="s">
        <v>71</v>
      </c>
      <c r="V2521" t="s">
        <v>69</v>
      </c>
      <c r="W2521" t="s">
        <v>171</v>
      </c>
      <c r="X2521" t="s">
        <v>70</v>
      </c>
      <c r="Y2521" t="s">
        <v>75</v>
      </c>
    </row>
    <row r="2522" spans="1:25">
      <c r="A2522" t="s">
        <v>25</v>
      </c>
      <c r="B2522" t="s">
        <v>26</v>
      </c>
      <c r="C2522" t="s">
        <v>221</v>
      </c>
      <c r="D2522" s="1">
        <v>45970</v>
      </c>
      <c r="E2522" s="2">
        <v>0.5625</v>
      </c>
      <c r="F2522" t="s">
        <v>50</v>
      </c>
      <c r="G2522" t="s">
        <v>45</v>
      </c>
      <c r="H2522">
        <v>1</v>
      </c>
      <c r="I2522">
        <v>0</v>
      </c>
      <c r="J2522" t="s">
        <v>34</v>
      </c>
      <c r="N2522">
        <v>187</v>
      </c>
      <c r="O2522">
        <v>35</v>
      </c>
      <c r="P2522">
        <v>475</v>
      </c>
      <c r="Q2522">
        <v>182</v>
      </c>
      <c r="R2522">
        <v>336</v>
      </c>
      <c r="S2522">
        <v>419</v>
      </c>
      <c r="T2522" t="s">
        <v>240</v>
      </c>
      <c r="U2522" t="s">
        <v>80</v>
      </c>
      <c r="V2522" t="s">
        <v>89</v>
      </c>
      <c r="W2522" t="s">
        <v>171</v>
      </c>
      <c r="X2522" t="s">
        <v>70</v>
      </c>
      <c r="Y2522" t="s">
        <v>83</v>
      </c>
    </row>
    <row r="2523" spans="1:25">
      <c r="A2523" t="s">
        <v>25</v>
      </c>
      <c r="B2523" t="s">
        <v>26</v>
      </c>
      <c r="C2523" t="s">
        <v>221</v>
      </c>
      <c r="D2523" s="1">
        <v>45970</v>
      </c>
      <c r="E2523" s="2">
        <v>0.5625</v>
      </c>
      <c r="F2523" t="s">
        <v>54</v>
      </c>
      <c r="G2523" t="s">
        <v>35</v>
      </c>
      <c r="H2523">
        <v>1</v>
      </c>
      <c r="I2523">
        <v>1</v>
      </c>
      <c r="J2523" t="s">
        <v>41</v>
      </c>
      <c r="N2523">
        <v>36</v>
      </c>
      <c r="O2523">
        <v>35</v>
      </c>
      <c r="P2523">
        <v>223</v>
      </c>
      <c r="Q2523">
        <v>331</v>
      </c>
      <c r="R2523">
        <v>333</v>
      </c>
      <c r="S2523">
        <v>208</v>
      </c>
      <c r="T2523" t="s">
        <v>114</v>
      </c>
      <c r="U2523" t="s">
        <v>70</v>
      </c>
      <c r="V2523" t="s">
        <v>72</v>
      </c>
      <c r="W2523" t="s">
        <v>144</v>
      </c>
      <c r="X2523" t="s">
        <v>144</v>
      </c>
      <c r="Y2523" t="s">
        <v>244</v>
      </c>
    </row>
    <row r="2524" spans="1:25">
      <c r="A2524" t="s">
        <v>25</v>
      </c>
      <c r="B2524" t="s">
        <v>26</v>
      </c>
      <c r="C2524" t="s">
        <v>221</v>
      </c>
      <c r="D2524" s="1">
        <v>45970</v>
      </c>
      <c r="E2524" s="2">
        <v>0.66666666666666663</v>
      </c>
      <c r="F2524" t="s">
        <v>28</v>
      </c>
      <c r="G2524" t="s">
        <v>29</v>
      </c>
      <c r="H2524">
        <v>1</v>
      </c>
      <c r="I2524">
        <v>1</v>
      </c>
      <c r="J2524" t="s">
        <v>41</v>
      </c>
      <c r="N2524">
        <v>238</v>
      </c>
      <c r="O2524">
        <v>36</v>
      </c>
      <c r="P2524">
        <v>29</v>
      </c>
      <c r="Q2524">
        <v>23</v>
      </c>
      <c r="R2524">
        <v>349</v>
      </c>
      <c r="S2524">
        <v>277</v>
      </c>
      <c r="T2524" t="s">
        <v>128</v>
      </c>
      <c r="U2524" t="s">
        <v>68</v>
      </c>
      <c r="V2524" t="s">
        <v>79</v>
      </c>
      <c r="W2524" t="s">
        <v>122</v>
      </c>
      <c r="X2524" t="s">
        <v>68</v>
      </c>
      <c r="Y2524" t="s">
        <v>231</v>
      </c>
    </row>
    <row r="2525" spans="1:25">
      <c r="A2525" t="s">
        <v>25</v>
      </c>
      <c r="B2525" t="s">
        <v>26</v>
      </c>
      <c r="C2525" t="s">
        <v>221</v>
      </c>
      <c r="D2525" s="1">
        <v>45983</v>
      </c>
      <c r="E2525" s="2">
        <v>0.66666666666666663</v>
      </c>
      <c r="F2525" t="s">
        <v>45</v>
      </c>
      <c r="G2525" t="s">
        <v>39</v>
      </c>
      <c r="H2525">
        <v>3</v>
      </c>
      <c r="I2525">
        <v>1</v>
      </c>
      <c r="J2525" t="s">
        <v>34</v>
      </c>
      <c r="N2525">
        <v>32</v>
      </c>
      <c r="O2525">
        <v>325</v>
      </c>
      <c r="P2525">
        <v>245</v>
      </c>
      <c r="Q2525">
        <v>297</v>
      </c>
      <c r="R2525">
        <v>313</v>
      </c>
      <c r="S2525">
        <v>234</v>
      </c>
      <c r="T2525" t="s">
        <v>93</v>
      </c>
      <c r="U2525" t="s">
        <v>86</v>
      </c>
      <c r="V2525" t="s">
        <v>127</v>
      </c>
      <c r="W2525" t="s">
        <v>103</v>
      </c>
      <c r="X2525" t="s">
        <v>86</v>
      </c>
      <c r="Y2525" t="s">
        <v>251</v>
      </c>
    </row>
    <row r="2526" spans="1:25">
      <c r="A2526" t="s">
        <v>25</v>
      </c>
      <c r="B2526" t="s">
        <v>26</v>
      </c>
      <c r="C2526" t="s">
        <v>221</v>
      </c>
      <c r="D2526" s="1">
        <v>45983</v>
      </c>
      <c r="E2526" s="2">
        <v>0.66666666666666663</v>
      </c>
      <c r="F2526" t="s">
        <v>61</v>
      </c>
      <c r="G2526" t="s">
        <v>40</v>
      </c>
      <c r="H2526">
        <v>2</v>
      </c>
      <c r="I2526">
        <v>3</v>
      </c>
      <c r="J2526" t="s">
        <v>30</v>
      </c>
      <c r="N2526">
        <v>37</v>
      </c>
      <c r="O2526">
        <v>313</v>
      </c>
      <c r="P2526">
        <v>223</v>
      </c>
      <c r="Q2526">
        <v>343</v>
      </c>
      <c r="R2526">
        <v>301</v>
      </c>
      <c r="S2526">
        <v>216</v>
      </c>
      <c r="T2526" t="s">
        <v>116</v>
      </c>
      <c r="U2526" t="s">
        <v>86</v>
      </c>
      <c r="V2526" t="s">
        <v>186</v>
      </c>
      <c r="W2526" t="s">
        <v>114</v>
      </c>
      <c r="X2526" t="s">
        <v>252</v>
      </c>
      <c r="Y2526" t="s">
        <v>99</v>
      </c>
    </row>
    <row r="2527" spans="1:25">
      <c r="A2527" t="s">
        <v>25</v>
      </c>
      <c r="B2527" t="s">
        <v>26</v>
      </c>
      <c r="C2527" t="s">
        <v>221</v>
      </c>
      <c r="D2527" s="1">
        <v>45983</v>
      </c>
      <c r="E2527" s="2">
        <v>0.66666666666666663</v>
      </c>
      <c r="F2527" t="s">
        <v>52</v>
      </c>
      <c r="G2527" t="s">
        <v>38</v>
      </c>
      <c r="H2527">
        <v>2</v>
      </c>
      <c r="I2527">
        <v>0</v>
      </c>
      <c r="J2527" t="s">
        <v>34</v>
      </c>
      <c r="N2527">
        <v>325</v>
      </c>
      <c r="O2527">
        <v>325</v>
      </c>
      <c r="P2527">
        <v>245</v>
      </c>
      <c r="Q2527">
        <v>301</v>
      </c>
      <c r="R2527">
        <v>31</v>
      </c>
      <c r="S2527">
        <v>233</v>
      </c>
      <c r="T2527" t="s">
        <v>93</v>
      </c>
      <c r="U2527" t="s">
        <v>86</v>
      </c>
      <c r="V2527" t="s">
        <v>128</v>
      </c>
      <c r="W2527" t="s">
        <v>103</v>
      </c>
      <c r="X2527" t="s">
        <v>86</v>
      </c>
      <c r="Y2527" t="s">
        <v>91</v>
      </c>
    </row>
    <row r="2528" spans="1:25">
      <c r="A2528" t="s">
        <v>25</v>
      </c>
      <c r="B2528" t="s">
        <v>26</v>
      </c>
      <c r="C2528" t="s">
        <v>221</v>
      </c>
      <c r="D2528" s="1">
        <v>45984</v>
      </c>
      <c r="E2528" s="2">
        <v>0.5625</v>
      </c>
      <c r="F2528" t="s">
        <v>29</v>
      </c>
      <c r="G2528" t="s">
        <v>54</v>
      </c>
      <c r="H2528">
        <v>2</v>
      </c>
      <c r="I2528">
        <v>3</v>
      </c>
      <c r="J2528" t="s">
        <v>30</v>
      </c>
      <c r="N2528">
        <v>148</v>
      </c>
      <c r="O2528">
        <v>475</v>
      </c>
      <c r="P2528">
        <v>725</v>
      </c>
      <c r="Q2528">
        <v>143</v>
      </c>
      <c r="R2528">
        <v>44</v>
      </c>
      <c r="S2528">
        <v>631</v>
      </c>
      <c r="T2528" t="s">
        <v>168</v>
      </c>
      <c r="U2528" t="s">
        <v>150</v>
      </c>
      <c r="V2528" t="s">
        <v>96</v>
      </c>
      <c r="W2528" t="s">
        <v>253</v>
      </c>
      <c r="X2528" t="s">
        <v>156</v>
      </c>
      <c r="Y2528" t="s">
        <v>226</v>
      </c>
    </row>
    <row r="2529" spans="1:25">
      <c r="A2529" t="s">
        <v>25</v>
      </c>
      <c r="B2529" t="s">
        <v>26</v>
      </c>
      <c r="C2529" t="s">
        <v>221</v>
      </c>
      <c r="D2529" s="1">
        <v>45984</v>
      </c>
      <c r="E2529" s="2">
        <v>0.5625</v>
      </c>
      <c r="F2529" t="s">
        <v>28</v>
      </c>
      <c r="G2529" t="s">
        <v>50</v>
      </c>
      <c r="H2529">
        <v>1</v>
      </c>
      <c r="I2529">
        <v>3</v>
      </c>
      <c r="J2529" t="s">
        <v>30</v>
      </c>
      <c r="N2529">
        <v>2</v>
      </c>
      <c r="O2529">
        <v>37</v>
      </c>
      <c r="P2529">
        <v>36</v>
      </c>
      <c r="Q2529">
        <v>194</v>
      </c>
      <c r="R2529">
        <v>352</v>
      </c>
      <c r="S2529">
        <v>347</v>
      </c>
      <c r="T2529" t="s">
        <v>166</v>
      </c>
      <c r="U2529" t="s">
        <v>92</v>
      </c>
      <c r="V2529" t="s">
        <v>116</v>
      </c>
      <c r="W2529" t="s">
        <v>73</v>
      </c>
      <c r="X2529" t="s">
        <v>114</v>
      </c>
      <c r="Y2529" t="s">
        <v>68</v>
      </c>
    </row>
    <row r="2530" spans="1:25">
      <c r="A2530" t="s">
        <v>25</v>
      </c>
      <c r="B2530" t="s">
        <v>26</v>
      </c>
      <c r="C2530" t="s">
        <v>221</v>
      </c>
      <c r="D2530" s="1">
        <v>45984</v>
      </c>
      <c r="E2530" s="2">
        <v>0.66666666666666663</v>
      </c>
      <c r="F2530" t="s">
        <v>35</v>
      </c>
      <c r="G2530" t="s">
        <v>63</v>
      </c>
      <c r="H2530">
        <v>1</v>
      </c>
      <c r="I2530">
        <v>2</v>
      </c>
      <c r="J2530" t="s">
        <v>30</v>
      </c>
      <c r="N2530">
        <v>173</v>
      </c>
      <c r="O2530">
        <v>37</v>
      </c>
      <c r="P2530">
        <v>55</v>
      </c>
      <c r="Q2530">
        <v>164</v>
      </c>
      <c r="R2530">
        <v>359</v>
      </c>
      <c r="S2530">
        <v>509</v>
      </c>
      <c r="T2530" t="s">
        <v>245</v>
      </c>
      <c r="U2530" t="s">
        <v>116</v>
      </c>
      <c r="V2530" t="s">
        <v>178</v>
      </c>
      <c r="W2530" t="s">
        <v>197</v>
      </c>
      <c r="X2530" t="s">
        <v>68</v>
      </c>
      <c r="Y2530" t="s">
        <v>150</v>
      </c>
    </row>
    <row r="2531" spans="1:25">
      <c r="A2531" t="s">
        <v>25</v>
      </c>
      <c r="B2531" t="s">
        <v>26</v>
      </c>
      <c r="C2531" t="s">
        <v>221</v>
      </c>
      <c r="D2531" s="1">
        <v>45990</v>
      </c>
      <c r="E2531" s="2">
        <v>0.66666666666666663</v>
      </c>
      <c r="F2531" t="s">
        <v>40</v>
      </c>
      <c r="G2531" t="s">
        <v>54</v>
      </c>
      <c r="H2531">
        <v>0</v>
      </c>
      <c r="I2531">
        <v>0</v>
      </c>
      <c r="J2531" t="s">
        <v>41</v>
      </c>
      <c r="N2531">
        <v>185</v>
      </c>
      <c r="O2531">
        <v>36</v>
      </c>
      <c r="P2531">
        <v>45</v>
      </c>
      <c r="Q2531">
        <v>179</v>
      </c>
      <c r="R2531">
        <v>349</v>
      </c>
      <c r="S2531">
        <v>423</v>
      </c>
      <c r="T2531" t="s">
        <v>240</v>
      </c>
      <c r="U2531" t="s">
        <v>71</v>
      </c>
      <c r="V2531" t="s">
        <v>115</v>
      </c>
      <c r="W2531" t="s">
        <v>171</v>
      </c>
      <c r="X2531" t="s">
        <v>70</v>
      </c>
      <c r="Y2531" t="s">
        <v>83</v>
      </c>
    </row>
    <row r="2532" spans="1:25">
      <c r="A2532" t="s">
        <v>25</v>
      </c>
      <c r="B2532" t="s">
        <v>26</v>
      </c>
      <c r="C2532" t="s">
        <v>221</v>
      </c>
      <c r="D2532" s="1">
        <v>45990</v>
      </c>
      <c r="E2532" s="2">
        <v>0.66666666666666663</v>
      </c>
      <c r="F2532" t="s">
        <v>63</v>
      </c>
      <c r="G2532" t="s">
        <v>61</v>
      </c>
      <c r="H2532">
        <v>3</v>
      </c>
      <c r="I2532">
        <v>1</v>
      </c>
      <c r="J2532" t="s">
        <v>34</v>
      </c>
      <c r="N2532">
        <v>275</v>
      </c>
      <c r="O2532">
        <v>295</v>
      </c>
      <c r="P2532">
        <v>3</v>
      </c>
      <c r="Q2532">
        <v>263</v>
      </c>
      <c r="R2532">
        <v>284</v>
      </c>
      <c r="S2532">
        <v>284</v>
      </c>
      <c r="T2532" t="s">
        <v>211</v>
      </c>
      <c r="U2532" t="s">
        <v>254</v>
      </c>
      <c r="V2532" t="s">
        <v>86</v>
      </c>
      <c r="W2532" t="s">
        <v>128</v>
      </c>
      <c r="X2532" t="s">
        <v>252</v>
      </c>
      <c r="Y2532" t="s">
        <v>252</v>
      </c>
    </row>
    <row r="2533" spans="1:25">
      <c r="A2533" t="s">
        <v>25</v>
      </c>
      <c r="B2533" t="s">
        <v>26</v>
      </c>
      <c r="C2533" t="s">
        <v>221</v>
      </c>
      <c r="D2533" s="1">
        <v>45990</v>
      </c>
      <c r="E2533" s="2">
        <v>0.66666666666666663</v>
      </c>
      <c r="F2533" t="s">
        <v>38</v>
      </c>
      <c r="G2533" t="s">
        <v>39</v>
      </c>
      <c r="H2533">
        <v>1</v>
      </c>
      <c r="I2533">
        <v>0</v>
      </c>
      <c r="J2533" t="s">
        <v>34</v>
      </c>
      <c r="N2533">
        <v>266</v>
      </c>
      <c r="O2533">
        <v>33</v>
      </c>
      <c r="P2533">
        <v>28</v>
      </c>
      <c r="Q2533">
        <v>256</v>
      </c>
      <c r="R2533">
        <v>318</v>
      </c>
      <c r="S2533">
        <v>264</v>
      </c>
      <c r="T2533" t="s">
        <v>211</v>
      </c>
      <c r="U2533" t="s">
        <v>143</v>
      </c>
      <c r="V2533" t="s">
        <v>78</v>
      </c>
      <c r="W2533" t="s">
        <v>248</v>
      </c>
      <c r="X2533" t="s">
        <v>103</v>
      </c>
      <c r="Y2533" t="s">
        <v>248</v>
      </c>
    </row>
    <row r="2534" spans="1:25">
      <c r="A2534" t="s">
        <v>25</v>
      </c>
      <c r="B2534" t="s">
        <v>26</v>
      </c>
      <c r="C2534" t="s">
        <v>221</v>
      </c>
      <c r="D2534" s="1">
        <v>45991</v>
      </c>
      <c r="E2534" s="2">
        <v>0.5625</v>
      </c>
      <c r="F2534" t="s">
        <v>45</v>
      </c>
      <c r="G2534" t="s">
        <v>29</v>
      </c>
      <c r="H2534">
        <v>1</v>
      </c>
      <c r="I2534">
        <v>1</v>
      </c>
      <c r="J2534" t="s">
        <v>41</v>
      </c>
      <c r="N2534">
        <v>33</v>
      </c>
      <c r="O2534">
        <v>35</v>
      </c>
      <c r="P2534">
        <v>23</v>
      </c>
      <c r="Q2534">
        <v>306</v>
      </c>
      <c r="R2534">
        <v>333</v>
      </c>
      <c r="S2534">
        <v>219</v>
      </c>
      <c r="T2534" t="s">
        <v>144</v>
      </c>
      <c r="U2534" t="s">
        <v>144</v>
      </c>
      <c r="V2534" t="s">
        <v>85</v>
      </c>
      <c r="W2534" t="s">
        <v>163</v>
      </c>
      <c r="X2534" t="s">
        <v>86</v>
      </c>
      <c r="Y2534" t="s">
        <v>251</v>
      </c>
    </row>
    <row r="2535" spans="1:25">
      <c r="A2535" t="s">
        <v>25</v>
      </c>
      <c r="B2535" t="s">
        <v>26</v>
      </c>
      <c r="C2535" t="s">
        <v>221</v>
      </c>
      <c r="D2535" s="1">
        <v>45991</v>
      </c>
      <c r="E2535" s="2">
        <v>0.5625</v>
      </c>
      <c r="F2535" t="s">
        <v>52</v>
      </c>
      <c r="G2535" t="s">
        <v>28</v>
      </c>
      <c r="H2535">
        <v>0</v>
      </c>
      <c r="I2535">
        <v>1</v>
      </c>
      <c r="J2535" t="s">
        <v>30</v>
      </c>
      <c r="N2535">
        <v>42</v>
      </c>
      <c r="O2535">
        <v>37</v>
      </c>
      <c r="P2535">
        <v>205</v>
      </c>
      <c r="Q2535">
        <v>368</v>
      </c>
      <c r="R2535">
        <v>349</v>
      </c>
      <c r="S2535">
        <v>191</v>
      </c>
      <c r="T2535" t="s">
        <v>83</v>
      </c>
      <c r="U2535" t="s">
        <v>80</v>
      </c>
      <c r="V2535" t="s">
        <v>166</v>
      </c>
      <c r="W2535" t="s">
        <v>143</v>
      </c>
      <c r="X2535" t="s">
        <v>114</v>
      </c>
      <c r="Y2535" t="s">
        <v>175</v>
      </c>
    </row>
    <row r="2536" spans="1:25">
      <c r="A2536" t="s">
        <v>25</v>
      </c>
      <c r="B2536" t="s">
        <v>26</v>
      </c>
      <c r="C2536" t="s">
        <v>221</v>
      </c>
      <c r="D2536" s="1">
        <v>45991</v>
      </c>
      <c r="E2536" s="2">
        <v>0.66666666666666663</v>
      </c>
      <c r="F2536" t="s">
        <v>50</v>
      </c>
      <c r="G2536" t="s">
        <v>35</v>
      </c>
      <c r="H2536">
        <v>3</v>
      </c>
      <c r="I2536">
        <v>0</v>
      </c>
      <c r="J2536" t="s">
        <v>34</v>
      </c>
      <c r="N2536">
        <v>22</v>
      </c>
      <c r="O2536">
        <v>35</v>
      </c>
      <c r="P2536">
        <v>34</v>
      </c>
      <c r="Q2536">
        <v>21</v>
      </c>
      <c r="R2536">
        <v>338</v>
      </c>
      <c r="S2536">
        <v>319</v>
      </c>
      <c r="T2536" t="s">
        <v>124</v>
      </c>
      <c r="U2536" t="s">
        <v>68</v>
      </c>
      <c r="V2536" t="s">
        <v>80</v>
      </c>
      <c r="W2536" t="s">
        <v>99</v>
      </c>
      <c r="X2536" t="s">
        <v>70</v>
      </c>
      <c r="Y2536" t="s">
        <v>103</v>
      </c>
    </row>
    <row r="2537" spans="1:25">
      <c r="A2537" t="s">
        <v>25</v>
      </c>
      <c r="B2537" t="s">
        <v>26</v>
      </c>
      <c r="C2537" t="s">
        <v>221</v>
      </c>
      <c r="D2537" s="1">
        <v>45994</v>
      </c>
      <c r="E2537" s="2">
        <v>0.8125</v>
      </c>
      <c r="F2537" t="s">
        <v>28</v>
      </c>
      <c r="G2537" t="s">
        <v>54</v>
      </c>
      <c r="H2537">
        <v>1</v>
      </c>
      <c r="I2537">
        <v>3</v>
      </c>
      <c r="J2537" t="s">
        <v>30</v>
      </c>
      <c r="N2537">
        <v>173</v>
      </c>
      <c r="O2537">
        <v>385</v>
      </c>
      <c r="P2537">
        <v>52</v>
      </c>
      <c r="Q2537">
        <v>165</v>
      </c>
      <c r="R2537">
        <v>369</v>
      </c>
      <c r="S2537">
        <v>487</v>
      </c>
      <c r="T2537" t="s">
        <v>132</v>
      </c>
      <c r="U2537" t="s">
        <v>74</v>
      </c>
      <c r="V2537" t="s">
        <v>214</v>
      </c>
      <c r="W2537" t="s">
        <v>216</v>
      </c>
      <c r="X2537" t="s">
        <v>68</v>
      </c>
      <c r="Y2537" t="s">
        <v>150</v>
      </c>
    </row>
    <row r="2538" spans="1:25">
      <c r="A2538" t="s">
        <v>25</v>
      </c>
      <c r="B2538" t="s">
        <v>26</v>
      </c>
      <c r="C2538" t="s">
        <v>221</v>
      </c>
      <c r="D2538" s="1">
        <v>45997</v>
      </c>
      <c r="E2538" s="2">
        <v>0.66666666666666663</v>
      </c>
      <c r="F2538" t="s">
        <v>61</v>
      </c>
      <c r="G2538" t="s">
        <v>29</v>
      </c>
      <c r="H2538">
        <v>0</v>
      </c>
      <c r="I2538">
        <v>2</v>
      </c>
      <c r="J2538" t="s">
        <v>30</v>
      </c>
      <c r="N2538">
        <v>46</v>
      </c>
      <c r="O2538">
        <v>375</v>
      </c>
      <c r="P2538">
        <v>183</v>
      </c>
      <c r="Q2538">
        <v>421</v>
      </c>
      <c r="R2538">
        <v>363</v>
      </c>
      <c r="S2538">
        <v>175</v>
      </c>
      <c r="T2538" t="s">
        <v>89</v>
      </c>
      <c r="U2538" t="s">
        <v>74</v>
      </c>
      <c r="V2538" t="s">
        <v>145</v>
      </c>
      <c r="W2538" t="s">
        <v>230</v>
      </c>
      <c r="X2538" t="s">
        <v>71</v>
      </c>
      <c r="Y2538" t="s">
        <v>217</v>
      </c>
    </row>
    <row r="2539" spans="1:25">
      <c r="A2539" t="s">
        <v>25</v>
      </c>
      <c r="B2539" t="s">
        <v>26</v>
      </c>
      <c r="C2539" t="s">
        <v>221</v>
      </c>
      <c r="D2539" s="1">
        <v>45997</v>
      </c>
      <c r="E2539" s="2">
        <v>0.66666666666666663</v>
      </c>
      <c r="F2539" t="s">
        <v>52</v>
      </c>
      <c r="G2539" t="s">
        <v>50</v>
      </c>
      <c r="H2539">
        <v>2</v>
      </c>
      <c r="I2539">
        <v>2</v>
      </c>
      <c r="J2539" t="s">
        <v>41</v>
      </c>
      <c r="N2539">
        <v>37</v>
      </c>
      <c r="O2539">
        <v>36</v>
      </c>
      <c r="P2539">
        <v>205</v>
      </c>
      <c r="Q2539">
        <v>354</v>
      </c>
      <c r="R2539">
        <v>335</v>
      </c>
      <c r="S2539">
        <v>199</v>
      </c>
      <c r="T2539" t="s">
        <v>129</v>
      </c>
      <c r="U2539" t="s">
        <v>68</v>
      </c>
      <c r="V2539" t="s">
        <v>166</v>
      </c>
      <c r="W2539" t="s">
        <v>70</v>
      </c>
      <c r="X2539" t="s">
        <v>68</v>
      </c>
      <c r="Y2539" t="s">
        <v>175</v>
      </c>
    </row>
    <row r="2540" spans="1:25">
      <c r="A2540" t="s">
        <v>25</v>
      </c>
      <c r="B2540" t="s">
        <v>26</v>
      </c>
      <c r="C2540" t="s">
        <v>221</v>
      </c>
      <c r="D2540" s="1">
        <v>45997</v>
      </c>
      <c r="E2540" s="2">
        <v>0.66666666666666663</v>
      </c>
      <c r="F2540" t="s">
        <v>35</v>
      </c>
      <c r="G2540" t="s">
        <v>38</v>
      </c>
      <c r="H2540">
        <v>1</v>
      </c>
      <c r="I2540">
        <v>2</v>
      </c>
      <c r="J2540" t="s">
        <v>30</v>
      </c>
      <c r="N2540">
        <v>215</v>
      </c>
      <c r="O2540">
        <v>36</v>
      </c>
      <c r="P2540">
        <v>37</v>
      </c>
      <c r="Q2540">
        <v>198</v>
      </c>
      <c r="R2540">
        <v>341</v>
      </c>
      <c r="S2540">
        <v>349</v>
      </c>
      <c r="T2540" t="s">
        <v>123</v>
      </c>
      <c r="U2540" t="s">
        <v>71</v>
      </c>
      <c r="V2540" t="s">
        <v>116</v>
      </c>
      <c r="W2540" t="s">
        <v>73</v>
      </c>
      <c r="X2540" t="s">
        <v>70</v>
      </c>
      <c r="Y2540" t="s">
        <v>114</v>
      </c>
    </row>
    <row r="2541" spans="1:25">
      <c r="A2541" t="s">
        <v>25</v>
      </c>
      <c r="B2541" t="s">
        <v>26</v>
      </c>
      <c r="C2541" t="s">
        <v>221</v>
      </c>
      <c r="D2541" s="1">
        <v>45998</v>
      </c>
      <c r="E2541" s="2">
        <v>0.5625</v>
      </c>
      <c r="F2541" t="s">
        <v>54</v>
      </c>
      <c r="G2541" t="s">
        <v>45</v>
      </c>
      <c r="H2541">
        <v>0</v>
      </c>
      <c r="I2541">
        <v>3</v>
      </c>
      <c r="J2541" t="s">
        <v>30</v>
      </c>
      <c r="N2541">
        <v>28</v>
      </c>
      <c r="O2541">
        <v>32</v>
      </c>
      <c r="P2541">
        <v>263</v>
      </c>
      <c r="Q2541">
        <v>271</v>
      </c>
      <c r="R2541">
        <v>307</v>
      </c>
      <c r="S2541">
        <v>257</v>
      </c>
      <c r="T2541" t="s">
        <v>210</v>
      </c>
      <c r="U2541" t="s">
        <v>93</v>
      </c>
      <c r="V2541" t="s">
        <v>224</v>
      </c>
      <c r="W2541" t="s">
        <v>231</v>
      </c>
      <c r="X2541" t="s">
        <v>103</v>
      </c>
      <c r="Y2541" t="s">
        <v>128</v>
      </c>
    </row>
    <row r="2542" spans="1:25">
      <c r="A2542" t="s">
        <v>25</v>
      </c>
      <c r="B2542" t="s">
        <v>26</v>
      </c>
      <c r="C2542" t="s">
        <v>221</v>
      </c>
      <c r="D2542" s="1">
        <v>45998</v>
      </c>
      <c r="E2542" s="2">
        <v>0.5625</v>
      </c>
      <c r="F2542" t="s">
        <v>39</v>
      </c>
      <c r="G2542" t="s">
        <v>40</v>
      </c>
      <c r="H2542">
        <v>2</v>
      </c>
      <c r="I2542">
        <v>1</v>
      </c>
      <c r="J2542" t="s">
        <v>34</v>
      </c>
      <c r="N2542">
        <v>26</v>
      </c>
      <c r="O2542">
        <v>33</v>
      </c>
      <c r="P2542">
        <v>285</v>
      </c>
      <c r="Q2542">
        <v>249</v>
      </c>
      <c r="R2542">
        <v>314</v>
      </c>
      <c r="S2542">
        <v>274</v>
      </c>
      <c r="T2542" t="s">
        <v>118</v>
      </c>
      <c r="U2542" t="s">
        <v>93</v>
      </c>
      <c r="V2542" t="s">
        <v>254</v>
      </c>
      <c r="W2542" t="s">
        <v>128</v>
      </c>
      <c r="X2542" t="s">
        <v>103</v>
      </c>
      <c r="Y2542" t="s">
        <v>231</v>
      </c>
    </row>
    <row r="2543" spans="1:25">
      <c r="A2543" t="s">
        <v>25</v>
      </c>
      <c r="B2543" t="s">
        <v>26</v>
      </c>
      <c r="C2543" t="s">
        <v>221</v>
      </c>
      <c r="D2543" s="1">
        <v>45998</v>
      </c>
      <c r="E2543" s="2">
        <v>0.66666666666666663</v>
      </c>
      <c r="F2543" t="s">
        <v>28</v>
      </c>
      <c r="G2543" t="s">
        <v>63</v>
      </c>
      <c r="H2543">
        <v>2</v>
      </c>
      <c r="I2543">
        <v>1</v>
      </c>
      <c r="J2543" t="s">
        <v>34</v>
      </c>
      <c r="N2543">
        <v>19</v>
      </c>
      <c r="O2543">
        <v>34</v>
      </c>
      <c r="P2543">
        <v>48</v>
      </c>
      <c r="Q2543">
        <v>181</v>
      </c>
      <c r="R2543">
        <v>333</v>
      </c>
      <c r="S2543">
        <v>437</v>
      </c>
      <c r="T2543" t="s">
        <v>159</v>
      </c>
      <c r="U2543" t="s">
        <v>80</v>
      </c>
      <c r="V2543" t="s">
        <v>150</v>
      </c>
      <c r="W2543" t="s">
        <v>237</v>
      </c>
      <c r="X2543" t="s">
        <v>144</v>
      </c>
      <c r="Y2543" t="s">
        <v>156</v>
      </c>
    </row>
    <row r="2544" spans="1:25">
      <c r="A2544" t="s">
        <v>25</v>
      </c>
      <c r="B2544" t="s">
        <v>26</v>
      </c>
      <c r="C2544" t="s">
        <v>221</v>
      </c>
      <c r="D2544" s="1">
        <v>46004</v>
      </c>
      <c r="E2544" s="2">
        <v>0.66666666666666663</v>
      </c>
      <c r="F2544" t="s">
        <v>63</v>
      </c>
      <c r="G2544" t="s">
        <v>50</v>
      </c>
      <c r="H2544">
        <v>1</v>
      </c>
      <c r="I2544">
        <v>2</v>
      </c>
      <c r="J2544" t="s">
        <v>30</v>
      </c>
      <c r="N2544">
        <v>375</v>
      </c>
      <c r="O2544">
        <v>34</v>
      </c>
      <c r="P2544">
        <v>21</v>
      </c>
      <c r="Q2544">
        <v>353</v>
      </c>
      <c r="R2544">
        <v>323</v>
      </c>
      <c r="S2544">
        <v>204</v>
      </c>
      <c r="T2544" t="s">
        <v>92</v>
      </c>
      <c r="U2544" t="s">
        <v>70</v>
      </c>
      <c r="V2544" t="s">
        <v>91</v>
      </c>
      <c r="W2544" t="s">
        <v>71</v>
      </c>
      <c r="X2544" t="s">
        <v>103</v>
      </c>
      <c r="Y2544" t="s">
        <v>244</v>
      </c>
    </row>
    <row r="2545" spans="1:25">
      <c r="A2545" t="s">
        <v>25</v>
      </c>
      <c r="B2545" t="s">
        <v>26</v>
      </c>
      <c r="C2545" t="s">
        <v>221</v>
      </c>
      <c r="D2545" s="1">
        <v>46004</v>
      </c>
      <c r="E2545" s="2">
        <v>0.66666666666666663</v>
      </c>
      <c r="F2545" t="s">
        <v>52</v>
      </c>
      <c r="G2545" t="s">
        <v>54</v>
      </c>
      <c r="H2545">
        <v>2</v>
      </c>
      <c r="I2545">
        <v>1</v>
      </c>
      <c r="J2545" t="s">
        <v>34</v>
      </c>
      <c r="N2545">
        <v>283</v>
      </c>
      <c r="O2545">
        <v>35</v>
      </c>
      <c r="P2545">
        <v>27</v>
      </c>
      <c r="Q2545">
        <v>267</v>
      </c>
      <c r="R2545">
        <v>323</v>
      </c>
      <c r="S2545">
        <v>249</v>
      </c>
      <c r="T2545" t="s">
        <v>79</v>
      </c>
      <c r="U2545" t="s">
        <v>80</v>
      </c>
      <c r="V2545" t="s">
        <v>81</v>
      </c>
      <c r="W2545" t="s">
        <v>199</v>
      </c>
      <c r="X2545" t="s">
        <v>70</v>
      </c>
      <c r="Y2545" t="s">
        <v>241</v>
      </c>
    </row>
    <row r="2546" spans="1:25">
      <c r="A2546" t="s">
        <v>25</v>
      </c>
      <c r="B2546" t="s">
        <v>26</v>
      </c>
      <c r="C2546" t="s">
        <v>221</v>
      </c>
      <c r="D2546" s="1">
        <v>46004</v>
      </c>
      <c r="E2546" s="2">
        <v>0.66666666666666663</v>
      </c>
      <c r="F2546" t="s">
        <v>38</v>
      </c>
      <c r="G2546" t="s">
        <v>45</v>
      </c>
      <c r="H2546">
        <v>3</v>
      </c>
      <c r="I2546">
        <v>0</v>
      </c>
      <c r="J2546" t="s">
        <v>34</v>
      </c>
      <c r="N2546">
        <v>245</v>
      </c>
      <c r="O2546">
        <v>32</v>
      </c>
      <c r="P2546">
        <v>32</v>
      </c>
      <c r="Q2546">
        <v>235</v>
      </c>
      <c r="R2546">
        <v>305</v>
      </c>
      <c r="S2546">
        <v>302</v>
      </c>
      <c r="T2546" t="s">
        <v>208</v>
      </c>
      <c r="U2546" t="s">
        <v>110</v>
      </c>
      <c r="V2546" t="s">
        <v>110</v>
      </c>
      <c r="W2546" t="s">
        <v>109</v>
      </c>
      <c r="X2546" t="s">
        <v>163</v>
      </c>
      <c r="Y2546" t="s">
        <v>163</v>
      </c>
    </row>
    <row r="2547" spans="1:25">
      <c r="A2547" t="s">
        <v>25</v>
      </c>
      <c r="B2547" t="s">
        <v>26</v>
      </c>
      <c r="C2547" t="s">
        <v>221</v>
      </c>
      <c r="D2547" s="1">
        <v>46005</v>
      </c>
      <c r="E2547" s="2">
        <v>0.5625</v>
      </c>
      <c r="F2547" t="s">
        <v>61</v>
      </c>
      <c r="G2547" t="s">
        <v>35</v>
      </c>
      <c r="H2547">
        <v>1</v>
      </c>
      <c r="I2547">
        <v>1</v>
      </c>
      <c r="J2547" t="s">
        <v>41</v>
      </c>
      <c r="N2547">
        <v>36</v>
      </c>
      <c r="O2547">
        <v>34</v>
      </c>
      <c r="P2547">
        <v>223</v>
      </c>
      <c r="Q2547">
        <v>333</v>
      </c>
      <c r="R2547">
        <v>324</v>
      </c>
      <c r="S2547">
        <v>21</v>
      </c>
      <c r="T2547" t="s">
        <v>77</v>
      </c>
      <c r="U2547" t="s">
        <v>70</v>
      </c>
      <c r="V2547" t="s">
        <v>222</v>
      </c>
      <c r="W2547" t="s">
        <v>70</v>
      </c>
      <c r="X2547" t="s">
        <v>86</v>
      </c>
      <c r="Y2547" t="s">
        <v>244</v>
      </c>
    </row>
    <row r="2548" spans="1:25">
      <c r="A2548" t="s">
        <v>25</v>
      </c>
      <c r="B2548" t="s">
        <v>26</v>
      </c>
      <c r="C2548" t="s">
        <v>221</v>
      </c>
      <c r="D2548" s="1">
        <v>46005</v>
      </c>
      <c r="E2548" s="2">
        <v>0.5625</v>
      </c>
      <c r="F2548" t="s">
        <v>29</v>
      </c>
      <c r="G2548" t="s">
        <v>39</v>
      </c>
      <c r="H2548">
        <v>2</v>
      </c>
      <c r="I2548">
        <v>1</v>
      </c>
      <c r="J2548" t="s">
        <v>34</v>
      </c>
      <c r="N2548">
        <v>178</v>
      </c>
      <c r="O2548">
        <v>433</v>
      </c>
      <c r="P2548">
        <v>475</v>
      </c>
      <c r="Q2548">
        <v>166</v>
      </c>
      <c r="R2548">
        <v>396</v>
      </c>
      <c r="S2548">
        <v>434</v>
      </c>
      <c r="T2548" t="s">
        <v>217</v>
      </c>
      <c r="U2548" t="s">
        <v>69</v>
      </c>
      <c r="V2548" t="s">
        <v>89</v>
      </c>
      <c r="W2548" t="s">
        <v>94</v>
      </c>
      <c r="X2548" t="s">
        <v>230</v>
      </c>
      <c r="Y2548" t="s">
        <v>156</v>
      </c>
    </row>
    <row r="2549" spans="1:25">
      <c r="A2549" t="s">
        <v>25</v>
      </c>
      <c r="B2549" t="s">
        <v>26</v>
      </c>
      <c r="C2549" t="s">
        <v>221</v>
      </c>
      <c r="D2549" s="1">
        <v>46005</v>
      </c>
      <c r="E2549" s="2">
        <v>0.66666666666666663</v>
      </c>
      <c r="F2549" t="s">
        <v>40</v>
      </c>
      <c r="G2549" t="s">
        <v>28</v>
      </c>
      <c r="H2549">
        <v>3</v>
      </c>
      <c r="I2549">
        <v>1</v>
      </c>
      <c r="J2549" t="s">
        <v>34</v>
      </c>
      <c r="N2549">
        <v>28</v>
      </c>
      <c r="O2549">
        <v>33</v>
      </c>
      <c r="P2549">
        <v>28</v>
      </c>
      <c r="Q2549">
        <v>265</v>
      </c>
      <c r="R2549">
        <v>319</v>
      </c>
      <c r="S2549">
        <v>254</v>
      </c>
      <c r="T2549" t="s">
        <v>205</v>
      </c>
      <c r="U2549" t="s">
        <v>144</v>
      </c>
      <c r="V2549" t="s">
        <v>211</v>
      </c>
      <c r="W2549" t="s">
        <v>231</v>
      </c>
      <c r="X2549" t="s">
        <v>143</v>
      </c>
      <c r="Y2549" t="s">
        <v>109</v>
      </c>
    </row>
    <row r="2550" spans="1:25">
      <c r="A2550" t="s">
        <v>25</v>
      </c>
      <c r="B2550" t="s">
        <v>26</v>
      </c>
      <c r="C2550" t="s">
        <v>221</v>
      </c>
      <c r="D2550" s="1">
        <v>46059</v>
      </c>
      <c r="E2550" s="2">
        <v>0.8125</v>
      </c>
      <c r="F2550" t="s">
        <v>29</v>
      </c>
      <c r="G2550" t="s">
        <v>40</v>
      </c>
      <c r="H2550">
        <v>0</v>
      </c>
      <c r="I2550">
        <v>2</v>
      </c>
      <c r="J2550" t="s">
        <v>30</v>
      </c>
      <c r="N2550">
        <v>16</v>
      </c>
      <c r="O2550">
        <v>433</v>
      </c>
      <c r="P2550">
        <v>525</v>
      </c>
      <c r="Q2550">
        <v>158</v>
      </c>
      <c r="R2550">
        <v>41</v>
      </c>
      <c r="S2550">
        <v>489</v>
      </c>
      <c r="T2550" t="s">
        <v>177</v>
      </c>
      <c r="U2550" t="s">
        <v>156</v>
      </c>
      <c r="V2550" t="s">
        <v>84</v>
      </c>
      <c r="W2550" t="s">
        <v>182</v>
      </c>
      <c r="X2550" t="s">
        <v>230</v>
      </c>
      <c r="Y2550" t="s">
        <v>150</v>
      </c>
    </row>
    <row r="2551" spans="1:25">
      <c r="A2551" t="s">
        <v>25</v>
      </c>
      <c r="B2551" t="s">
        <v>26</v>
      </c>
      <c r="C2551" t="s">
        <v>221</v>
      </c>
      <c r="D2551" s="1">
        <v>46060</v>
      </c>
      <c r="E2551" s="2">
        <v>0.66666666666666663</v>
      </c>
      <c r="F2551" t="s">
        <v>50</v>
      </c>
      <c r="G2551" t="s">
        <v>54</v>
      </c>
      <c r="H2551">
        <v>1</v>
      </c>
      <c r="I2551">
        <v>0</v>
      </c>
      <c r="J2551" t="s">
        <v>34</v>
      </c>
      <c r="N2551">
        <v>171</v>
      </c>
      <c r="O2551">
        <v>4</v>
      </c>
      <c r="P2551">
        <v>55</v>
      </c>
      <c r="Q2551">
        <v>163</v>
      </c>
      <c r="R2551">
        <v>375</v>
      </c>
      <c r="S2551">
        <v>508</v>
      </c>
      <c r="T2551" t="s">
        <v>255</v>
      </c>
      <c r="U2551" t="s">
        <v>129</v>
      </c>
      <c r="V2551" t="s">
        <v>65</v>
      </c>
      <c r="W2551" t="s">
        <v>153</v>
      </c>
      <c r="X2551" t="s">
        <v>116</v>
      </c>
      <c r="Y2551" t="s">
        <v>107</v>
      </c>
    </row>
    <row r="2552" spans="1:25">
      <c r="A2552" t="s">
        <v>25</v>
      </c>
      <c r="B2552" t="s">
        <v>26</v>
      </c>
      <c r="C2552" t="s">
        <v>221</v>
      </c>
      <c r="D2552" s="1">
        <v>46060</v>
      </c>
      <c r="E2552" s="2">
        <v>0.66666666666666663</v>
      </c>
      <c r="F2552" t="s">
        <v>35</v>
      </c>
      <c r="G2552" t="s">
        <v>52</v>
      </c>
      <c r="H2552">
        <v>1</v>
      </c>
      <c r="I2552">
        <v>1</v>
      </c>
      <c r="J2552" t="s">
        <v>41</v>
      </c>
      <c r="N2552">
        <v>191</v>
      </c>
      <c r="O2552">
        <v>36</v>
      </c>
      <c r="P2552">
        <v>425</v>
      </c>
      <c r="Q2552">
        <v>185</v>
      </c>
      <c r="R2552">
        <v>341</v>
      </c>
      <c r="S2552">
        <v>41</v>
      </c>
      <c r="T2552" t="s">
        <v>175</v>
      </c>
      <c r="U2552" t="s">
        <v>80</v>
      </c>
      <c r="V2552" t="s">
        <v>95</v>
      </c>
      <c r="W2552" t="s">
        <v>117</v>
      </c>
      <c r="X2552" t="s">
        <v>144</v>
      </c>
      <c r="Y2552" t="s">
        <v>75</v>
      </c>
    </row>
    <row r="2553" spans="1:25">
      <c r="A2553" t="s">
        <v>25</v>
      </c>
      <c r="B2553" t="s">
        <v>26</v>
      </c>
      <c r="C2553" t="s">
        <v>221</v>
      </c>
      <c r="D2553" s="1">
        <v>46061</v>
      </c>
      <c r="E2553" s="2">
        <v>0.5625</v>
      </c>
      <c r="F2553" t="s">
        <v>45</v>
      </c>
      <c r="G2553" t="s">
        <v>61</v>
      </c>
      <c r="H2553">
        <v>1</v>
      </c>
      <c r="I2553">
        <v>0</v>
      </c>
      <c r="J2553" t="s">
        <v>34</v>
      </c>
      <c r="N2553">
        <v>215</v>
      </c>
      <c r="O2553">
        <v>315</v>
      </c>
      <c r="P2553">
        <v>375</v>
      </c>
      <c r="Q2553">
        <v>209</v>
      </c>
      <c r="R2553">
        <v>307</v>
      </c>
      <c r="S2553">
        <v>361</v>
      </c>
      <c r="T2553" t="s">
        <v>256</v>
      </c>
      <c r="U2553" t="s">
        <v>103</v>
      </c>
      <c r="V2553" t="s">
        <v>92</v>
      </c>
      <c r="W2553" t="s">
        <v>239</v>
      </c>
      <c r="X2553" t="s">
        <v>126</v>
      </c>
      <c r="Y2553" t="s">
        <v>68</v>
      </c>
    </row>
    <row r="2554" spans="1:25">
      <c r="A2554" t="s">
        <v>25</v>
      </c>
      <c r="B2554" t="s">
        <v>26</v>
      </c>
      <c r="C2554" t="s">
        <v>221</v>
      </c>
      <c r="D2554" s="1">
        <v>46061</v>
      </c>
      <c r="E2554" s="2">
        <v>0.5625</v>
      </c>
      <c r="F2554" t="s">
        <v>39</v>
      </c>
      <c r="G2554" t="s">
        <v>63</v>
      </c>
      <c r="H2554">
        <v>2</v>
      </c>
      <c r="I2554">
        <v>2</v>
      </c>
      <c r="J2554" t="s">
        <v>41</v>
      </c>
      <c r="N2554">
        <v>23</v>
      </c>
      <c r="O2554">
        <v>33</v>
      </c>
      <c r="P2554">
        <v>335</v>
      </c>
      <c r="Q2554">
        <v>223</v>
      </c>
      <c r="R2554">
        <v>318</v>
      </c>
      <c r="S2554">
        <v>315</v>
      </c>
      <c r="T2554" t="s">
        <v>204</v>
      </c>
      <c r="U2554" t="s">
        <v>144</v>
      </c>
      <c r="V2554" t="s">
        <v>143</v>
      </c>
      <c r="W2554" t="s">
        <v>91</v>
      </c>
      <c r="X2554" t="s">
        <v>103</v>
      </c>
      <c r="Y2554" t="s">
        <v>103</v>
      </c>
    </row>
    <row r="2555" spans="1:25">
      <c r="A2555" t="s">
        <v>25</v>
      </c>
      <c r="B2555" t="s">
        <v>26</v>
      </c>
      <c r="C2555" t="s">
        <v>221</v>
      </c>
      <c r="D2555" s="1">
        <v>46061</v>
      </c>
      <c r="E2555" s="2">
        <v>0.66666666666666663</v>
      </c>
      <c r="F2555" t="s">
        <v>28</v>
      </c>
      <c r="G2555" t="s">
        <v>38</v>
      </c>
      <c r="H2555">
        <v>1</v>
      </c>
      <c r="I2555">
        <v>0</v>
      </c>
      <c r="J2555" t="s">
        <v>34</v>
      </c>
      <c r="N2555">
        <v>25</v>
      </c>
      <c r="O2555">
        <v>33</v>
      </c>
      <c r="P2555">
        <v>305</v>
      </c>
      <c r="Q2555">
        <v>239</v>
      </c>
      <c r="R2555">
        <v>321</v>
      </c>
      <c r="S2555">
        <v>286</v>
      </c>
      <c r="T2555" t="s">
        <v>81</v>
      </c>
      <c r="U2555" t="s">
        <v>144</v>
      </c>
      <c r="V2555" t="s">
        <v>126</v>
      </c>
      <c r="W2555" t="s">
        <v>109</v>
      </c>
      <c r="X2555" t="s">
        <v>103</v>
      </c>
      <c r="Y2555" t="s">
        <v>104</v>
      </c>
    </row>
    <row r="2556" spans="1:25">
      <c r="A2556" t="s">
        <v>25</v>
      </c>
      <c r="B2556" t="s">
        <v>26</v>
      </c>
      <c r="C2556" t="s">
        <v>221</v>
      </c>
      <c r="D2556" s="1">
        <v>46067</v>
      </c>
      <c r="E2556" s="2">
        <v>0.66666666666666663</v>
      </c>
      <c r="F2556" t="s">
        <v>52</v>
      </c>
      <c r="G2556" t="s">
        <v>45</v>
      </c>
      <c r="H2556">
        <v>0</v>
      </c>
      <c r="I2556">
        <v>0</v>
      </c>
      <c r="J2556" t="s">
        <v>41</v>
      </c>
      <c r="N2556">
        <v>255</v>
      </c>
      <c r="O2556">
        <v>31</v>
      </c>
      <c r="P2556">
        <v>31</v>
      </c>
      <c r="Q2556">
        <v>244</v>
      </c>
      <c r="R2556">
        <v>3</v>
      </c>
      <c r="S2556">
        <v>297</v>
      </c>
      <c r="T2556" t="s">
        <v>190</v>
      </c>
      <c r="U2556" t="s">
        <v>110</v>
      </c>
      <c r="V2556" t="s">
        <v>110</v>
      </c>
      <c r="W2556" t="s">
        <v>109</v>
      </c>
      <c r="X2556" t="s">
        <v>126</v>
      </c>
      <c r="Y2556" t="s">
        <v>126</v>
      </c>
    </row>
    <row r="2557" spans="1:25">
      <c r="A2557" t="s">
        <v>25</v>
      </c>
      <c r="B2557" t="s">
        <v>26</v>
      </c>
      <c r="C2557" t="s">
        <v>221</v>
      </c>
      <c r="D2557" s="1">
        <v>46067</v>
      </c>
      <c r="E2557" s="2">
        <v>0.66666666666666663</v>
      </c>
      <c r="F2557" t="s">
        <v>38</v>
      </c>
      <c r="G2557" t="s">
        <v>50</v>
      </c>
      <c r="H2557">
        <v>1</v>
      </c>
      <c r="I2557">
        <v>1</v>
      </c>
      <c r="J2557" t="s">
        <v>41</v>
      </c>
      <c r="N2557">
        <v>25</v>
      </c>
      <c r="O2557">
        <v>325</v>
      </c>
      <c r="P2557">
        <v>3</v>
      </c>
      <c r="Q2557">
        <v>242</v>
      </c>
      <c r="R2557">
        <v>315</v>
      </c>
      <c r="S2557">
        <v>287</v>
      </c>
      <c r="T2557" t="s">
        <v>105</v>
      </c>
      <c r="U2557" t="s">
        <v>86</v>
      </c>
      <c r="V2557" t="s">
        <v>110</v>
      </c>
      <c r="W2557" t="s">
        <v>251</v>
      </c>
      <c r="X2557" t="s">
        <v>86</v>
      </c>
      <c r="Y2557" t="s">
        <v>79</v>
      </c>
    </row>
    <row r="2558" spans="1:25">
      <c r="A2558" t="s">
        <v>25</v>
      </c>
      <c r="B2558" t="s">
        <v>26</v>
      </c>
      <c r="C2558" t="s">
        <v>221</v>
      </c>
      <c r="D2558" s="1">
        <v>46067</v>
      </c>
      <c r="E2558" s="2">
        <v>0.66666666666666663</v>
      </c>
      <c r="F2558" t="s">
        <v>54</v>
      </c>
      <c r="G2558" t="s">
        <v>28</v>
      </c>
      <c r="H2558">
        <v>1</v>
      </c>
      <c r="I2558">
        <v>0</v>
      </c>
      <c r="J2558" t="s">
        <v>34</v>
      </c>
      <c r="N2558">
        <v>315</v>
      </c>
      <c r="O2558">
        <v>335</v>
      </c>
      <c r="P2558">
        <v>25</v>
      </c>
      <c r="Q2558">
        <v>293</v>
      </c>
      <c r="R2558">
        <v>315</v>
      </c>
      <c r="S2558">
        <v>238</v>
      </c>
      <c r="T2558" t="s">
        <v>126</v>
      </c>
      <c r="U2558" t="s">
        <v>86</v>
      </c>
      <c r="V2558" t="s">
        <v>76</v>
      </c>
      <c r="W2558" t="s">
        <v>104</v>
      </c>
      <c r="X2558" t="s">
        <v>103</v>
      </c>
      <c r="Y2558" t="s">
        <v>257</v>
      </c>
    </row>
    <row r="2559" spans="1:25">
      <c r="A2559" t="s">
        <v>25</v>
      </c>
      <c r="B2559" t="s">
        <v>26</v>
      </c>
      <c r="C2559" t="s">
        <v>221</v>
      </c>
      <c r="D2559" s="1">
        <v>46068</v>
      </c>
      <c r="E2559" s="2">
        <v>0.5625</v>
      </c>
      <c r="F2559" t="s">
        <v>61</v>
      </c>
      <c r="G2559" t="s">
        <v>39</v>
      </c>
      <c r="H2559">
        <v>2</v>
      </c>
      <c r="I2559">
        <v>1</v>
      </c>
      <c r="J2559" t="s">
        <v>34</v>
      </c>
      <c r="N2559">
        <v>28</v>
      </c>
      <c r="O2559">
        <v>34</v>
      </c>
      <c r="P2559">
        <v>255</v>
      </c>
      <c r="Q2559">
        <v>274</v>
      </c>
      <c r="R2559">
        <v>326</v>
      </c>
      <c r="S2559">
        <v>245</v>
      </c>
      <c r="T2559" t="s">
        <v>254</v>
      </c>
      <c r="U2559" t="s">
        <v>167</v>
      </c>
      <c r="V2559" t="s">
        <v>118</v>
      </c>
      <c r="W2559" t="s">
        <v>199</v>
      </c>
      <c r="X2559" t="s">
        <v>144</v>
      </c>
      <c r="Y2559" t="s">
        <v>257</v>
      </c>
    </row>
    <row r="2560" spans="1:25">
      <c r="A2560" t="s">
        <v>25</v>
      </c>
      <c r="B2560" t="s">
        <v>26</v>
      </c>
      <c r="C2560" t="s">
        <v>221</v>
      </c>
      <c r="D2560" s="1">
        <v>46068</v>
      </c>
      <c r="E2560" s="2">
        <v>0.5625</v>
      </c>
      <c r="F2560" t="s">
        <v>63</v>
      </c>
      <c r="G2560" t="s">
        <v>29</v>
      </c>
      <c r="H2560">
        <v>1</v>
      </c>
      <c r="I2560">
        <v>1</v>
      </c>
      <c r="J2560" t="s">
        <v>41</v>
      </c>
      <c r="N2560">
        <v>5</v>
      </c>
      <c r="O2560">
        <v>4</v>
      </c>
      <c r="P2560">
        <v>173</v>
      </c>
      <c r="Q2560">
        <v>465</v>
      </c>
      <c r="R2560">
        <v>373</v>
      </c>
      <c r="S2560">
        <v>168</v>
      </c>
      <c r="T2560" t="s">
        <v>214</v>
      </c>
      <c r="U2560" t="s">
        <v>125</v>
      </c>
      <c r="V2560" t="s">
        <v>90</v>
      </c>
      <c r="W2560" t="s">
        <v>156</v>
      </c>
      <c r="X2560" t="s">
        <v>92</v>
      </c>
      <c r="Y2560" t="s">
        <v>216</v>
      </c>
    </row>
    <row r="2561" spans="1:25">
      <c r="A2561" t="s">
        <v>25</v>
      </c>
      <c r="B2561" t="s">
        <v>26</v>
      </c>
      <c r="C2561" t="s">
        <v>221</v>
      </c>
      <c r="D2561" s="1">
        <v>46068</v>
      </c>
      <c r="E2561" s="2">
        <v>0.66666666666666663</v>
      </c>
      <c r="F2561" t="s">
        <v>40</v>
      </c>
      <c r="G2561" t="s">
        <v>35</v>
      </c>
      <c r="H2561">
        <v>2</v>
      </c>
      <c r="I2561">
        <v>0</v>
      </c>
      <c r="J2561" t="s">
        <v>34</v>
      </c>
      <c r="N2561">
        <v>27</v>
      </c>
      <c r="O2561">
        <v>33</v>
      </c>
      <c r="P2561">
        <v>29</v>
      </c>
      <c r="Q2561">
        <v>257</v>
      </c>
      <c r="R2561">
        <v>305</v>
      </c>
      <c r="S2561">
        <v>276</v>
      </c>
      <c r="T2561" t="s">
        <v>191</v>
      </c>
      <c r="U2561" t="s">
        <v>110</v>
      </c>
      <c r="V2561" t="s">
        <v>163</v>
      </c>
      <c r="W2561" t="s">
        <v>128</v>
      </c>
      <c r="X2561" t="s">
        <v>143</v>
      </c>
      <c r="Y2561" t="s">
        <v>247</v>
      </c>
    </row>
    <row r="2562" spans="1:25">
      <c r="A2562" t="s">
        <v>25</v>
      </c>
      <c r="B2562" t="s">
        <v>26</v>
      </c>
      <c r="C2562" t="s">
        <v>221</v>
      </c>
      <c r="D2562" s="1">
        <v>46074</v>
      </c>
      <c r="E2562" s="2">
        <v>0.66666666666666663</v>
      </c>
      <c r="F2562" t="s">
        <v>45</v>
      </c>
      <c r="G2562" t="s">
        <v>40</v>
      </c>
      <c r="H2562">
        <v>2</v>
      </c>
      <c r="I2562">
        <v>1</v>
      </c>
      <c r="J2562" t="s">
        <v>34</v>
      </c>
      <c r="N2562">
        <v>3</v>
      </c>
      <c r="O2562">
        <v>31</v>
      </c>
      <c r="P2562">
        <v>263</v>
      </c>
      <c r="Q2562">
        <v>284</v>
      </c>
      <c r="R2562">
        <v>293</v>
      </c>
      <c r="S2562">
        <v>255</v>
      </c>
      <c r="T2562" t="s">
        <v>126</v>
      </c>
      <c r="U2562" t="s">
        <v>79</v>
      </c>
      <c r="V2562" t="s">
        <v>104</v>
      </c>
      <c r="W2562" t="s">
        <v>104</v>
      </c>
      <c r="X2562" t="s">
        <v>126</v>
      </c>
      <c r="Y2562" t="s">
        <v>229</v>
      </c>
    </row>
    <row r="2563" spans="1:25">
      <c r="A2563" t="s">
        <v>25</v>
      </c>
      <c r="B2563" t="s">
        <v>26</v>
      </c>
      <c r="C2563" t="s">
        <v>221</v>
      </c>
      <c r="D2563" s="1">
        <v>46074</v>
      </c>
      <c r="E2563" s="2">
        <v>0.66666666666666663</v>
      </c>
      <c r="F2563" t="s">
        <v>52</v>
      </c>
      <c r="G2563" t="s">
        <v>63</v>
      </c>
      <c r="H2563">
        <v>1</v>
      </c>
      <c r="I2563">
        <v>0</v>
      </c>
      <c r="J2563" t="s">
        <v>34</v>
      </c>
      <c r="N2563">
        <v>265</v>
      </c>
      <c r="O2563">
        <v>32</v>
      </c>
      <c r="P2563">
        <v>3</v>
      </c>
      <c r="Q2563">
        <v>252</v>
      </c>
      <c r="R2563">
        <v>3</v>
      </c>
      <c r="S2563">
        <v>281</v>
      </c>
      <c r="T2563" t="s">
        <v>224</v>
      </c>
      <c r="U2563" t="s">
        <v>110</v>
      </c>
      <c r="V2563" t="s">
        <v>163</v>
      </c>
      <c r="W2563" t="s">
        <v>248</v>
      </c>
      <c r="X2563" t="s">
        <v>103</v>
      </c>
      <c r="Y2563" t="s">
        <v>247</v>
      </c>
    </row>
    <row r="2564" spans="1:25">
      <c r="A2564" t="s">
        <v>25</v>
      </c>
      <c r="B2564" t="s">
        <v>26</v>
      </c>
      <c r="C2564" t="s">
        <v>221</v>
      </c>
      <c r="D2564" s="1">
        <v>46074</v>
      </c>
      <c r="E2564" s="2">
        <v>0.66666666666666663</v>
      </c>
      <c r="F2564" t="s">
        <v>35</v>
      </c>
      <c r="G2564" t="s">
        <v>39</v>
      </c>
      <c r="H2564">
        <v>2</v>
      </c>
      <c r="I2564">
        <v>0</v>
      </c>
      <c r="J2564" t="s">
        <v>34</v>
      </c>
      <c r="N2564">
        <v>21</v>
      </c>
      <c r="O2564">
        <v>35</v>
      </c>
      <c r="P2564">
        <v>37</v>
      </c>
      <c r="Q2564">
        <v>201</v>
      </c>
      <c r="R2564">
        <v>338</v>
      </c>
      <c r="S2564">
        <v>34</v>
      </c>
      <c r="T2564" t="s">
        <v>212</v>
      </c>
      <c r="U2564" t="s">
        <v>68</v>
      </c>
      <c r="V2564" t="s">
        <v>71</v>
      </c>
      <c r="W2564" t="s">
        <v>244</v>
      </c>
      <c r="X2564" t="s">
        <v>70</v>
      </c>
      <c r="Y2564" t="s">
        <v>143</v>
      </c>
    </row>
    <row r="2565" spans="1:25">
      <c r="A2565" t="s">
        <v>25</v>
      </c>
      <c r="B2565" t="s">
        <v>26</v>
      </c>
      <c r="C2565" t="s">
        <v>221</v>
      </c>
      <c r="D2565" s="1">
        <v>46075</v>
      </c>
      <c r="E2565" s="2">
        <v>0.5625</v>
      </c>
      <c r="F2565" t="s">
        <v>28</v>
      </c>
      <c r="G2565" t="s">
        <v>61</v>
      </c>
      <c r="H2565">
        <v>1</v>
      </c>
      <c r="I2565">
        <v>0</v>
      </c>
      <c r="J2565" t="s">
        <v>34</v>
      </c>
      <c r="N2565">
        <v>235</v>
      </c>
      <c r="O2565">
        <v>325</v>
      </c>
      <c r="P2565">
        <v>41</v>
      </c>
      <c r="Q2565">
        <v>221</v>
      </c>
      <c r="R2565">
        <v>314</v>
      </c>
      <c r="S2565">
        <v>322</v>
      </c>
      <c r="T2565" t="s">
        <v>102</v>
      </c>
      <c r="U2565" t="s">
        <v>86</v>
      </c>
      <c r="V2565" t="s">
        <v>144</v>
      </c>
      <c r="W2565" t="s">
        <v>251</v>
      </c>
      <c r="X2565" t="s">
        <v>103</v>
      </c>
      <c r="Y2565" t="s">
        <v>103</v>
      </c>
    </row>
    <row r="2566" spans="1:25">
      <c r="A2566" t="s">
        <v>25</v>
      </c>
      <c r="B2566" t="s">
        <v>26</v>
      </c>
      <c r="C2566" t="s">
        <v>221</v>
      </c>
      <c r="D2566" s="1">
        <v>46075</v>
      </c>
      <c r="E2566" s="2">
        <v>0.5625</v>
      </c>
      <c r="F2566" t="s">
        <v>54</v>
      </c>
      <c r="G2566" t="s">
        <v>38</v>
      </c>
      <c r="H2566">
        <v>1</v>
      </c>
      <c r="I2566">
        <v>1</v>
      </c>
      <c r="J2566" t="s">
        <v>41</v>
      </c>
      <c r="N2566">
        <v>335</v>
      </c>
      <c r="O2566">
        <v>33</v>
      </c>
      <c r="P2566">
        <v>24</v>
      </c>
      <c r="Q2566">
        <v>309</v>
      </c>
      <c r="R2566">
        <v>309</v>
      </c>
      <c r="S2566">
        <v>227</v>
      </c>
      <c r="T2566" t="s">
        <v>80</v>
      </c>
      <c r="U2566" t="s">
        <v>103</v>
      </c>
      <c r="V2566" t="s">
        <v>109</v>
      </c>
      <c r="W2566" t="s">
        <v>86</v>
      </c>
      <c r="X2566" t="s">
        <v>143</v>
      </c>
      <c r="Y2566" t="s">
        <v>239</v>
      </c>
    </row>
    <row r="2567" spans="1:25">
      <c r="A2567" t="s">
        <v>25</v>
      </c>
      <c r="B2567" t="s">
        <v>26</v>
      </c>
      <c r="C2567" t="s">
        <v>221</v>
      </c>
      <c r="D2567" s="1">
        <v>46075</v>
      </c>
      <c r="E2567" s="2">
        <v>0.66666666666666663</v>
      </c>
      <c r="F2567" t="s">
        <v>50</v>
      </c>
      <c r="G2567" t="s">
        <v>29</v>
      </c>
      <c r="H2567">
        <v>1</v>
      </c>
      <c r="I2567">
        <v>5</v>
      </c>
      <c r="J2567" t="s">
        <v>30</v>
      </c>
      <c r="N2567">
        <v>271</v>
      </c>
      <c r="O2567">
        <v>36</v>
      </c>
      <c r="P2567">
        <v>25</v>
      </c>
      <c r="Q2567">
        <v>26</v>
      </c>
      <c r="R2567">
        <v>342</v>
      </c>
      <c r="S2567">
        <v>244</v>
      </c>
      <c r="T2567" t="s">
        <v>254</v>
      </c>
      <c r="U2567" t="s">
        <v>77</v>
      </c>
      <c r="V2567" t="s">
        <v>105</v>
      </c>
      <c r="W2567" t="s">
        <v>247</v>
      </c>
      <c r="X2567" t="s">
        <v>70</v>
      </c>
      <c r="Y2567" t="s">
        <v>257</v>
      </c>
    </row>
    <row r="2568" spans="1:25">
      <c r="A2568" t="s">
        <v>25</v>
      </c>
      <c r="B2568" t="s">
        <v>26</v>
      </c>
      <c r="C2568" t="s">
        <v>221</v>
      </c>
      <c r="D2568" s="1">
        <v>46082</v>
      </c>
      <c r="E2568" s="2">
        <v>0.66666666666666663</v>
      </c>
      <c r="F2568" t="s">
        <v>45</v>
      </c>
      <c r="G2568" t="s">
        <v>35</v>
      </c>
      <c r="H2568">
        <v>1</v>
      </c>
      <c r="I2568">
        <v>1</v>
      </c>
      <c r="J2568" t="s">
        <v>41</v>
      </c>
      <c r="N2568">
        <v>28</v>
      </c>
      <c r="O2568">
        <v>31</v>
      </c>
      <c r="P2568">
        <v>28</v>
      </c>
      <c r="Q2568">
        <v>274</v>
      </c>
      <c r="R2568">
        <v>294</v>
      </c>
      <c r="S2568">
        <v>264</v>
      </c>
      <c r="T2568" t="s">
        <v>243</v>
      </c>
      <c r="U2568" t="s">
        <v>163</v>
      </c>
      <c r="V2568" t="s">
        <v>133</v>
      </c>
      <c r="W2568" t="s">
        <v>231</v>
      </c>
      <c r="X2568" t="s">
        <v>79</v>
      </c>
      <c r="Y2568" t="s">
        <v>247</v>
      </c>
    </row>
    <row r="2569" spans="1:25">
      <c r="A2569" t="s">
        <v>25</v>
      </c>
      <c r="B2569" t="s">
        <v>26</v>
      </c>
      <c r="C2569" t="s">
        <v>221</v>
      </c>
      <c r="D2569" s="1">
        <v>46082</v>
      </c>
      <c r="E2569" s="2">
        <v>0.66666666666666663</v>
      </c>
      <c r="F2569" t="s">
        <v>40</v>
      </c>
      <c r="G2569" t="s">
        <v>50</v>
      </c>
      <c r="H2569">
        <v>2</v>
      </c>
      <c r="I2569">
        <v>2</v>
      </c>
      <c r="J2569" t="s">
        <v>41</v>
      </c>
      <c r="N2569">
        <v>29</v>
      </c>
      <c r="O2569">
        <v>31</v>
      </c>
      <c r="P2569">
        <v>275</v>
      </c>
      <c r="Q2569">
        <v>276</v>
      </c>
      <c r="R2569">
        <v>294</v>
      </c>
      <c r="S2569">
        <v>263</v>
      </c>
      <c r="T2569" t="s">
        <v>79</v>
      </c>
      <c r="U2569" t="s">
        <v>126</v>
      </c>
      <c r="V2569" t="s">
        <v>180</v>
      </c>
      <c r="W2569" t="s">
        <v>231</v>
      </c>
      <c r="X2569" t="s">
        <v>79</v>
      </c>
      <c r="Y2569" t="s">
        <v>247</v>
      </c>
    </row>
    <row r="2570" spans="1:25">
      <c r="A2570" t="s">
        <v>25</v>
      </c>
      <c r="B2570" t="s">
        <v>26</v>
      </c>
      <c r="C2570" t="s">
        <v>221</v>
      </c>
      <c r="D2570" s="1">
        <v>46082</v>
      </c>
      <c r="E2570" s="2">
        <v>0.66666666666666663</v>
      </c>
      <c r="F2570" t="s">
        <v>61</v>
      </c>
      <c r="G2570" t="s">
        <v>54</v>
      </c>
      <c r="H2570">
        <v>2</v>
      </c>
      <c r="I2570">
        <v>3</v>
      </c>
      <c r="J2570" t="s">
        <v>30</v>
      </c>
      <c r="N2570">
        <v>233</v>
      </c>
      <c r="O2570">
        <v>34</v>
      </c>
      <c r="P2570">
        <v>35</v>
      </c>
      <c r="Q2570">
        <v>218</v>
      </c>
      <c r="R2570">
        <v>315</v>
      </c>
      <c r="S2570">
        <v>325</v>
      </c>
      <c r="T2570" t="s">
        <v>124</v>
      </c>
      <c r="U2570" t="s">
        <v>143</v>
      </c>
      <c r="V2570" t="s">
        <v>92</v>
      </c>
      <c r="W2570" t="s">
        <v>239</v>
      </c>
      <c r="X2570" t="s">
        <v>144</v>
      </c>
      <c r="Y2570" t="s">
        <v>86</v>
      </c>
    </row>
    <row r="2571" spans="1:25">
      <c r="A2571" t="s">
        <v>25</v>
      </c>
      <c r="B2571" t="s">
        <v>26</v>
      </c>
      <c r="C2571" t="s">
        <v>221</v>
      </c>
      <c r="D2571" s="1">
        <v>46082</v>
      </c>
      <c r="E2571" s="2">
        <v>0.66666666666666663</v>
      </c>
      <c r="F2571" t="s">
        <v>63</v>
      </c>
      <c r="G2571" t="s">
        <v>38</v>
      </c>
      <c r="H2571">
        <v>2</v>
      </c>
      <c r="I2571">
        <v>1</v>
      </c>
      <c r="J2571" t="s">
        <v>34</v>
      </c>
      <c r="N2571">
        <v>325</v>
      </c>
      <c r="O2571">
        <v>34</v>
      </c>
      <c r="P2571">
        <v>233</v>
      </c>
      <c r="Q2571">
        <v>31</v>
      </c>
      <c r="R2571">
        <v>313</v>
      </c>
      <c r="S2571">
        <v>227</v>
      </c>
      <c r="T2571" t="s">
        <v>144</v>
      </c>
      <c r="U2571" t="s">
        <v>143</v>
      </c>
      <c r="V2571" t="s">
        <v>127</v>
      </c>
      <c r="W2571" t="s">
        <v>79</v>
      </c>
      <c r="X2571" t="s">
        <v>144</v>
      </c>
      <c r="Y2571" t="s">
        <v>91</v>
      </c>
    </row>
    <row r="2572" spans="1:25">
      <c r="A2572" t="s">
        <v>25</v>
      </c>
      <c r="B2572" t="s">
        <v>26</v>
      </c>
      <c r="C2572" t="s">
        <v>221</v>
      </c>
      <c r="D2572" s="1">
        <v>46082</v>
      </c>
      <c r="E2572" s="2">
        <v>0.66666666666666663</v>
      </c>
      <c r="F2572" t="s">
        <v>29</v>
      </c>
      <c r="G2572" t="s">
        <v>52</v>
      </c>
      <c r="H2572">
        <v>0</v>
      </c>
      <c r="I2572">
        <v>0</v>
      </c>
      <c r="J2572" t="s">
        <v>41</v>
      </c>
      <c r="N2572">
        <v>148</v>
      </c>
      <c r="O2572">
        <v>475</v>
      </c>
      <c r="P2572">
        <v>7</v>
      </c>
      <c r="Q2572">
        <v>143</v>
      </c>
      <c r="R2572">
        <v>441</v>
      </c>
      <c r="S2572">
        <v>627</v>
      </c>
      <c r="T2572" t="s">
        <v>258</v>
      </c>
      <c r="U2572" t="s">
        <v>115</v>
      </c>
      <c r="V2572" t="s">
        <v>161</v>
      </c>
      <c r="W2572" t="s">
        <v>98</v>
      </c>
      <c r="X2572" t="s">
        <v>227</v>
      </c>
      <c r="Y2572" t="s">
        <v>65</v>
      </c>
    </row>
    <row r="2573" spans="1:25">
      <c r="A2573" t="s">
        <v>25</v>
      </c>
      <c r="B2573" t="s">
        <v>26</v>
      </c>
      <c r="C2573" t="s">
        <v>221</v>
      </c>
      <c r="D2573" s="1">
        <v>46082</v>
      </c>
      <c r="E2573" s="2">
        <v>0.66666666666666663</v>
      </c>
      <c r="F2573" t="s">
        <v>39</v>
      </c>
      <c r="G2573" t="s">
        <v>28</v>
      </c>
      <c r="H2573">
        <v>2</v>
      </c>
      <c r="I2573">
        <v>2</v>
      </c>
      <c r="J2573" t="s">
        <v>41</v>
      </c>
      <c r="N2573">
        <v>26</v>
      </c>
      <c r="O2573">
        <v>34</v>
      </c>
      <c r="P2573">
        <v>27</v>
      </c>
      <c r="Q2573">
        <v>252</v>
      </c>
      <c r="R2573">
        <v>326</v>
      </c>
      <c r="S2573">
        <v>262</v>
      </c>
      <c r="T2573" t="s">
        <v>224</v>
      </c>
      <c r="U2573" t="s">
        <v>144</v>
      </c>
      <c r="V2573" t="s">
        <v>207</v>
      </c>
      <c r="W2573" t="s">
        <v>229</v>
      </c>
      <c r="X2573" t="s">
        <v>143</v>
      </c>
      <c r="Y2573" t="s">
        <v>229</v>
      </c>
    </row>
    <row r="2574" spans="1:25">
      <c r="A2574" t="s">
        <v>25</v>
      </c>
      <c r="B2574" t="s">
        <v>26</v>
      </c>
      <c r="C2574" t="s">
        <v>221</v>
      </c>
      <c r="D2574" s="1">
        <v>46089</v>
      </c>
      <c r="E2574" s="2">
        <v>0.66666666666666663</v>
      </c>
      <c r="F2574" t="s">
        <v>52</v>
      </c>
      <c r="G2574" t="s">
        <v>61</v>
      </c>
      <c r="H2574">
        <v>1</v>
      </c>
      <c r="I2574">
        <v>1</v>
      </c>
      <c r="J2574" t="s">
        <v>41</v>
      </c>
      <c r="N2574">
        <v>255</v>
      </c>
      <c r="O2574">
        <v>325</v>
      </c>
      <c r="P2574">
        <v>3</v>
      </c>
      <c r="Q2574">
        <v>244</v>
      </c>
      <c r="R2574">
        <v>312</v>
      </c>
      <c r="S2574">
        <v>28</v>
      </c>
      <c r="T2574" t="s">
        <v>118</v>
      </c>
      <c r="U2574" t="s">
        <v>86</v>
      </c>
      <c r="V2574" t="s">
        <v>163</v>
      </c>
      <c r="W2574" t="s">
        <v>257</v>
      </c>
      <c r="X2574" t="s">
        <v>103</v>
      </c>
      <c r="Y2574" t="s">
        <v>231</v>
      </c>
    </row>
    <row r="2575" spans="1:25">
      <c r="A2575" t="s">
        <v>25</v>
      </c>
      <c r="B2575" t="s">
        <v>26</v>
      </c>
      <c r="C2575" t="s">
        <v>221</v>
      </c>
      <c r="D2575" s="1">
        <v>46089</v>
      </c>
      <c r="E2575" s="2">
        <v>0.66666666666666663</v>
      </c>
      <c r="F2575" t="s">
        <v>50</v>
      </c>
      <c r="G2575" t="s">
        <v>39</v>
      </c>
      <c r="H2575">
        <v>3</v>
      </c>
      <c r="I2575">
        <v>1</v>
      </c>
      <c r="J2575" t="s">
        <v>34</v>
      </c>
      <c r="N2575">
        <v>178</v>
      </c>
      <c r="O2575">
        <v>4</v>
      </c>
      <c r="P2575">
        <v>42</v>
      </c>
      <c r="Q2575">
        <v>175</v>
      </c>
      <c r="R2575">
        <v>378</v>
      </c>
      <c r="S2575">
        <v>398</v>
      </c>
      <c r="T2575" t="s">
        <v>187</v>
      </c>
      <c r="U2575" t="s">
        <v>83</v>
      </c>
      <c r="V2575" t="s">
        <v>95</v>
      </c>
      <c r="W2575" t="s">
        <v>217</v>
      </c>
      <c r="X2575" t="s">
        <v>129</v>
      </c>
      <c r="Y2575" t="s">
        <v>83</v>
      </c>
    </row>
    <row r="2576" spans="1:25">
      <c r="A2576" t="s">
        <v>25</v>
      </c>
      <c r="B2576" t="s">
        <v>26</v>
      </c>
      <c r="C2576" t="s">
        <v>221</v>
      </c>
      <c r="D2576" s="1">
        <v>46089</v>
      </c>
      <c r="E2576" s="2">
        <v>0.66666666666666663</v>
      </c>
      <c r="F2576" t="s">
        <v>38</v>
      </c>
      <c r="G2576" t="s">
        <v>40</v>
      </c>
      <c r="H2576">
        <v>0</v>
      </c>
      <c r="I2576">
        <v>2</v>
      </c>
      <c r="J2576" t="s">
        <v>30</v>
      </c>
      <c r="N2576">
        <v>237</v>
      </c>
      <c r="O2576">
        <v>32</v>
      </c>
      <c r="P2576">
        <v>31</v>
      </c>
      <c r="Q2576">
        <v>23</v>
      </c>
      <c r="R2576">
        <v>311</v>
      </c>
      <c r="S2576">
        <v>297</v>
      </c>
      <c r="T2576" t="s">
        <v>134</v>
      </c>
      <c r="U2576" t="s">
        <v>93</v>
      </c>
      <c r="V2576" t="s">
        <v>86</v>
      </c>
      <c r="W2576" t="s">
        <v>142</v>
      </c>
      <c r="X2576" t="s">
        <v>103</v>
      </c>
      <c r="Y2576" t="s">
        <v>79</v>
      </c>
    </row>
    <row r="2577" spans="1:25">
      <c r="A2577" t="s">
        <v>25</v>
      </c>
      <c r="B2577" t="s">
        <v>26</v>
      </c>
      <c r="C2577" t="s">
        <v>221</v>
      </c>
      <c r="D2577" s="1">
        <v>46089</v>
      </c>
      <c r="E2577" s="2">
        <v>0.66666666666666663</v>
      </c>
      <c r="F2577" t="s">
        <v>35</v>
      </c>
      <c r="G2577" t="s">
        <v>29</v>
      </c>
      <c r="H2577">
        <v>1</v>
      </c>
      <c r="I2577">
        <v>0</v>
      </c>
      <c r="J2577" t="s">
        <v>34</v>
      </c>
      <c r="N2577">
        <v>38</v>
      </c>
      <c r="O2577">
        <v>37</v>
      </c>
      <c r="P2577">
        <v>2</v>
      </c>
      <c r="Q2577">
        <v>352</v>
      </c>
      <c r="R2577">
        <v>353</v>
      </c>
      <c r="S2577">
        <v>191</v>
      </c>
      <c r="T2577" t="s">
        <v>129</v>
      </c>
      <c r="U2577" t="s">
        <v>92</v>
      </c>
      <c r="V2577" t="s">
        <v>135</v>
      </c>
      <c r="W2577" t="s">
        <v>92</v>
      </c>
      <c r="X2577" t="s">
        <v>68</v>
      </c>
      <c r="Y2577" t="s">
        <v>117</v>
      </c>
    </row>
    <row r="2578" spans="1:25">
      <c r="A2578" t="s">
        <v>25</v>
      </c>
      <c r="B2578" t="s">
        <v>26</v>
      </c>
      <c r="C2578" t="s">
        <v>221</v>
      </c>
      <c r="D2578" s="1">
        <v>46089</v>
      </c>
      <c r="E2578" s="2">
        <v>0.66666666666666663</v>
      </c>
      <c r="F2578" t="s">
        <v>28</v>
      </c>
      <c r="G2578" t="s">
        <v>45</v>
      </c>
      <c r="H2578">
        <v>2</v>
      </c>
      <c r="I2578">
        <v>0</v>
      </c>
      <c r="J2578" t="s">
        <v>34</v>
      </c>
      <c r="N2578">
        <v>238</v>
      </c>
      <c r="O2578">
        <v>32</v>
      </c>
      <c r="P2578">
        <v>335</v>
      </c>
      <c r="Q2578">
        <v>224</v>
      </c>
      <c r="R2578">
        <v>308</v>
      </c>
      <c r="S2578">
        <v>314</v>
      </c>
      <c r="T2578" t="s">
        <v>128</v>
      </c>
      <c r="U2578" t="s">
        <v>103</v>
      </c>
      <c r="V2578" t="s">
        <v>144</v>
      </c>
      <c r="W2578" t="s">
        <v>122</v>
      </c>
      <c r="X2578" t="s">
        <v>126</v>
      </c>
      <c r="Y2578" t="s">
        <v>79</v>
      </c>
    </row>
    <row r="2579" spans="1:25">
      <c r="A2579" t="s">
        <v>25</v>
      </c>
      <c r="B2579" t="s">
        <v>26</v>
      </c>
      <c r="C2579" t="s">
        <v>221</v>
      </c>
      <c r="D2579" s="1">
        <v>46089</v>
      </c>
      <c r="E2579" s="2">
        <v>0.66666666666666663</v>
      </c>
      <c r="F2579" t="s">
        <v>54</v>
      </c>
      <c r="G2579" t="s">
        <v>63</v>
      </c>
      <c r="H2579">
        <v>2</v>
      </c>
      <c r="I2579">
        <v>0</v>
      </c>
      <c r="J2579" t="s">
        <v>34</v>
      </c>
      <c r="N2579">
        <v>242</v>
      </c>
      <c r="O2579">
        <v>33</v>
      </c>
      <c r="P2579">
        <v>31</v>
      </c>
      <c r="Q2579">
        <v>234</v>
      </c>
      <c r="R2579">
        <v>314</v>
      </c>
      <c r="S2579">
        <v>291</v>
      </c>
      <c r="T2579" t="s">
        <v>181</v>
      </c>
      <c r="U2579" t="s">
        <v>93</v>
      </c>
      <c r="V2579" t="s">
        <v>110</v>
      </c>
      <c r="W2579" t="s">
        <v>241</v>
      </c>
      <c r="X2579" t="s">
        <v>86</v>
      </c>
      <c r="Y2579" t="s">
        <v>246</v>
      </c>
    </row>
    <row r="2580" spans="1:25">
      <c r="A2580" t="s">
        <v>25</v>
      </c>
      <c r="B2580" t="s">
        <v>26</v>
      </c>
      <c r="C2580" t="s">
        <v>221</v>
      </c>
      <c r="D2580" s="1">
        <v>46094</v>
      </c>
      <c r="E2580" s="2">
        <v>0.77083333333333337</v>
      </c>
      <c r="F2580" t="s">
        <v>50</v>
      </c>
      <c r="G2580" t="s">
        <v>52</v>
      </c>
      <c r="H2580">
        <v>0</v>
      </c>
      <c r="I2580">
        <v>0</v>
      </c>
      <c r="J2580" t="s">
        <v>41</v>
      </c>
      <c r="N2580">
        <v>165</v>
      </c>
      <c r="O2580">
        <v>4</v>
      </c>
      <c r="P2580">
        <v>575</v>
      </c>
      <c r="Q2580">
        <v>161</v>
      </c>
      <c r="R2580">
        <v>38</v>
      </c>
      <c r="S2580">
        <v>514</v>
      </c>
      <c r="T2580" t="s">
        <v>146</v>
      </c>
      <c r="U2580" t="s">
        <v>83</v>
      </c>
      <c r="V2580" t="s">
        <v>65</v>
      </c>
      <c r="W2580" t="s">
        <v>111</v>
      </c>
      <c r="X2580" t="s">
        <v>116</v>
      </c>
      <c r="Y2580" t="s">
        <v>259</v>
      </c>
    </row>
    <row r="2581" spans="1:25">
      <c r="A2581" t="s">
        <v>25</v>
      </c>
      <c r="B2581" t="s">
        <v>26</v>
      </c>
      <c r="C2581" t="s">
        <v>221</v>
      </c>
      <c r="D2581" s="1">
        <v>46095</v>
      </c>
      <c r="E2581" s="2">
        <v>0.66666666666666663</v>
      </c>
      <c r="F2581" t="s">
        <v>45</v>
      </c>
      <c r="G2581" t="s">
        <v>61</v>
      </c>
      <c r="H2581">
        <v>3</v>
      </c>
      <c r="I2581">
        <v>1</v>
      </c>
      <c r="J2581" t="s">
        <v>34</v>
      </c>
      <c r="N2581">
        <v>238</v>
      </c>
      <c r="O2581">
        <v>31</v>
      </c>
      <c r="P2581">
        <v>325</v>
      </c>
      <c r="Q2581">
        <v>23</v>
      </c>
      <c r="R2581">
        <v>299</v>
      </c>
      <c r="S2581">
        <v>317</v>
      </c>
      <c r="T2581" t="s">
        <v>128</v>
      </c>
      <c r="U2581" t="s">
        <v>126</v>
      </c>
      <c r="V2581" t="s">
        <v>167</v>
      </c>
      <c r="W2581" t="s">
        <v>241</v>
      </c>
      <c r="X2581" t="s">
        <v>79</v>
      </c>
      <c r="Y2581" t="s">
        <v>103</v>
      </c>
    </row>
    <row r="2582" spans="1:25">
      <c r="A2582" t="s">
        <v>25</v>
      </c>
      <c r="B2582" t="s">
        <v>26</v>
      </c>
      <c r="C2582" t="s">
        <v>221</v>
      </c>
      <c r="D2582" s="1">
        <v>46095</v>
      </c>
      <c r="E2582" s="2">
        <v>0.66666666666666663</v>
      </c>
      <c r="F2582" t="s">
        <v>63</v>
      </c>
      <c r="G2582" t="s">
        <v>39</v>
      </c>
      <c r="H2582">
        <v>2</v>
      </c>
      <c r="I2582">
        <v>0</v>
      </c>
      <c r="J2582" t="s">
        <v>34</v>
      </c>
      <c r="N2582">
        <v>271</v>
      </c>
      <c r="O2582">
        <v>32</v>
      </c>
      <c r="P2582">
        <v>275</v>
      </c>
      <c r="Q2582">
        <v>263</v>
      </c>
      <c r="R2582">
        <v>311</v>
      </c>
      <c r="S2582">
        <v>261</v>
      </c>
      <c r="T2582" t="s">
        <v>207</v>
      </c>
      <c r="U2582" t="s">
        <v>86</v>
      </c>
      <c r="V2582" t="s">
        <v>205</v>
      </c>
      <c r="W2582" t="s">
        <v>247</v>
      </c>
      <c r="X2582" t="s">
        <v>126</v>
      </c>
      <c r="Y2582" t="s">
        <v>247</v>
      </c>
    </row>
    <row r="2583" spans="1:25">
      <c r="A2583" t="s">
        <v>25</v>
      </c>
      <c r="B2583" t="s">
        <v>26</v>
      </c>
      <c r="C2583" t="s">
        <v>221</v>
      </c>
      <c r="D2583" s="1">
        <v>46095</v>
      </c>
      <c r="E2583" s="2">
        <v>0.66666666666666663</v>
      </c>
      <c r="F2583" t="s">
        <v>38</v>
      </c>
      <c r="G2583" t="s">
        <v>54</v>
      </c>
      <c r="H2583">
        <v>2</v>
      </c>
      <c r="I2583">
        <v>1</v>
      </c>
      <c r="J2583" t="s">
        <v>34</v>
      </c>
      <c r="N2583">
        <v>2</v>
      </c>
      <c r="O2583">
        <v>34</v>
      </c>
      <c r="P2583">
        <v>41</v>
      </c>
      <c r="Q2583">
        <v>194</v>
      </c>
      <c r="R2583">
        <v>328</v>
      </c>
      <c r="S2583">
        <v>382</v>
      </c>
      <c r="T2583" t="s">
        <v>123</v>
      </c>
      <c r="U2583" t="s">
        <v>167</v>
      </c>
      <c r="V2583" t="s">
        <v>75</v>
      </c>
      <c r="W2583" t="s">
        <v>73</v>
      </c>
      <c r="X2583" t="s">
        <v>144</v>
      </c>
      <c r="Y2583" t="s">
        <v>129</v>
      </c>
    </row>
    <row r="2584" spans="1:25">
      <c r="A2584" t="s">
        <v>25</v>
      </c>
      <c r="B2584" t="s">
        <v>26</v>
      </c>
      <c r="C2584" t="s">
        <v>221</v>
      </c>
      <c r="D2584" s="1">
        <v>46096</v>
      </c>
      <c r="E2584" s="2">
        <v>0.5625</v>
      </c>
      <c r="F2584" t="s">
        <v>29</v>
      </c>
      <c r="G2584" t="s">
        <v>35</v>
      </c>
      <c r="H2584">
        <v>0</v>
      </c>
      <c r="I2584">
        <v>1</v>
      </c>
      <c r="J2584" t="s">
        <v>30</v>
      </c>
      <c r="N2584">
        <v>173</v>
      </c>
      <c r="O2584">
        <v>39</v>
      </c>
      <c r="P2584">
        <v>475</v>
      </c>
      <c r="Q2584">
        <v>167</v>
      </c>
      <c r="R2584">
        <v>374</v>
      </c>
      <c r="S2584">
        <v>458</v>
      </c>
      <c r="T2584" t="s">
        <v>209</v>
      </c>
      <c r="U2584" t="s">
        <v>129</v>
      </c>
      <c r="V2584" t="s">
        <v>89</v>
      </c>
      <c r="W2584" t="s">
        <v>216</v>
      </c>
      <c r="X2584" t="s">
        <v>92</v>
      </c>
      <c r="Y2584" t="s">
        <v>156</v>
      </c>
    </row>
    <row r="2585" spans="1:25">
      <c r="A2585" t="s">
        <v>25</v>
      </c>
      <c r="B2585" t="s">
        <v>26</v>
      </c>
      <c r="C2585" t="s">
        <v>221</v>
      </c>
      <c r="D2585" s="1">
        <v>46096</v>
      </c>
      <c r="E2585" s="2">
        <v>0.66666666666666663</v>
      </c>
      <c r="F2585" t="s">
        <v>40</v>
      </c>
      <c r="G2585" t="s">
        <v>28</v>
      </c>
      <c r="H2585">
        <v>2</v>
      </c>
      <c r="I2585">
        <v>5</v>
      </c>
      <c r="J2585" t="s">
        <v>30</v>
      </c>
      <c r="N2585">
        <v>263</v>
      </c>
      <c r="O2585">
        <v>32</v>
      </c>
      <c r="P2585">
        <v>29</v>
      </c>
      <c r="Q2585">
        <v>251</v>
      </c>
      <c r="R2585">
        <v>31</v>
      </c>
      <c r="S2585">
        <v>276</v>
      </c>
      <c r="T2585" t="s">
        <v>250</v>
      </c>
      <c r="U2585" t="s">
        <v>103</v>
      </c>
      <c r="V2585" t="s">
        <v>79</v>
      </c>
      <c r="W2585" t="s">
        <v>248</v>
      </c>
      <c r="X2585" t="s">
        <v>126</v>
      </c>
      <c r="Y2585" t="s">
        <v>199</v>
      </c>
    </row>
    <row r="2586" spans="1:25">
      <c r="A2586" t="s">
        <v>25</v>
      </c>
      <c r="B2586" t="s">
        <v>26</v>
      </c>
      <c r="C2586" t="s">
        <v>221</v>
      </c>
      <c r="D2586" s="1">
        <v>46101</v>
      </c>
      <c r="E2586" s="2">
        <v>0.77083333333333337</v>
      </c>
      <c r="F2586" t="s">
        <v>28</v>
      </c>
      <c r="G2586" t="s">
        <v>29</v>
      </c>
      <c r="H2586">
        <v>1</v>
      </c>
      <c r="I2586">
        <v>1</v>
      </c>
      <c r="J2586" t="s">
        <v>41</v>
      </c>
      <c r="N2586">
        <v>366</v>
      </c>
      <c r="O2586">
        <v>365</v>
      </c>
      <c r="P2586">
        <v>21</v>
      </c>
      <c r="Q2586">
        <v>337</v>
      </c>
      <c r="R2586">
        <v>35</v>
      </c>
      <c r="S2586">
        <v>2</v>
      </c>
      <c r="T2586" t="s">
        <v>71</v>
      </c>
      <c r="U2586" t="s">
        <v>77</v>
      </c>
      <c r="V2586" t="s">
        <v>99</v>
      </c>
      <c r="W2586" t="s">
        <v>70</v>
      </c>
      <c r="X2586" t="s">
        <v>68</v>
      </c>
      <c r="Y2586" t="s">
        <v>175</v>
      </c>
    </row>
    <row r="2587" spans="1:25">
      <c r="A2587" t="s">
        <v>25</v>
      </c>
      <c r="B2587" t="s">
        <v>26</v>
      </c>
      <c r="C2587" t="s">
        <v>221</v>
      </c>
      <c r="D2587" s="1">
        <v>46102</v>
      </c>
      <c r="E2587" s="2">
        <v>0.66666666666666663</v>
      </c>
      <c r="F2587" t="s">
        <v>61</v>
      </c>
      <c r="G2587" t="s">
        <v>38</v>
      </c>
      <c r="H2587">
        <v>3</v>
      </c>
      <c r="I2587">
        <v>2</v>
      </c>
      <c r="J2587" t="s">
        <v>34</v>
      </c>
      <c r="N2587">
        <v>24</v>
      </c>
      <c r="O2587">
        <v>325</v>
      </c>
      <c r="P2587">
        <v>31</v>
      </c>
      <c r="Q2587">
        <v>236</v>
      </c>
      <c r="R2587">
        <v>313</v>
      </c>
      <c r="S2587">
        <v>295</v>
      </c>
      <c r="T2587" t="s">
        <v>181</v>
      </c>
      <c r="U2587" t="s">
        <v>86</v>
      </c>
      <c r="V2587" t="s">
        <v>86</v>
      </c>
      <c r="W2587" t="s">
        <v>241</v>
      </c>
      <c r="X2587" t="s">
        <v>103</v>
      </c>
      <c r="Y2587" t="s">
        <v>79</v>
      </c>
    </row>
    <row r="2588" spans="1:25">
      <c r="A2588" t="s">
        <v>25</v>
      </c>
      <c r="B2588" t="s">
        <v>26</v>
      </c>
      <c r="C2588" t="s">
        <v>221</v>
      </c>
      <c r="D2588" s="1">
        <v>46102</v>
      </c>
      <c r="E2588" s="2">
        <v>0.66666666666666663</v>
      </c>
      <c r="F2588" t="s">
        <v>54</v>
      </c>
      <c r="G2588" t="s">
        <v>63</v>
      </c>
      <c r="H2588">
        <v>1</v>
      </c>
      <c r="I2588">
        <v>5</v>
      </c>
      <c r="J2588" t="s">
        <v>30</v>
      </c>
      <c r="N2588">
        <v>255</v>
      </c>
      <c r="O2588">
        <v>315</v>
      </c>
      <c r="P2588">
        <v>31</v>
      </c>
      <c r="Q2588">
        <v>243</v>
      </c>
      <c r="R2588">
        <v>308</v>
      </c>
      <c r="S2588">
        <v>29</v>
      </c>
      <c r="T2588" t="s">
        <v>118</v>
      </c>
      <c r="U2588" t="s">
        <v>126</v>
      </c>
      <c r="V2588" t="s">
        <v>110</v>
      </c>
      <c r="W2588" t="s">
        <v>109</v>
      </c>
      <c r="X2588" t="s">
        <v>79</v>
      </c>
      <c r="Y2588" t="s">
        <v>126</v>
      </c>
    </row>
    <row r="2589" spans="1:25">
      <c r="A2589" t="s">
        <v>25</v>
      </c>
      <c r="B2589" t="s">
        <v>26</v>
      </c>
      <c r="C2589" t="s">
        <v>221</v>
      </c>
      <c r="D2589" s="1">
        <v>46102</v>
      </c>
      <c r="E2589" s="2">
        <v>0.66666666666666663</v>
      </c>
      <c r="F2589" t="s">
        <v>39</v>
      </c>
      <c r="G2589" t="s">
        <v>45</v>
      </c>
      <c r="H2589">
        <v>1</v>
      </c>
      <c r="I2589">
        <v>1</v>
      </c>
      <c r="J2589" t="s">
        <v>41</v>
      </c>
      <c r="N2589">
        <v>228</v>
      </c>
      <c r="O2589">
        <v>33</v>
      </c>
      <c r="P2589">
        <v>33</v>
      </c>
      <c r="Q2589">
        <v>221</v>
      </c>
      <c r="R2589">
        <v>317</v>
      </c>
      <c r="S2589">
        <v>318</v>
      </c>
      <c r="T2589" t="s">
        <v>142</v>
      </c>
      <c r="U2589" t="s">
        <v>143</v>
      </c>
      <c r="V2589" t="s">
        <v>70</v>
      </c>
      <c r="W2589" t="s">
        <v>239</v>
      </c>
      <c r="X2589" t="s">
        <v>103</v>
      </c>
      <c r="Y2589" t="s">
        <v>143</v>
      </c>
    </row>
    <row r="2590" spans="1:25">
      <c r="A2590" t="s">
        <v>25</v>
      </c>
      <c r="B2590" t="s">
        <v>26</v>
      </c>
      <c r="C2590" t="s">
        <v>221</v>
      </c>
      <c r="D2590" s="1">
        <v>46103</v>
      </c>
      <c r="E2590" s="2">
        <v>0.5625</v>
      </c>
      <c r="F2590" t="s">
        <v>52</v>
      </c>
      <c r="G2590" t="s">
        <v>40</v>
      </c>
      <c r="H2590">
        <v>0</v>
      </c>
      <c r="I2590">
        <v>1</v>
      </c>
      <c r="J2590" t="s">
        <v>30</v>
      </c>
      <c r="N2590">
        <v>33</v>
      </c>
      <c r="O2590">
        <v>33</v>
      </c>
      <c r="P2590">
        <v>225</v>
      </c>
      <c r="Q2590">
        <v>318</v>
      </c>
      <c r="R2590">
        <v>32</v>
      </c>
      <c r="S2590">
        <v>22</v>
      </c>
      <c r="T2590" t="s">
        <v>70</v>
      </c>
      <c r="U2590" t="s">
        <v>86</v>
      </c>
      <c r="V2590" t="s">
        <v>109</v>
      </c>
      <c r="W2590" t="s">
        <v>143</v>
      </c>
      <c r="X2590" t="s">
        <v>103</v>
      </c>
      <c r="Y2590" t="s">
        <v>91</v>
      </c>
    </row>
    <row r="2591" spans="1:25">
      <c r="A2591" t="s">
        <v>25</v>
      </c>
      <c r="B2591" t="s">
        <v>26</v>
      </c>
      <c r="C2591" t="s">
        <v>221</v>
      </c>
      <c r="D2591" s="1">
        <v>46103</v>
      </c>
      <c r="E2591" s="2">
        <v>0.66666666666666663</v>
      </c>
      <c r="F2591" t="s">
        <v>35</v>
      </c>
      <c r="G2591" t="s">
        <v>50</v>
      </c>
      <c r="H2591">
        <v>4</v>
      </c>
      <c r="I2591">
        <v>2</v>
      </c>
      <c r="J2591" t="s">
        <v>34</v>
      </c>
      <c r="N2591">
        <v>3</v>
      </c>
      <c r="O2591">
        <v>34</v>
      </c>
      <c r="P2591">
        <v>266</v>
      </c>
      <c r="Q2591">
        <v>275</v>
      </c>
      <c r="R2591">
        <v>311</v>
      </c>
      <c r="S2591">
        <v>251</v>
      </c>
      <c r="T2591" t="s">
        <v>243</v>
      </c>
      <c r="U2591" t="s">
        <v>143</v>
      </c>
      <c r="V2591" t="s">
        <v>118</v>
      </c>
      <c r="W2591" t="s">
        <v>79</v>
      </c>
      <c r="X2591" t="s">
        <v>246</v>
      </c>
      <c r="Y2591" t="s">
        <v>229</v>
      </c>
    </row>
    <row r="2592" spans="1:25">
      <c r="A2592" t="s">
        <v>25</v>
      </c>
      <c r="B2592" t="s">
        <v>26</v>
      </c>
      <c r="C2592" t="s">
        <v>221</v>
      </c>
      <c r="D2592" s="1">
        <v>46115</v>
      </c>
      <c r="E2592" s="2">
        <v>0.77083333333333337</v>
      </c>
      <c r="F2592" t="s">
        <v>38</v>
      </c>
      <c r="G2592" t="s">
        <v>45</v>
      </c>
      <c r="H2592">
        <v>3</v>
      </c>
      <c r="I2592">
        <v>2</v>
      </c>
      <c r="J2592" t="s">
        <v>34</v>
      </c>
      <c r="N2592">
        <v>22</v>
      </c>
      <c r="O2592">
        <v>325</v>
      </c>
      <c r="P2592">
        <v>375</v>
      </c>
      <c r="Q2592">
        <v>213</v>
      </c>
      <c r="R2592">
        <v>308</v>
      </c>
      <c r="S2592">
        <v>343</v>
      </c>
      <c r="T2592" t="s">
        <v>186</v>
      </c>
      <c r="U2592" t="s">
        <v>103</v>
      </c>
      <c r="V2592" t="s">
        <v>125</v>
      </c>
      <c r="W2592" t="s">
        <v>99</v>
      </c>
      <c r="X2592" t="s">
        <v>103</v>
      </c>
      <c r="Y2592" t="s">
        <v>70</v>
      </c>
    </row>
    <row r="2593" spans="1:25">
      <c r="A2593" t="s">
        <v>25</v>
      </c>
      <c r="B2593" t="s">
        <v>26</v>
      </c>
      <c r="C2593" t="s">
        <v>221</v>
      </c>
      <c r="D2593" s="1">
        <v>46116</v>
      </c>
      <c r="E2593" s="2">
        <v>0.66666666666666663</v>
      </c>
      <c r="F2593" t="s">
        <v>63</v>
      </c>
      <c r="G2593" t="s">
        <v>61</v>
      </c>
      <c r="H2593">
        <v>2</v>
      </c>
      <c r="I2593">
        <v>1</v>
      </c>
      <c r="J2593" t="s">
        <v>34</v>
      </c>
      <c r="N2593">
        <v>235</v>
      </c>
      <c r="O2593">
        <v>325</v>
      </c>
      <c r="P2593">
        <v>35</v>
      </c>
      <c r="Q2593">
        <v>229</v>
      </c>
      <c r="R2593">
        <v>303</v>
      </c>
      <c r="S2593">
        <v>314</v>
      </c>
      <c r="T2593" t="s">
        <v>102</v>
      </c>
      <c r="U2593" t="s">
        <v>110</v>
      </c>
      <c r="V2593" t="s">
        <v>80</v>
      </c>
      <c r="W2593" t="s">
        <v>251</v>
      </c>
      <c r="X2593" t="s">
        <v>79</v>
      </c>
      <c r="Y2593" t="s">
        <v>144</v>
      </c>
    </row>
    <row r="2594" spans="1:25">
      <c r="A2594" t="s">
        <v>25</v>
      </c>
      <c r="B2594" t="s">
        <v>26</v>
      </c>
      <c r="C2594" t="s">
        <v>221</v>
      </c>
      <c r="D2594" s="1">
        <v>46116</v>
      </c>
      <c r="E2594" s="2">
        <v>0.66666666666666663</v>
      </c>
      <c r="F2594" t="s">
        <v>54</v>
      </c>
      <c r="G2594" t="s">
        <v>39</v>
      </c>
      <c r="H2594">
        <v>3</v>
      </c>
      <c r="I2594">
        <v>1</v>
      </c>
      <c r="J2594" t="s">
        <v>34</v>
      </c>
      <c r="N2594">
        <v>28</v>
      </c>
      <c r="O2594">
        <v>35</v>
      </c>
      <c r="P2594">
        <v>26</v>
      </c>
      <c r="Q2594">
        <v>265</v>
      </c>
      <c r="R2594">
        <v>333</v>
      </c>
      <c r="S2594">
        <v>243</v>
      </c>
      <c r="T2594" t="s">
        <v>78</v>
      </c>
      <c r="U2594" t="s">
        <v>70</v>
      </c>
      <c r="V2594" t="s">
        <v>158</v>
      </c>
      <c r="W2594" t="s">
        <v>248</v>
      </c>
      <c r="X2594" t="s">
        <v>144</v>
      </c>
      <c r="Y2594" t="s">
        <v>128</v>
      </c>
    </row>
    <row r="2595" spans="1:25">
      <c r="A2595" t="s">
        <v>25</v>
      </c>
      <c r="B2595" t="s">
        <v>26</v>
      </c>
      <c r="C2595" t="s">
        <v>221</v>
      </c>
      <c r="D2595" s="1">
        <v>46117</v>
      </c>
      <c r="E2595" s="2">
        <v>0.5625</v>
      </c>
      <c r="F2595" t="s">
        <v>52</v>
      </c>
      <c r="G2595" t="s">
        <v>29</v>
      </c>
      <c r="H2595">
        <v>1</v>
      </c>
      <c r="I2595">
        <v>2</v>
      </c>
      <c r="J2595" t="s">
        <v>30</v>
      </c>
      <c r="N2595">
        <v>633</v>
      </c>
      <c r="O2595">
        <v>433</v>
      </c>
      <c r="P2595">
        <v>16</v>
      </c>
      <c r="Q2595">
        <v>522</v>
      </c>
      <c r="R2595">
        <v>401</v>
      </c>
      <c r="S2595">
        <v>154</v>
      </c>
      <c r="T2595" t="s">
        <v>131</v>
      </c>
      <c r="U2595" t="s">
        <v>100</v>
      </c>
      <c r="V2595" t="s">
        <v>94</v>
      </c>
      <c r="W2595" t="s">
        <v>107</v>
      </c>
      <c r="X2595" t="s">
        <v>116</v>
      </c>
      <c r="Y2595" t="s">
        <v>182</v>
      </c>
    </row>
    <row r="2596" spans="1:25">
      <c r="A2596" t="s">
        <v>25</v>
      </c>
      <c r="B2596" t="s">
        <v>26</v>
      </c>
      <c r="C2596" t="s">
        <v>221</v>
      </c>
      <c r="D2596" s="1">
        <v>46117</v>
      </c>
      <c r="E2596" s="2">
        <v>0.5625</v>
      </c>
      <c r="F2596" t="s">
        <v>50</v>
      </c>
      <c r="G2596" t="s">
        <v>40</v>
      </c>
      <c r="H2596">
        <v>4</v>
      </c>
      <c r="I2596">
        <v>1</v>
      </c>
      <c r="J2596" t="s">
        <v>34</v>
      </c>
      <c r="N2596">
        <v>212</v>
      </c>
      <c r="O2596">
        <v>35</v>
      </c>
      <c r="P2596">
        <v>36</v>
      </c>
      <c r="Q2596">
        <v>204</v>
      </c>
      <c r="R2596">
        <v>334</v>
      </c>
      <c r="S2596">
        <v>336</v>
      </c>
      <c r="T2596" t="s">
        <v>136</v>
      </c>
      <c r="U2596" t="s">
        <v>80</v>
      </c>
      <c r="V2596" t="s">
        <v>71</v>
      </c>
      <c r="W2596" t="s">
        <v>242</v>
      </c>
      <c r="X2596" t="s">
        <v>70</v>
      </c>
      <c r="Y2596" t="s">
        <v>70</v>
      </c>
    </row>
    <row r="2597" spans="1:25">
      <c r="A2597" t="s">
        <v>25</v>
      </c>
      <c r="B2597" t="s">
        <v>26</v>
      </c>
      <c r="C2597" t="s">
        <v>221</v>
      </c>
      <c r="D2597" s="1">
        <v>46117</v>
      </c>
      <c r="E2597" s="2">
        <v>0.66666666666666663</v>
      </c>
      <c r="F2597" t="s">
        <v>35</v>
      </c>
      <c r="G2597" t="s">
        <v>28</v>
      </c>
      <c r="H2597">
        <v>0</v>
      </c>
      <c r="I2597">
        <v>2</v>
      </c>
      <c r="J2597" t="s">
        <v>30</v>
      </c>
      <c r="N2597">
        <v>208</v>
      </c>
      <c r="O2597">
        <v>35</v>
      </c>
      <c r="P2597">
        <v>4</v>
      </c>
      <c r="Q2597">
        <v>199</v>
      </c>
      <c r="R2597">
        <v>33</v>
      </c>
      <c r="S2597">
        <v>353</v>
      </c>
      <c r="T2597" t="s">
        <v>212</v>
      </c>
      <c r="U2597" t="s">
        <v>80</v>
      </c>
      <c r="V2597" t="s">
        <v>74</v>
      </c>
      <c r="W2597" t="s">
        <v>117</v>
      </c>
      <c r="X2597" t="s">
        <v>144</v>
      </c>
      <c r="Y2597" t="s">
        <v>129</v>
      </c>
    </row>
    <row r="2598" spans="1:25">
      <c r="A2598" t="s">
        <v>25</v>
      </c>
      <c r="B2598" t="s">
        <v>26</v>
      </c>
      <c r="C2598" t="s">
        <v>221</v>
      </c>
      <c r="D2598" s="1">
        <v>46122</v>
      </c>
      <c r="E2598" s="2">
        <v>0.77083333333333337</v>
      </c>
      <c r="F2598" t="s">
        <v>29</v>
      </c>
      <c r="G2598" t="s">
        <v>50</v>
      </c>
      <c r="H2598">
        <v>2</v>
      </c>
      <c r="I2598">
        <v>3</v>
      </c>
      <c r="J2598" t="s">
        <v>30</v>
      </c>
      <c r="N2598">
        <v>187</v>
      </c>
      <c r="O2598">
        <v>39</v>
      </c>
      <c r="P2598">
        <v>4</v>
      </c>
      <c r="Q2598">
        <v>183</v>
      </c>
      <c r="R2598">
        <v>378</v>
      </c>
      <c r="S2598">
        <v>37</v>
      </c>
      <c r="T2598" t="s">
        <v>192</v>
      </c>
      <c r="U2598" t="s">
        <v>83</v>
      </c>
      <c r="V2598" t="s">
        <v>83</v>
      </c>
      <c r="W2598" t="s">
        <v>171</v>
      </c>
      <c r="X2598" t="s">
        <v>116</v>
      </c>
      <c r="Y2598" t="s">
        <v>71</v>
      </c>
    </row>
    <row r="2599" spans="1:25">
      <c r="A2599" t="s">
        <v>25</v>
      </c>
      <c r="B2599" t="s">
        <v>26</v>
      </c>
      <c r="C2599" t="s">
        <v>221</v>
      </c>
      <c r="D2599" s="1">
        <v>46123</v>
      </c>
      <c r="E2599" s="2">
        <v>0.66666666666666663</v>
      </c>
      <c r="F2599" t="s">
        <v>45</v>
      </c>
      <c r="G2599" t="s">
        <v>63</v>
      </c>
      <c r="H2599">
        <v>1</v>
      </c>
      <c r="I2599">
        <v>0</v>
      </c>
      <c r="J2599" t="s">
        <v>34</v>
      </c>
      <c r="N2599">
        <v>28</v>
      </c>
      <c r="O2599">
        <v>3</v>
      </c>
      <c r="P2599">
        <v>3</v>
      </c>
      <c r="Q2599">
        <v>266</v>
      </c>
      <c r="R2599">
        <v>297</v>
      </c>
      <c r="S2599">
        <v>269</v>
      </c>
      <c r="T2599" t="s">
        <v>243</v>
      </c>
      <c r="U2599" t="s">
        <v>79</v>
      </c>
      <c r="V2599" t="s">
        <v>133</v>
      </c>
      <c r="W2599" t="s">
        <v>199</v>
      </c>
      <c r="X2599" t="s">
        <v>79</v>
      </c>
      <c r="Y2599" t="s">
        <v>199</v>
      </c>
    </row>
    <row r="2600" spans="1:25">
      <c r="A2600" t="s">
        <v>25</v>
      </c>
      <c r="B2600" t="s">
        <v>26</v>
      </c>
      <c r="C2600" t="s">
        <v>221</v>
      </c>
      <c r="D2600" s="1">
        <v>46123</v>
      </c>
      <c r="E2600" s="2">
        <v>0.66666666666666663</v>
      </c>
      <c r="F2600" t="s">
        <v>39</v>
      </c>
      <c r="G2600" t="s">
        <v>38</v>
      </c>
      <c r="H2600">
        <v>0</v>
      </c>
      <c r="I2600">
        <v>0</v>
      </c>
      <c r="J2600" t="s">
        <v>41</v>
      </c>
      <c r="N2600">
        <v>263</v>
      </c>
      <c r="O2600">
        <v>35</v>
      </c>
      <c r="P2600">
        <v>27</v>
      </c>
      <c r="Q2600">
        <v>25</v>
      </c>
      <c r="R2600">
        <v>338</v>
      </c>
      <c r="S2600">
        <v>257</v>
      </c>
      <c r="T2600" t="s">
        <v>250</v>
      </c>
      <c r="U2600" t="s">
        <v>80</v>
      </c>
      <c r="V2600" t="s">
        <v>224</v>
      </c>
      <c r="W2600" t="s">
        <v>257</v>
      </c>
      <c r="X2600" t="s">
        <v>103</v>
      </c>
      <c r="Y2600" t="s">
        <v>109</v>
      </c>
    </row>
    <row r="2601" spans="1:25">
      <c r="A2601" t="s">
        <v>25</v>
      </c>
      <c r="B2601" t="s">
        <v>26</v>
      </c>
      <c r="C2601" t="s">
        <v>221</v>
      </c>
      <c r="D2601" s="1">
        <v>46123</v>
      </c>
      <c r="E2601" s="2">
        <v>0.77083333333333337</v>
      </c>
      <c r="F2601" t="s">
        <v>61</v>
      </c>
      <c r="G2601" t="s">
        <v>54</v>
      </c>
      <c r="H2601">
        <v>5</v>
      </c>
      <c r="I2601">
        <v>0</v>
      </c>
      <c r="J2601" t="s">
        <v>34</v>
      </c>
      <c r="N2601">
        <v>23</v>
      </c>
      <c r="O2601">
        <v>36</v>
      </c>
      <c r="P2601">
        <v>31</v>
      </c>
      <c r="Q2601">
        <v>223</v>
      </c>
      <c r="R2601">
        <v>333</v>
      </c>
      <c r="S2601">
        <v>3</v>
      </c>
      <c r="T2601" t="s">
        <v>85</v>
      </c>
      <c r="U2601" t="s">
        <v>167</v>
      </c>
      <c r="V2601" t="s">
        <v>143</v>
      </c>
      <c r="W2601" t="s">
        <v>251</v>
      </c>
      <c r="X2601" t="s">
        <v>144</v>
      </c>
      <c r="Y2601" t="s">
        <v>79</v>
      </c>
    </row>
    <row r="2602" spans="1:25">
      <c r="A2602" t="s">
        <v>25</v>
      </c>
      <c r="B2602" t="s">
        <v>26</v>
      </c>
      <c r="C2602" t="s">
        <v>221</v>
      </c>
      <c r="D2602" s="1">
        <v>46124</v>
      </c>
      <c r="E2602" s="2">
        <v>0.5625</v>
      </c>
      <c r="F2602" t="s">
        <v>28</v>
      </c>
      <c r="G2602" t="s">
        <v>52</v>
      </c>
      <c r="H2602">
        <v>0</v>
      </c>
      <c r="I2602">
        <v>0</v>
      </c>
      <c r="J2602" t="s">
        <v>41</v>
      </c>
      <c r="N2602">
        <v>173</v>
      </c>
      <c r="O2602">
        <v>433</v>
      </c>
      <c r="P2602">
        <v>55</v>
      </c>
      <c r="Q2602">
        <v>161</v>
      </c>
      <c r="R2602">
        <v>388</v>
      </c>
      <c r="S2602">
        <v>491</v>
      </c>
      <c r="T2602" t="s">
        <v>216</v>
      </c>
      <c r="U2602" t="s">
        <v>75</v>
      </c>
      <c r="V2602" t="s">
        <v>121</v>
      </c>
      <c r="W2602" t="s">
        <v>111</v>
      </c>
      <c r="X2602" t="s">
        <v>230</v>
      </c>
      <c r="Y2602" t="s">
        <v>150</v>
      </c>
    </row>
    <row r="2603" spans="1:25">
      <c r="A2603" t="s">
        <v>25</v>
      </c>
      <c r="B2603" t="s">
        <v>26</v>
      </c>
      <c r="C2603" t="s">
        <v>221</v>
      </c>
      <c r="D2603" s="1">
        <v>46124</v>
      </c>
      <c r="E2603" s="2">
        <v>0.66666666666666663</v>
      </c>
      <c r="F2603" t="s">
        <v>40</v>
      </c>
      <c r="G2603" t="s">
        <v>35</v>
      </c>
      <c r="H2603">
        <v>1</v>
      </c>
      <c r="I2603">
        <v>1</v>
      </c>
      <c r="J2603" t="s">
        <v>41</v>
      </c>
      <c r="N2603">
        <v>275</v>
      </c>
      <c r="O2603">
        <v>32</v>
      </c>
      <c r="P2603">
        <v>288</v>
      </c>
      <c r="Q2603">
        <v>26</v>
      </c>
      <c r="R2603">
        <v>302</v>
      </c>
      <c r="S2603">
        <v>272</v>
      </c>
      <c r="T2603" t="s">
        <v>210</v>
      </c>
      <c r="U2603" t="s">
        <v>163</v>
      </c>
      <c r="V2603" t="s">
        <v>254</v>
      </c>
      <c r="W2603" t="s">
        <v>247</v>
      </c>
      <c r="X2603" t="s">
        <v>126</v>
      </c>
      <c r="Y2603" t="s">
        <v>247</v>
      </c>
    </row>
    <row r="2604" spans="1:25">
      <c r="A2604" t="s">
        <v>25</v>
      </c>
      <c r="B2604" t="s">
        <v>26</v>
      </c>
      <c r="C2604" t="s">
        <v>221</v>
      </c>
      <c r="D2604" s="1">
        <v>46129</v>
      </c>
      <c r="E2604" s="2">
        <v>0.77083333333333337</v>
      </c>
      <c r="F2604" t="s">
        <v>63</v>
      </c>
      <c r="G2604" t="s">
        <v>38</v>
      </c>
      <c r="H2604">
        <v>1</v>
      </c>
      <c r="I2604">
        <v>1</v>
      </c>
      <c r="J2604" t="s">
        <v>41</v>
      </c>
      <c r="N2604">
        <v>26</v>
      </c>
      <c r="O2604">
        <v>315</v>
      </c>
      <c r="P2604">
        <v>31</v>
      </c>
      <c r="Q2604">
        <v>249</v>
      </c>
      <c r="R2604">
        <v>298</v>
      </c>
      <c r="S2604">
        <v>284</v>
      </c>
      <c r="T2604" t="s">
        <v>31</v>
      </c>
      <c r="U2604" t="s">
        <v>31</v>
      </c>
      <c r="V2604" t="s">
        <v>31</v>
      </c>
      <c r="W2604" t="s">
        <v>229</v>
      </c>
      <c r="X2604" t="s">
        <v>246</v>
      </c>
      <c r="Y2604" t="s">
        <v>246</v>
      </c>
    </row>
    <row r="2605" spans="1:25">
      <c r="A2605" t="s">
        <v>25</v>
      </c>
      <c r="B2605" t="s">
        <v>26</v>
      </c>
      <c r="C2605" t="s">
        <v>221</v>
      </c>
      <c r="D2605" s="1">
        <v>46130</v>
      </c>
      <c r="E2605" s="2">
        <v>0.66666666666666663</v>
      </c>
      <c r="F2605" t="s">
        <v>54</v>
      </c>
      <c r="G2605" t="s">
        <v>45</v>
      </c>
      <c r="H2605">
        <v>2</v>
      </c>
      <c r="I2605">
        <v>2</v>
      </c>
      <c r="J2605" t="s">
        <v>41</v>
      </c>
      <c r="N2605">
        <v>28</v>
      </c>
      <c r="O2605">
        <v>315</v>
      </c>
      <c r="P2605">
        <v>266</v>
      </c>
      <c r="Q2605">
        <v>267</v>
      </c>
      <c r="R2605">
        <v>304</v>
      </c>
      <c r="S2605">
        <v>258</v>
      </c>
      <c r="T2605" t="s">
        <v>31</v>
      </c>
      <c r="U2605" t="s">
        <v>31</v>
      </c>
      <c r="V2605" t="s">
        <v>31</v>
      </c>
      <c r="W2605" t="s">
        <v>248</v>
      </c>
      <c r="X2605" t="s">
        <v>79</v>
      </c>
      <c r="Y2605" t="s">
        <v>257</v>
      </c>
    </row>
    <row r="2606" spans="1:25">
      <c r="A2606" t="s">
        <v>25</v>
      </c>
      <c r="B2606" t="s">
        <v>26</v>
      </c>
      <c r="C2606" t="s">
        <v>221</v>
      </c>
      <c r="D2606" s="1">
        <v>46130</v>
      </c>
      <c r="E2606" s="2">
        <v>0.66666666666666663</v>
      </c>
      <c r="F2606" t="s">
        <v>39</v>
      </c>
      <c r="G2606" t="s">
        <v>61</v>
      </c>
      <c r="H2606">
        <v>0</v>
      </c>
      <c r="I2606">
        <v>0</v>
      </c>
      <c r="J2606" t="s">
        <v>41</v>
      </c>
      <c r="N2606">
        <v>27</v>
      </c>
      <c r="O2606">
        <v>35</v>
      </c>
      <c r="P2606">
        <v>263</v>
      </c>
      <c r="Q2606">
        <v>256</v>
      </c>
      <c r="R2606">
        <v>33</v>
      </c>
      <c r="S2606">
        <v>252</v>
      </c>
      <c r="T2606" t="s">
        <v>31</v>
      </c>
      <c r="U2606" t="s">
        <v>31</v>
      </c>
      <c r="V2606" t="s">
        <v>31</v>
      </c>
      <c r="W2606" t="s">
        <v>247</v>
      </c>
      <c r="X2606" t="s">
        <v>143</v>
      </c>
      <c r="Y2606" t="s">
        <v>128</v>
      </c>
    </row>
    <row r="2607" spans="1:25">
      <c r="A2607" t="s">
        <v>25</v>
      </c>
      <c r="B2607" t="s">
        <v>26</v>
      </c>
      <c r="C2607" t="s">
        <v>221</v>
      </c>
      <c r="D2607" s="1">
        <v>46131</v>
      </c>
      <c r="E2607" s="2">
        <v>0.5625</v>
      </c>
      <c r="F2607" t="s">
        <v>40</v>
      </c>
      <c r="G2607" t="s">
        <v>29</v>
      </c>
      <c r="H2607">
        <v>1</v>
      </c>
      <c r="I2607">
        <v>3</v>
      </c>
      <c r="J2607" t="s">
        <v>30</v>
      </c>
      <c r="N2607">
        <v>38</v>
      </c>
      <c r="O2607">
        <v>38</v>
      </c>
      <c r="P2607">
        <v>202</v>
      </c>
      <c r="Q2607">
        <v>354</v>
      </c>
      <c r="R2607">
        <v>361</v>
      </c>
      <c r="S2607">
        <v>189</v>
      </c>
      <c r="T2607" t="s">
        <v>31</v>
      </c>
      <c r="U2607" t="s">
        <v>31</v>
      </c>
      <c r="V2607" t="s">
        <v>31</v>
      </c>
      <c r="W2607" t="s">
        <v>71</v>
      </c>
      <c r="X2607" t="s">
        <v>71</v>
      </c>
      <c r="Y2607" t="s">
        <v>117</v>
      </c>
    </row>
    <row r="2608" spans="1:25">
      <c r="A2608" t="s">
        <v>25</v>
      </c>
      <c r="B2608" t="s">
        <v>26</v>
      </c>
      <c r="C2608" t="s">
        <v>221</v>
      </c>
      <c r="D2608" s="1">
        <v>46131</v>
      </c>
      <c r="E2608" s="2">
        <v>0.5625</v>
      </c>
      <c r="F2608" t="s">
        <v>52</v>
      </c>
      <c r="G2608" t="s">
        <v>35</v>
      </c>
      <c r="H2608">
        <v>2</v>
      </c>
      <c r="I2608">
        <v>2</v>
      </c>
      <c r="J2608" t="s">
        <v>41</v>
      </c>
      <c r="N2608">
        <v>41</v>
      </c>
      <c r="O2608">
        <v>34</v>
      </c>
      <c r="P2608">
        <v>208</v>
      </c>
      <c r="Q2608">
        <v>365</v>
      </c>
      <c r="R2608">
        <v>327</v>
      </c>
      <c r="S2608">
        <v>197</v>
      </c>
      <c r="T2608" t="s">
        <v>31</v>
      </c>
      <c r="U2608" t="s">
        <v>31</v>
      </c>
      <c r="V2608" t="s">
        <v>31</v>
      </c>
      <c r="W2608" t="s">
        <v>116</v>
      </c>
      <c r="X2608" t="s">
        <v>144</v>
      </c>
      <c r="Y2608" t="s">
        <v>73</v>
      </c>
    </row>
    <row r="2609" spans="1:25">
      <c r="A2609" t="s">
        <v>25</v>
      </c>
      <c r="B2609" t="s">
        <v>26</v>
      </c>
      <c r="C2609" t="s">
        <v>221</v>
      </c>
      <c r="D2609" s="1">
        <v>46131</v>
      </c>
      <c r="E2609" s="2">
        <v>0.66666666666666663</v>
      </c>
      <c r="F2609" t="s">
        <v>50</v>
      </c>
      <c r="G2609" t="s">
        <v>28</v>
      </c>
      <c r="H2609">
        <v>1</v>
      </c>
      <c r="I2609">
        <v>1</v>
      </c>
      <c r="J2609" t="s">
        <v>41</v>
      </c>
      <c r="N2609">
        <v>191</v>
      </c>
      <c r="O2609">
        <v>39</v>
      </c>
      <c r="P2609">
        <v>39</v>
      </c>
      <c r="Q2609">
        <v>185</v>
      </c>
      <c r="R2609">
        <v>367</v>
      </c>
      <c r="S2609">
        <v>367</v>
      </c>
      <c r="T2609" t="s">
        <v>31</v>
      </c>
      <c r="U2609" t="s">
        <v>31</v>
      </c>
      <c r="V2609" t="s">
        <v>31</v>
      </c>
      <c r="W2609" t="s">
        <v>171</v>
      </c>
      <c r="X2609" t="s">
        <v>71</v>
      </c>
      <c r="Y2609" t="s">
        <v>116</v>
      </c>
    </row>
    <row r="2610" spans="1:25">
      <c r="A2610" t="s">
        <v>25</v>
      </c>
      <c r="B2610" t="s">
        <v>26</v>
      </c>
      <c r="C2610" t="s">
        <v>221</v>
      </c>
      <c r="D2610" s="1">
        <v>46133</v>
      </c>
      <c r="E2610" s="2">
        <v>0.72916666666666663</v>
      </c>
      <c r="F2610" t="s">
        <v>45</v>
      </c>
      <c r="G2610" t="s">
        <v>54</v>
      </c>
      <c r="H2610">
        <v>0</v>
      </c>
      <c r="I2610">
        <v>0</v>
      </c>
      <c r="J2610" t="s">
        <v>41</v>
      </c>
      <c r="N2610">
        <v>228</v>
      </c>
      <c r="O2610">
        <v>33</v>
      </c>
      <c r="P2610">
        <v>34</v>
      </c>
      <c r="Q2610">
        <v>222</v>
      </c>
      <c r="R2610">
        <v>312</v>
      </c>
      <c r="S2610">
        <v>317</v>
      </c>
      <c r="T2610" t="s">
        <v>31</v>
      </c>
      <c r="U2610" t="s">
        <v>31</v>
      </c>
      <c r="V2610" t="s">
        <v>31</v>
      </c>
      <c r="W2610" t="s">
        <v>239</v>
      </c>
      <c r="X2610" t="s">
        <v>86</v>
      </c>
      <c r="Y2610" t="s">
        <v>86</v>
      </c>
    </row>
    <row r="2611" spans="1:25">
      <c r="A2611" t="s">
        <v>25</v>
      </c>
      <c r="B2611" t="s">
        <v>26</v>
      </c>
      <c r="C2611" t="s">
        <v>221</v>
      </c>
      <c r="D2611" s="1">
        <v>46133</v>
      </c>
      <c r="E2611" s="2">
        <v>0.72916666666666663</v>
      </c>
      <c r="F2611" t="s">
        <v>61</v>
      </c>
      <c r="G2611" t="s">
        <v>39</v>
      </c>
      <c r="H2611">
        <v>3</v>
      </c>
      <c r="I2611">
        <v>0</v>
      </c>
      <c r="J2611" t="s">
        <v>34</v>
      </c>
      <c r="N2611">
        <v>2</v>
      </c>
      <c r="O2611">
        <v>355</v>
      </c>
      <c r="P2611">
        <v>39</v>
      </c>
      <c r="Q2611">
        <v>194</v>
      </c>
      <c r="R2611">
        <v>338</v>
      </c>
      <c r="S2611">
        <v>361</v>
      </c>
      <c r="T2611" t="s">
        <v>31</v>
      </c>
      <c r="U2611" t="s">
        <v>31</v>
      </c>
      <c r="V2611" t="s">
        <v>31</v>
      </c>
      <c r="W2611" t="s">
        <v>73</v>
      </c>
      <c r="X2611" t="s">
        <v>144</v>
      </c>
      <c r="Y2611" t="s">
        <v>116</v>
      </c>
    </row>
    <row r="2612" spans="1:25">
      <c r="A2612" t="s">
        <v>25</v>
      </c>
      <c r="B2612" t="s">
        <v>26</v>
      </c>
      <c r="C2612" t="s">
        <v>221</v>
      </c>
      <c r="D2612" s="1">
        <v>46133</v>
      </c>
      <c r="E2612" s="2">
        <v>0.8125</v>
      </c>
      <c r="F2612" t="s">
        <v>38</v>
      </c>
      <c r="G2612" t="s">
        <v>63</v>
      </c>
      <c r="H2612">
        <v>2</v>
      </c>
      <c r="I2612">
        <v>1</v>
      </c>
      <c r="J2612" t="s">
        <v>34</v>
      </c>
      <c r="N2612">
        <v>21</v>
      </c>
      <c r="O2612">
        <v>34</v>
      </c>
      <c r="P2612">
        <v>433</v>
      </c>
      <c r="Q2612">
        <v>197</v>
      </c>
      <c r="R2612">
        <v>319</v>
      </c>
      <c r="S2612">
        <v>377</v>
      </c>
      <c r="T2612" t="s">
        <v>31</v>
      </c>
      <c r="U2612" t="s">
        <v>31</v>
      </c>
      <c r="V2612" t="s">
        <v>31</v>
      </c>
      <c r="W2612" t="s">
        <v>117</v>
      </c>
      <c r="X2612" t="s">
        <v>86</v>
      </c>
      <c r="Y2612" t="s">
        <v>230</v>
      </c>
    </row>
    <row r="2613" spans="1:25">
      <c r="A2613" t="s">
        <v>25</v>
      </c>
      <c r="B2613" t="s">
        <v>26</v>
      </c>
      <c r="C2613" t="s">
        <v>221</v>
      </c>
      <c r="D2613" s="1">
        <v>46134</v>
      </c>
      <c r="E2613" s="2">
        <v>0.72916666666666663</v>
      </c>
      <c r="F2613" t="s">
        <v>29</v>
      </c>
      <c r="G2613" t="s">
        <v>40</v>
      </c>
      <c r="H2613">
        <v>3</v>
      </c>
      <c r="I2613">
        <v>1</v>
      </c>
      <c r="J2613" t="s">
        <v>34</v>
      </c>
      <c r="N2613">
        <v>158</v>
      </c>
      <c r="O2613">
        <v>433</v>
      </c>
      <c r="P2613">
        <v>575</v>
      </c>
      <c r="Q2613">
        <v>153</v>
      </c>
      <c r="R2613">
        <v>413</v>
      </c>
      <c r="S2613">
        <v>525</v>
      </c>
      <c r="T2613" t="s">
        <v>31</v>
      </c>
      <c r="U2613" t="s">
        <v>31</v>
      </c>
      <c r="V2613" t="s">
        <v>31</v>
      </c>
      <c r="W2613" t="s">
        <v>174</v>
      </c>
      <c r="X2613" t="s">
        <v>230</v>
      </c>
      <c r="Y2613" t="s">
        <v>259</v>
      </c>
    </row>
    <row r="2614" spans="1:25">
      <c r="A2614" t="s">
        <v>25</v>
      </c>
      <c r="B2614" t="s">
        <v>26</v>
      </c>
      <c r="C2614" t="s">
        <v>221</v>
      </c>
      <c r="D2614" s="1">
        <v>46134</v>
      </c>
      <c r="E2614" s="2">
        <v>0.72916666666666663</v>
      </c>
      <c r="F2614" t="s">
        <v>35</v>
      </c>
      <c r="G2614" t="s">
        <v>52</v>
      </c>
      <c r="H2614">
        <v>0</v>
      </c>
      <c r="I2614">
        <v>2</v>
      </c>
      <c r="J2614" t="s">
        <v>30</v>
      </c>
      <c r="N2614">
        <v>167</v>
      </c>
      <c r="O2614">
        <v>4</v>
      </c>
      <c r="P2614">
        <v>6</v>
      </c>
      <c r="Q2614">
        <v>157</v>
      </c>
      <c r="R2614">
        <v>379</v>
      </c>
      <c r="S2614">
        <v>536</v>
      </c>
      <c r="T2614" t="s">
        <v>31</v>
      </c>
      <c r="U2614" t="s">
        <v>31</v>
      </c>
      <c r="V2614" t="s">
        <v>31</v>
      </c>
      <c r="W2614" t="s">
        <v>220</v>
      </c>
      <c r="X2614" t="s">
        <v>116</v>
      </c>
      <c r="Y2614" t="s">
        <v>259</v>
      </c>
    </row>
    <row r="2615" spans="1:25">
      <c r="A2615" t="s">
        <v>25</v>
      </c>
      <c r="B2615" t="s">
        <v>26</v>
      </c>
      <c r="C2615" t="s">
        <v>221</v>
      </c>
      <c r="D2615" s="1">
        <v>46134</v>
      </c>
      <c r="E2615" s="2">
        <v>0.8125</v>
      </c>
      <c r="F2615" t="s">
        <v>28</v>
      </c>
      <c r="G2615" t="s">
        <v>50</v>
      </c>
      <c r="H2615">
        <v>1</v>
      </c>
      <c r="I2615">
        <v>1</v>
      </c>
      <c r="J2615" t="s">
        <v>41</v>
      </c>
      <c r="N2615">
        <v>36</v>
      </c>
      <c r="O2615">
        <v>37</v>
      </c>
      <c r="P2615">
        <v>21</v>
      </c>
      <c r="Q2615">
        <v>33</v>
      </c>
      <c r="R2615">
        <v>348</v>
      </c>
      <c r="S2615">
        <v>201</v>
      </c>
      <c r="T2615" t="s">
        <v>31</v>
      </c>
      <c r="U2615" t="s">
        <v>31</v>
      </c>
      <c r="V2615" t="s">
        <v>31</v>
      </c>
      <c r="W2615" t="s">
        <v>68</v>
      </c>
      <c r="X2615" t="s">
        <v>70</v>
      </c>
      <c r="Y2615" t="s">
        <v>175</v>
      </c>
    </row>
    <row r="2616" spans="1:25">
      <c r="A2616" t="s">
        <v>25</v>
      </c>
      <c r="B2616" t="s">
        <v>26</v>
      </c>
      <c r="C2616" t="s">
        <v>221</v>
      </c>
      <c r="D2616" s="1">
        <v>46136</v>
      </c>
      <c r="E2616" s="2">
        <v>0.77083333333333337</v>
      </c>
      <c r="F2616" t="s">
        <v>61</v>
      </c>
      <c r="G2616" t="s">
        <v>45</v>
      </c>
      <c r="H2616">
        <v>3</v>
      </c>
      <c r="I2616">
        <v>0</v>
      </c>
      <c r="J2616" t="s">
        <v>34</v>
      </c>
      <c r="N2616">
        <v>216</v>
      </c>
      <c r="O2616">
        <v>333</v>
      </c>
      <c r="P2616">
        <v>375</v>
      </c>
      <c r="Q2616">
        <v>203</v>
      </c>
      <c r="R2616">
        <v>321</v>
      </c>
      <c r="S2616">
        <v>349</v>
      </c>
      <c r="T2616" t="s">
        <v>31</v>
      </c>
      <c r="U2616" t="s">
        <v>31</v>
      </c>
      <c r="V2616" t="s">
        <v>31</v>
      </c>
      <c r="W2616" t="s">
        <v>175</v>
      </c>
      <c r="X2616" t="s">
        <v>143</v>
      </c>
      <c r="Y2616" t="s">
        <v>68</v>
      </c>
    </row>
    <row r="2617" spans="1:25">
      <c r="A2617" t="s">
        <v>25</v>
      </c>
      <c r="B2617" t="s">
        <v>26</v>
      </c>
      <c r="C2617" t="s">
        <v>221</v>
      </c>
      <c r="D2617" s="1">
        <v>46137</v>
      </c>
      <c r="E2617" s="2">
        <v>0.66666666666666663</v>
      </c>
      <c r="F2617" t="s">
        <v>54</v>
      </c>
      <c r="G2617" t="s">
        <v>38</v>
      </c>
      <c r="H2617">
        <v>1</v>
      </c>
      <c r="I2617">
        <v>0</v>
      </c>
      <c r="J2617" t="s">
        <v>34</v>
      </c>
      <c r="N2617">
        <v>3</v>
      </c>
      <c r="O2617">
        <v>34</v>
      </c>
      <c r="P2617">
        <v>245</v>
      </c>
      <c r="Q2617">
        <v>286</v>
      </c>
      <c r="R2617">
        <v>32</v>
      </c>
      <c r="S2617">
        <v>233</v>
      </c>
      <c r="T2617" t="s">
        <v>31</v>
      </c>
      <c r="U2617" t="s">
        <v>31</v>
      </c>
      <c r="V2617" t="s">
        <v>31</v>
      </c>
      <c r="W2617" t="s">
        <v>79</v>
      </c>
      <c r="X2617" t="s">
        <v>144</v>
      </c>
      <c r="Y2617" t="s">
        <v>251</v>
      </c>
    </row>
    <row r="2618" spans="1:25">
      <c r="A2618" t="s">
        <v>25</v>
      </c>
      <c r="B2618" t="s">
        <v>26</v>
      </c>
      <c r="C2618" t="s">
        <v>221</v>
      </c>
      <c r="D2618" s="1">
        <v>46137</v>
      </c>
      <c r="E2618" s="2">
        <v>0.66666666666666663</v>
      </c>
      <c r="F2618" t="s">
        <v>39</v>
      </c>
      <c r="G2618" t="s">
        <v>63</v>
      </c>
      <c r="H2618">
        <v>1</v>
      </c>
      <c r="I2618">
        <v>0</v>
      </c>
      <c r="J2618" t="s">
        <v>34</v>
      </c>
      <c r="N2618">
        <v>235</v>
      </c>
      <c r="O2618">
        <v>33</v>
      </c>
      <c r="P2618">
        <v>315</v>
      </c>
      <c r="Q2618">
        <v>223</v>
      </c>
      <c r="R2618">
        <v>321</v>
      </c>
      <c r="S2618">
        <v>301</v>
      </c>
      <c r="T2618" t="s">
        <v>31</v>
      </c>
      <c r="U2618" t="s">
        <v>31</v>
      </c>
      <c r="V2618" t="s">
        <v>31</v>
      </c>
      <c r="W2618" t="s">
        <v>142</v>
      </c>
      <c r="X2618" t="s">
        <v>86</v>
      </c>
      <c r="Y2618" t="s">
        <v>79</v>
      </c>
    </row>
    <row r="2619" spans="1:25">
      <c r="A2619" t="s">
        <v>25</v>
      </c>
      <c r="B2619" t="s">
        <v>26</v>
      </c>
      <c r="C2619" t="s">
        <v>221</v>
      </c>
      <c r="D2619" s="1">
        <v>46138</v>
      </c>
      <c r="E2619" s="2">
        <v>0.5625</v>
      </c>
      <c r="F2619" t="s">
        <v>52</v>
      </c>
      <c r="G2619" t="s">
        <v>50</v>
      </c>
      <c r="H2619">
        <v>1</v>
      </c>
      <c r="I2619">
        <v>5</v>
      </c>
      <c r="J2619" t="s">
        <v>30</v>
      </c>
      <c r="N2619">
        <v>6</v>
      </c>
      <c r="O2619">
        <v>433</v>
      </c>
      <c r="P2619">
        <v>161</v>
      </c>
      <c r="Q2619">
        <v>526</v>
      </c>
      <c r="R2619">
        <v>401</v>
      </c>
      <c r="S2619">
        <v>153</v>
      </c>
      <c r="T2619" t="s">
        <v>31</v>
      </c>
      <c r="U2619" t="s">
        <v>31</v>
      </c>
      <c r="V2619" t="s">
        <v>31</v>
      </c>
      <c r="W2619" t="s">
        <v>150</v>
      </c>
      <c r="X2619" t="s">
        <v>129</v>
      </c>
      <c r="Y2619" t="s">
        <v>149</v>
      </c>
    </row>
    <row r="2620" spans="1:25">
      <c r="A2620" t="s">
        <v>25</v>
      </c>
      <c r="B2620" t="s">
        <v>26</v>
      </c>
      <c r="C2620" t="s">
        <v>221</v>
      </c>
      <c r="D2620" s="1">
        <v>46138</v>
      </c>
      <c r="E2620" s="2">
        <v>0.5625</v>
      </c>
      <c r="F2620" t="s">
        <v>35</v>
      </c>
      <c r="G2620" t="s">
        <v>29</v>
      </c>
      <c r="H2620">
        <v>1</v>
      </c>
      <c r="I2620">
        <v>0</v>
      </c>
      <c r="J2620" t="s">
        <v>34</v>
      </c>
      <c r="N2620">
        <v>35</v>
      </c>
      <c r="O2620">
        <v>37</v>
      </c>
      <c r="P2620">
        <v>208</v>
      </c>
      <c r="Q2620">
        <v>329</v>
      </c>
      <c r="R2620">
        <v>347</v>
      </c>
      <c r="S2620">
        <v>2</v>
      </c>
      <c r="T2620" t="s">
        <v>31</v>
      </c>
      <c r="U2620" t="s">
        <v>31</v>
      </c>
      <c r="V2620" t="s">
        <v>31</v>
      </c>
      <c r="W2620" t="s">
        <v>144</v>
      </c>
      <c r="X2620" t="s">
        <v>144</v>
      </c>
      <c r="Y2620" t="s">
        <v>244</v>
      </c>
    </row>
    <row r="2621" spans="1:25">
      <c r="A2621" t="s">
        <v>25</v>
      </c>
      <c r="B2621" t="s">
        <v>26</v>
      </c>
      <c r="C2621" t="s">
        <v>221</v>
      </c>
      <c r="D2621" s="1">
        <v>46138</v>
      </c>
      <c r="E2621" s="2">
        <v>0.66666666666666663</v>
      </c>
      <c r="F2621" t="s">
        <v>28</v>
      </c>
      <c r="G2621" t="s">
        <v>40</v>
      </c>
      <c r="H2621">
        <v>1</v>
      </c>
      <c r="I2621">
        <v>1</v>
      </c>
      <c r="J2621" t="s">
        <v>41</v>
      </c>
      <c r="N2621">
        <v>225</v>
      </c>
      <c r="O2621">
        <v>35</v>
      </c>
      <c r="P2621">
        <v>35</v>
      </c>
      <c r="Q2621">
        <v>215</v>
      </c>
      <c r="R2621">
        <v>324</v>
      </c>
      <c r="S2621">
        <v>317</v>
      </c>
      <c r="T2621" t="s">
        <v>31</v>
      </c>
      <c r="U2621" t="s">
        <v>31</v>
      </c>
      <c r="V2621" t="s">
        <v>31</v>
      </c>
      <c r="W2621" t="s">
        <v>99</v>
      </c>
      <c r="X2621" t="s">
        <v>70</v>
      </c>
      <c r="Y2621" t="s">
        <v>103</v>
      </c>
    </row>
    <row r="2622" spans="1:25">
      <c r="A2622" t="s">
        <v>25</v>
      </c>
      <c r="B2622" t="s">
        <v>26</v>
      </c>
      <c r="C2622" t="s">
        <v>221</v>
      </c>
      <c r="D2622" s="1">
        <v>46144</v>
      </c>
      <c r="E2622" s="2">
        <v>0.66666666666666663</v>
      </c>
      <c r="F2622" t="s">
        <v>63</v>
      </c>
      <c r="G2622" t="s">
        <v>54</v>
      </c>
      <c r="H2622">
        <v>4</v>
      </c>
      <c r="I2622">
        <v>0</v>
      </c>
      <c r="J2622" t="s">
        <v>34</v>
      </c>
      <c r="N2622">
        <v>225</v>
      </c>
      <c r="O2622">
        <v>315</v>
      </c>
      <c r="P2622">
        <v>36</v>
      </c>
      <c r="Q2622">
        <v>218</v>
      </c>
      <c r="R2622">
        <v>305</v>
      </c>
      <c r="S2622">
        <v>327</v>
      </c>
      <c r="T2622" t="s">
        <v>31</v>
      </c>
      <c r="U2622" t="s">
        <v>31</v>
      </c>
      <c r="V2622" t="s">
        <v>31</v>
      </c>
      <c r="W2622" t="s">
        <v>99</v>
      </c>
      <c r="X2622" t="s">
        <v>126</v>
      </c>
      <c r="Y2622" t="s">
        <v>70</v>
      </c>
    </row>
    <row r="2623" spans="1:25">
      <c r="A2623" t="s">
        <v>25</v>
      </c>
      <c r="B2623" t="s">
        <v>26</v>
      </c>
      <c r="C2623" t="s">
        <v>221</v>
      </c>
      <c r="D2623" s="1">
        <v>46144</v>
      </c>
      <c r="E2623" s="2">
        <v>0.66666666666666663</v>
      </c>
      <c r="F2623" t="s">
        <v>38</v>
      </c>
      <c r="G2623" t="s">
        <v>61</v>
      </c>
      <c r="H2623">
        <v>2</v>
      </c>
      <c r="I2623">
        <v>0</v>
      </c>
      <c r="J2623" t="s">
        <v>34</v>
      </c>
      <c r="N2623">
        <v>245</v>
      </c>
      <c r="O2623">
        <v>33</v>
      </c>
      <c r="P2623">
        <v>3</v>
      </c>
      <c r="Q2623">
        <v>237</v>
      </c>
      <c r="R2623">
        <v>313</v>
      </c>
      <c r="S2623">
        <v>287</v>
      </c>
      <c r="T2623" t="s">
        <v>31</v>
      </c>
      <c r="U2623" t="s">
        <v>31</v>
      </c>
      <c r="V2623" t="s">
        <v>31</v>
      </c>
      <c r="W2623" t="s">
        <v>257</v>
      </c>
      <c r="X2623" t="s">
        <v>103</v>
      </c>
      <c r="Y2623" t="s">
        <v>104</v>
      </c>
    </row>
    <row r="2624" spans="1:25">
      <c r="A2624" t="s">
        <v>25</v>
      </c>
      <c r="B2624" t="s">
        <v>26</v>
      </c>
      <c r="C2624" t="s">
        <v>221</v>
      </c>
      <c r="D2624" s="1">
        <v>46145</v>
      </c>
      <c r="E2624" s="2">
        <v>0.5625</v>
      </c>
      <c r="F2624" t="s">
        <v>40</v>
      </c>
      <c r="G2624" t="s">
        <v>52</v>
      </c>
      <c r="H2624">
        <v>1</v>
      </c>
      <c r="I2624">
        <v>0</v>
      </c>
      <c r="J2624" t="s">
        <v>34</v>
      </c>
      <c r="N2624">
        <v>176</v>
      </c>
      <c r="O2624">
        <v>38</v>
      </c>
      <c r="P2624">
        <v>525</v>
      </c>
      <c r="Q2624">
        <v>169</v>
      </c>
      <c r="R2624">
        <v>356</v>
      </c>
      <c r="S2624">
        <v>461</v>
      </c>
      <c r="T2624" t="s">
        <v>31</v>
      </c>
      <c r="U2624" t="s">
        <v>31</v>
      </c>
      <c r="V2624" t="s">
        <v>31</v>
      </c>
      <c r="W2624" t="s">
        <v>216</v>
      </c>
      <c r="X2624" t="s">
        <v>92</v>
      </c>
      <c r="Y2624" t="s">
        <v>227</v>
      </c>
    </row>
    <row r="2625" spans="1:25">
      <c r="A2625" t="s">
        <v>25</v>
      </c>
      <c r="B2625" t="s">
        <v>26</v>
      </c>
      <c r="C2625" t="s">
        <v>221</v>
      </c>
      <c r="D2625" s="1">
        <v>46145</v>
      </c>
      <c r="E2625" s="2">
        <v>0.66666666666666663</v>
      </c>
      <c r="F2625" t="s">
        <v>29</v>
      </c>
      <c r="G2625" t="s">
        <v>28</v>
      </c>
      <c r="H2625">
        <v>1</v>
      </c>
      <c r="I2625">
        <v>1</v>
      </c>
      <c r="J2625" t="s">
        <v>41</v>
      </c>
      <c r="N2625">
        <v>168</v>
      </c>
      <c r="O2625">
        <v>44</v>
      </c>
      <c r="P2625">
        <v>5</v>
      </c>
      <c r="Q2625">
        <v>161</v>
      </c>
      <c r="R2625">
        <v>407</v>
      </c>
      <c r="S2625">
        <v>451</v>
      </c>
      <c r="T2625" t="s">
        <v>31</v>
      </c>
      <c r="U2625" t="s">
        <v>31</v>
      </c>
      <c r="V2625" t="s">
        <v>31</v>
      </c>
      <c r="W2625" t="s">
        <v>153</v>
      </c>
      <c r="X2625" t="s">
        <v>83</v>
      </c>
      <c r="Y2625" t="s">
        <v>227</v>
      </c>
    </row>
    <row r="2626" spans="1:25">
      <c r="A2626" t="s">
        <v>25</v>
      </c>
      <c r="B2626" t="s">
        <v>26</v>
      </c>
      <c r="C2626" t="s">
        <v>221</v>
      </c>
      <c r="D2626" s="1">
        <v>46146</v>
      </c>
      <c r="E2626" s="2">
        <v>0.72916666666666663</v>
      </c>
      <c r="F2626" t="s">
        <v>45</v>
      </c>
      <c r="G2626" t="s">
        <v>39</v>
      </c>
      <c r="H2626">
        <v>1</v>
      </c>
      <c r="I2626">
        <v>4</v>
      </c>
      <c r="J2626" t="s">
        <v>30</v>
      </c>
      <c r="N2626">
        <v>27</v>
      </c>
      <c r="O2626">
        <v>325</v>
      </c>
      <c r="P2626">
        <v>285</v>
      </c>
      <c r="Q2626">
        <v>251</v>
      </c>
      <c r="R2626">
        <v>312</v>
      </c>
      <c r="S2626">
        <v>268</v>
      </c>
      <c r="T2626" t="s">
        <v>31</v>
      </c>
      <c r="U2626" t="s">
        <v>31</v>
      </c>
      <c r="V2626" t="s">
        <v>31</v>
      </c>
      <c r="W2626" t="s">
        <v>248</v>
      </c>
      <c r="X2626" t="s">
        <v>86</v>
      </c>
      <c r="Y2626" t="s">
        <v>248</v>
      </c>
    </row>
    <row r="2627" spans="1:25">
      <c r="A2627" t="s">
        <v>25</v>
      </c>
      <c r="B2627" t="s">
        <v>26</v>
      </c>
      <c r="C2627" t="s">
        <v>221</v>
      </c>
      <c r="D2627" s="1">
        <v>46146</v>
      </c>
      <c r="E2627" s="2">
        <v>0.8125</v>
      </c>
      <c r="F2627" t="s">
        <v>50</v>
      </c>
      <c r="G2627" t="s">
        <v>35</v>
      </c>
      <c r="H2627">
        <v>3</v>
      </c>
      <c r="I2627">
        <v>1</v>
      </c>
      <c r="J2627" t="s">
        <v>34</v>
      </c>
      <c r="N2627">
        <v>198</v>
      </c>
      <c r="O2627">
        <v>375</v>
      </c>
      <c r="P2627">
        <v>38</v>
      </c>
      <c r="Q2627">
        <v>19</v>
      </c>
      <c r="R2627">
        <v>357</v>
      </c>
      <c r="S2627">
        <v>35</v>
      </c>
      <c r="T2627" t="s">
        <v>31</v>
      </c>
      <c r="U2627" t="s">
        <v>31</v>
      </c>
      <c r="V2627" t="s">
        <v>31</v>
      </c>
      <c r="W2627" t="s">
        <v>171</v>
      </c>
      <c r="X2627" t="s">
        <v>71</v>
      </c>
      <c r="Y2627" t="s">
        <v>92</v>
      </c>
    </row>
    <row r="2628" spans="1:25">
      <c r="A2628" t="s">
        <v>25</v>
      </c>
      <c r="B2628" t="s">
        <v>26</v>
      </c>
      <c r="C2628" t="s">
        <v>221</v>
      </c>
      <c r="D2628" s="1">
        <v>46151</v>
      </c>
      <c r="E2628" s="2">
        <v>0.66666666666666663</v>
      </c>
      <c r="F2628" t="s">
        <v>63</v>
      </c>
      <c r="G2628" t="s">
        <v>45</v>
      </c>
      <c r="H2628">
        <v>2</v>
      </c>
      <c r="I2628">
        <v>2</v>
      </c>
      <c r="J2628" t="s">
        <v>41</v>
      </c>
      <c r="N2628">
        <v>238</v>
      </c>
      <c r="O2628">
        <v>325</v>
      </c>
      <c r="P2628">
        <v>34</v>
      </c>
      <c r="Q2628">
        <v>224</v>
      </c>
      <c r="R2628">
        <v>305</v>
      </c>
      <c r="S2628">
        <v>322</v>
      </c>
      <c r="T2628" t="s">
        <v>113</v>
      </c>
      <c r="U2628" t="s">
        <v>126</v>
      </c>
      <c r="V2628" t="s">
        <v>71</v>
      </c>
      <c r="W2628" t="s">
        <v>239</v>
      </c>
      <c r="X2628" t="s">
        <v>86</v>
      </c>
      <c r="Y2628" t="s">
        <v>143</v>
      </c>
    </row>
    <row r="2629" spans="1:25">
      <c r="A2629" t="s">
        <v>25</v>
      </c>
      <c r="B2629" t="s">
        <v>26</v>
      </c>
      <c r="C2629" t="s">
        <v>221</v>
      </c>
      <c r="D2629" s="1">
        <v>46151</v>
      </c>
      <c r="E2629" s="2">
        <v>0.66666666666666663</v>
      </c>
      <c r="F2629" t="s">
        <v>38</v>
      </c>
      <c r="G2629" t="s">
        <v>39</v>
      </c>
      <c r="H2629">
        <v>0</v>
      </c>
      <c r="I2629">
        <v>1</v>
      </c>
      <c r="J2629" t="s">
        <v>30</v>
      </c>
      <c r="N2629">
        <v>212</v>
      </c>
      <c r="O2629">
        <v>35</v>
      </c>
      <c r="P2629">
        <v>375</v>
      </c>
      <c r="Q2629">
        <v>202</v>
      </c>
      <c r="R2629">
        <v>341</v>
      </c>
      <c r="S2629">
        <v>338</v>
      </c>
      <c r="T2629" t="s">
        <v>72</v>
      </c>
      <c r="U2629" t="s">
        <v>80</v>
      </c>
      <c r="V2629" t="s">
        <v>114</v>
      </c>
      <c r="W2629" t="s">
        <v>242</v>
      </c>
      <c r="X2629" t="s">
        <v>70</v>
      </c>
      <c r="Y2629" t="s">
        <v>70</v>
      </c>
    </row>
    <row r="2630" spans="1:25">
      <c r="A2630" t="s">
        <v>25</v>
      </c>
      <c r="B2630" t="s">
        <v>26</v>
      </c>
      <c r="C2630" t="s">
        <v>221</v>
      </c>
      <c r="D2630" s="1">
        <v>46151</v>
      </c>
      <c r="E2630" s="2">
        <v>0.66666666666666663</v>
      </c>
      <c r="F2630" t="s">
        <v>54</v>
      </c>
      <c r="G2630" t="s">
        <v>61</v>
      </c>
      <c r="H2630">
        <v>1</v>
      </c>
      <c r="I2630">
        <v>1</v>
      </c>
      <c r="J2630" t="s">
        <v>41</v>
      </c>
      <c r="N2630">
        <v>285</v>
      </c>
      <c r="O2630">
        <v>34</v>
      </c>
      <c r="P2630">
        <v>25</v>
      </c>
      <c r="Q2630">
        <v>273</v>
      </c>
      <c r="R2630">
        <v>323</v>
      </c>
      <c r="S2630">
        <v>243</v>
      </c>
      <c r="T2630" t="s">
        <v>163</v>
      </c>
      <c r="U2630" t="s">
        <v>93</v>
      </c>
      <c r="V2630" t="s">
        <v>208</v>
      </c>
      <c r="W2630" t="s">
        <v>231</v>
      </c>
      <c r="X2630" t="s">
        <v>143</v>
      </c>
      <c r="Y2630" t="s">
        <v>257</v>
      </c>
    </row>
    <row r="2631" spans="1:25">
      <c r="A2631" t="s">
        <v>25</v>
      </c>
      <c r="B2631" t="s">
        <v>26</v>
      </c>
      <c r="C2631" t="s">
        <v>221</v>
      </c>
      <c r="D2631" s="1">
        <v>46152</v>
      </c>
      <c r="E2631" s="2">
        <v>0.66666666666666663</v>
      </c>
      <c r="F2631" t="s">
        <v>52</v>
      </c>
      <c r="G2631" t="s">
        <v>28</v>
      </c>
      <c r="H2631">
        <v>2</v>
      </c>
      <c r="I2631">
        <v>4</v>
      </c>
      <c r="J2631" t="s">
        <v>30</v>
      </c>
      <c r="N2631">
        <v>5</v>
      </c>
      <c r="O2631">
        <v>4</v>
      </c>
      <c r="P2631">
        <v>172</v>
      </c>
      <c r="Q2631">
        <v>467</v>
      </c>
      <c r="R2631">
        <v>371</v>
      </c>
      <c r="S2631">
        <v>166</v>
      </c>
      <c r="T2631" t="s">
        <v>84</v>
      </c>
      <c r="U2631" t="s">
        <v>74</v>
      </c>
      <c r="V2631" t="s">
        <v>249</v>
      </c>
      <c r="W2631" t="s">
        <v>227</v>
      </c>
      <c r="X2631" t="s">
        <v>116</v>
      </c>
      <c r="Y2631" t="s">
        <v>216</v>
      </c>
    </row>
    <row r="2632" spans="1:25">
      <c r="A2632" t="s">
        <v>25</v>
      </c>
      <c r="B2632" t="s">
        <v>26</v>
      </c>
      <c r="C2632" t="s">
        <v>221</v>
      </c>
      <c r="D2632" s="1">
        <v>46152</v>
      </c>
      <c r="E2632" s="2">
        <v>0.66666666666666663</v>
      </c>
      <c r="F2632" t="s">
        <v>50</v>
      </c>
      <c r="G2632" t="s">
        <v>29</v>
      </c>
      <c r="H2632">
        <v>2</v>
      </c>
      <c r="I2632">
        <v>1</v>
      </c>
      <c r="J2632" t="s">
        <v>34</v>
      </c>
      <c r="N2632">
        <v>22</v>
      </c>
      <c r="O2632">
        <v>39</v>
      </c>
      <c r="P2632">
        <v>31</v>
      </c>
      <c r="Q2632">
        <v>21</v>
      </c>
      <c r="R2632">
        <v>365</v>
      </c>
      <c r="S2632">
        <v>297</v>
      </c>
      <c r="T2632" t="s">
        <v>72</v>
      </c>
      <c r="U2632" t="s">
        <v>129</v>
      </c>
      <c r="V2632" t="s">
        <v>103</v>
      </c>
      <c r="W2632" t="s">
        <v>242</v>
      </c>
      <c r="X2632" t="s">
        <v>144</v>
      </c>
      <c r="Y2632" t="s">
        <v>79</v>
      </c>
    </row>
    <row r="2633" spans="1:25">
      <c r="A2633" t="s">
        <v>25</v>
      </c>
      <c r="B2633" t="s">
        <v>26</v>
      </c>
      <c r="C2633" t="s">
        <v>221</v>
      </c>
      <c r="D2633" s="1">
        <v>46152</v>
      </c>
      <c r="E2633" s="2">
        <v>0.66666666666666663</v>
      </c>
      <c r="F2633" t="s">
        <v>35</v>
      </c>
      <c r="G2633" t="s">
        <v>40</v>
      </c>
      <c r="H2633">
        <v>0</v>
      </c>
      <c r="I2633">
        <v>2</v>
      </c>
      <c r="J2633" t="s">
        <v>30</v>
      </c>
      <c r="N2633">
        <v>23</v>
      </c>
      <c r="O2633">
        <v>34</v>
      </c>
      <c r="P2633">
        <v>325</v>
      </c>
      <c r="Q2633">
        <v>219</v>
      </c>
      <c r="R2633">
        <v>331</v>
      </c>
      <c r="S2633">
        <v>308</v>
      </c>
      <c r="T2633" t="s">
        <v>109</v>
      </c>
      <c r="U2633" t="s">
        <v>70</v>
      </c>
      <c r="V2633" t="s">
        <v>86</v>
      </c>
      <c r="W2633" t="s">
        <v>122</v>
      </c>
      <c r="X2633" t="s">
        <v>86</v>
      </c>
      <c r="Y2633" t="s">
        <v>126</v>
      </c>
    </row>
    <row r="2634" spans="1:25">
      <c r="A2634" t="s">
        <v>25</v>
      </c>
      <c r="B2634" t="s">
        <v>26</v>
      </c>
      <c r="C2634" t="s">
        <v>221</v>
      </c>
      <c r="D2634" s="1">
        <v>46158</v>
      </c>
      <c r="E2634" s="2">
        <v>0.66666666666666663</v>
      </c>
      <c r="F2634" t="s">
        <v>45</v>
      </c>
      <c r="G2634" t="s">
        <v>38</v>
      </c>
      <c r="H2634">
        <v>2</v>
      </c>
      <c r="I2634">
        <v>0</v>
      </c>
      <c r="J2634" t="s">
        <v>34</v>
      </c>
      <c r="N2634">
        <v>17</v>
      </c>
      <c r="O2634">
        <v>38</v>
      </c>
      <c r="P2634">
        <v>533</v>
      </c>
      <c r="Q2634">
        <v>166</v>
      </c>
      <c r="R2634">
        <v>357</v>
      </c>
      <c r="S2634">
        <v>48</v>
      </c>
      <c r="T2634" t="s">
        <v>90</v>
      </c>
      <c r="U2634" t="s">
        <v>116</v>
      </c>
      <c r="V2634" t="s">
        <v>214</v>
      </c>
      <c r="W2634" t="s">
        <v>236</v>
      </c>
      <c r="X2634" t="s">
        <v>92</v>
      </c>
      <c r="Y2634" t="s">
        <v>150</v>
      </c>
    </row>
    <row r="2635" spans="1:25">
      <c r="A2635" t="s">
        <v>25</v>
      </c>
      <c r="B2635" t="s">
        <v>26</v>
      </c>
      <c r="C2635" t="s">
        <v>221</v>
      </c>
      <c r="D2635" s="1">
        <v>46158</v>
      </c>
      <c r="E2635" s="2">
        <v>0.66666666666666663</v>
      </c>
      <c r="F2635" t="s">
        <v>61</v>
      </c>
      <c r="G2635" t="s">
        <v>63</v>
      </c>
      <c r="H2635">
        <v>0</v>
      </c>
      <c r="I2635">
        <v>3</v>
      </c>
      <c r="J2635" t="s">
        <v>30</v>
      </c>
      <c r="N2635">
        <v>21</v>
      </c>
      <c r="O2635">
        <v>35</v>
      </c>
      <c r="P2635">
        <v>37</v>
      </c>
      <c r="Q2635">
        <v>204</v>
      </c>
      <c r="R2635">
        <v>33</v>
      </c>
      <c r="S2635">
        <v>336</v>
      </c>
      <c r="T2635" t="s">
        <v>222</v>
      </c>
      <c r="U2635" t="s">
        <v>167</v>
      </c>
      <c r="V2635" t="s">
        <v>71</v>
      </c>
      <c r="W2635" t="s">
        <v>244</v>
      </c>
      <c r="X2635" t="s">
        <v>70</v>
      </c>
      <c r="Y2635" t="s">
        <v>143</v>
      </c>
    </row>
    <row r="2636" spans="1:25">
      <c r="A2636" t="s">
        <v>25</v>
      </c>
      <c r="B2636" t="s">
        <v>26</v>
      </c>
      <c r="C2636" t="s">
        <v>221</v>
      </c>
      <c r="D2636" s="1">
        <v>46158</v>
      </c>
      <c r="E2636" s="2">
        <v>0.66666666666666663</v>
      </c>
      <c r="F2636" t="s">
        <v>39</v>
      </c>
      <c r="G2636" t="s">
        <v>54</v>
      </c>
      <c r="H2636">
        <v>2</v>
      </c>
      <c r="I2636">
        <v>0</v>
      </c>
      <c r="J2636" t="s">
        <v>34</v>
      </c>
      <c r="N2636">
        <v>2</v>
      </c>
      <c r="O2636">
        <v>375</v>
      </c>
      <c r="P2636">
        <v>36</v>
      </c>
      <c r="Q2636">
        <v>197</v>
      </c>
      <c r="R2636">
        <v>346</v>
      </c>
      <c r="S2636">
        <v>342</v>
      </c>
      <c r="T2636" t="s">
        <v>166</v>
      </c>
      <c r="U2636" t="s">
        <v>71</v>
      </c>
      <c r="V2636" t="s">
        <v>116</v>
      </c>
      <c r="W2636" t="s">
        <v>175</v>
      </c>
      <c r="X2636" t="s">
        <v>70</v>
      </c>
      <c r="Y2636" t="s">
        <v>68</v>
      </c>
    </row>
    <row r="2637" spans="1:25">
      <c r="A2637" t="s">
        <v>25</v>
      </c>
      <c r="B2637" t="s">
        <v>26</v>
      </c>
      <c r="C2637" t="s">
        <v>221</v>
      </c>
      <c r="D2637" s="1">
        <v>46159</v>
      </c>
      <c r="E2637" s="2">
        <v>0.5625</v>
      </c>
      <c r="F2637" t="s">
        <v>40</v>
      </c>
      <c r="G2637" t="s">
        <v>50</v>
      </c>
      <c r="H2637">
        <v>0</v>
      </c>
      <c r="I2637">
        <v>3</v>
      </c>
      <c r="J2637" t="s">
        <v>30</v>
      </c>
      <c r="N2637">
        <v>333</v>
      </c>
      <c r="O2637">
        <v>35</v>
      </c>
      <c r="P2637">
        <v>22</v>
      </c>
      <c r="Q2637">
        <v>316</v>
      </c>
      <c r="R2637">
        <v>331</v>
      </c>
      <c r="S2637">
        <v>213</v>
      </c>
      <c r="T2637" t="s">
        <v>80</v>
      </c>
      <c r="U2637" t="s">
        <v>167</v>
      </c>
      <c r="V2637" t="s">
        <v>256</v>
      </c>
      <c r="W2637" t="s">
        <v>103</v>
      </c>
      <c r="X2637" t="s">
        <v>144</v>
      </c>
      <c r="Y2637" t="s">
        <v>239</v>
      </c>
    </row>
    <row r="2638" spans="1:25">
      <c r="A2638" t="s">
        <v>25</v>
      </c>
      <c r="B2638" t="s">
        <v>26</v>
      </c>
      <c r="C2638" t="s">
        <v>221</v>
      </c>
      <c r="D2638" s="1">
        <v>46159</v>
      </c>
      <c r="E2638" s="2">
        <v>0.5625</v>
      </c>
      <c r="F2638" t="s">
        <v>29</v>
      </c>
      <c r="G2638" t="s">
        <v>52</v>
      </c>
      <c r="H2638">
        <v>1</v>
      </c>
      <c r="I2638">
        <v>3</v>
      </c>
      <c r="J2638" t="s">
        <v>30</v>
      </c>
      <c r="N2638">
        <v>125</v>
      </c>
      <c r="O2638">
        <v>7</v>
      </c>
      <c r="P2638">
        <v>12</v>
      </c>
      <c r="Q2638">
        <v>122</v>
      </c>
      <c r="R2638">
        <v>6</v>
      </c>
      <c r="S2638">
        <v>10</v>
      </c>
      <c r="T2638" t="s">
        <v>260</v>
      </c>
      <c r="U2638" t="s">
        <v>261</v>
      </c>
      <c r="V2638" t="s">
        <v>233</v>
      </c>
      <c r="W2638" t="s">
        <v>262</v>
      </c>
      <c r="X2638" t="s">
        <v>263</v>
      </c>
      <c r="Y2638" t="s">
        <v>264</v>
      </c>
    </row>
    <row r="2639" spans="1:25">
      <c r="A2639" t="s">
        <v>25</v>
      </c>
      <c r="B2639" t="s">
        <v>26</v>
      </c>
      <c r="C2639" t="s">
        <v>221</v>
      </c>
      <c r="D2639" s="1">
        <v>46159</v>
      </c>
      <c r="E2639" s="2">
        <v>0.5625</v>
      </c>
      <c r="F2639" t="s">
        <v>28</v>
      </c>
      <c r="G2639" t="s">
        <v>35</v>
      </c>
      <c r="H2639">
        <v>2</v>
      </c>
      <c r="I2639">
        <v>0</v>
      </c>
      <c r="J2639" t="s">
        <v>34</v>
      </c>
      <c r="N2639">
        <v>212</v>
      </c>
      <c r="O2639">
        <v>375</v>
      </c>
      <c r="P2639">
        <v>37</v>
      </c>
      <c r="Q2639">
        <v>199</v>
      </c>
      <c r="R2639">
        <v>356</v>
      </c>
      <c r="S2639">
        <v>326</v>
      </c>
      <c r="T2639" t="s">
        <v>152</v>
      </c>
      <c r="U2639" t="s">
        <v>125</v>
      </c>
      <c r="V2639" t="s">
        <v>80</v>
      </c>
      <c r="W2639" t="s">
        <v>244</v>
      </c>
      <c r="X2639" t="s">
        <v>71</v>
      </c>
      <c r="Y2639" t="s">
        <v>103</v>
      </c>
    </row>
    <row r="2640" spans="1:25" hidden="1">
      <c r="A2640" t="s">
        <v>25</v>
      </c>
      <c r="B2640" t="s">
        <v>26</v>
      </c>
      <c r="C2640" t="s">
        <v>265</v>
      </c>
      <c r="D2640" s="1">
        <v>46234</v>
      </c>
      <c r="E2640" s="2">
        <v>0.77083333333333337</v>
      </c>
      <c r="F2640" t="s">
        <v>50</v>
      </c>
      <c r="G2640" t="s">
        <v>63</v>
      </c>
      <c r="H2640">
        <v>3</v>
      </c>
      <c r="I2640">
        <v>0</v>
      </c>
      <c r="J2640" t="s">
        <v>34</v>
      </c>
      <c r="N2640">
        <v>155</v>
      </c>
      <c r="O2640">
        <v>44</v>
      </c>
      <c r="P2640">
        <v>6</v>
      </c>
      <c r="Q2640">
        <v>15</v>
      </c>
      <c r="R2640">
        <v>416</v>
      </c>
      <c r="S2640">
        <v>541</v>
      </c>
      <c r="T2640" t="s">
        <v>111</v>
      </c>
      <c r="U2640" t="s">
        <v>95</v>
      </c>
      <c r="V2640" t="s">
        <v>131</v>
      </c>
      <c r="W2640" t="s">
        <v>174</v>
      </c>
      <c r="X2640" t="s">
        <v>230</v>
      </c>
      <c r="Y2640" t="s">
        <v>259</v>
      </c>
    </row>
    <row r="2641" spans="1:25" hidden="1">
      <c r="A2641" t="s">
        <v>25</v>
      </c>
      <c r="B2641" t="s">
        <v>26</v>
      </c>
      <c r="C2641" t="s">
        <v>265</v>
      </c>
      <c r="D2641" s="1">
        <v>46235</v>
      </c>
      <c r="E2641" s="2">
        <v>0.66666666666666663</v>
      </c>
      <c r="F2641" t="s">
        <v>54</v>
      </c>
      <c r="G2641" t="s">
        <v>28</v>
      </c>
      <c r="H2641">
        <v>1</v>
      </c>
      <c r="I2641">
        <v>1</v>
      </c>
      <c r="J2641" t="s">
        <v>41</v>
      </c>
      <c r="N2641">
        <v>45</v>
      </c>
      <c r="O2641">
        <v>38</v>
      </c>
      <c r="P2641">
        <v>19</v>
      </c>
      <c r="Q2641">
        <v>406</v>
      </c>
      <c r="R2641">
        <v>358</v>
      </c>
      <c r="S2641">
        <v>178</v>
      </c>
      <c r="T2641" t="s">
        <v>154</v>
      </c>
      <c r="U2641" t="s">
        <v>92</v>
      </c>
      <c r="V2641" t="s">
        <v>117</v>
      </c>
      <c r="W2641" t="s">
        <v>156</v>
      </c>
      <c r="X2641" t="s">
        <v>68</v>
      </c>
      <c r="Y2641" t="s">
        <v>217</v>
      </c>
    </row>
    <row r="2642" spans="1:25" hidden="1">
      <c r="A2642" t="s">
        <v>25</v>
      </c>
      <c r="B2642" t="s">
        <v>26</v>
      </c>
      <c r="C2642" t="s">
        <v>265</v>
      </c>
      <c r="D2642" s="1">
        <v>46235</v>
      </c>
      <c r="E2642" s="2">
        <v>0.77083333333333337</v>
      </c>
      <c r="F2642" t="s">
        <v>29</v>
      </c>
      <c r="G2642" t="s">
        <v>52</v>
      </c>
      <c r="H2642">
        <v>1</v>
      </c>
      <c r="I2642">
        <v>0</v>
      </c>
      <c r="J2642" t="s">
        <v>34</v>
      </c>
      <c r="N2642">
        <v>133</v>
      </c>
      <c r="O2642">
        <v>575</v>
      </c>
      <c r="P2642">
        <v>9</v>
      </c>
      <c r="Q2642">
        <v>128</v>
      </c>
      <c r="R2642">
        <v>519</v>
      </c>
      <c r="S2642">
        <v>844</v>
      </c>
      <c r="T2642" t="s">
        <v>66</v>
      </c>
      <c r="U2642" t="s">
        <v>65</v>
      </c>
      <c r="V2642" t="s">
        <v>88</v>
      </c>
      <c r="W2642" t="s">
        <v>234</v>
      </c>
      <c r="X2642" t="s">
        <v>150</v>
      </c>
      <c r="Y2642" t="s">
        <v>264</v>
      </c>
    </row>
    <row r="2643" spans="1:25" hidden="1">
      <c r="A2643" t="s">
        <v>25</v>
      </c>
      <c r="B2643" t="s">
        <v>26</v>
      </c>
      <c r="C2643" t="s">
        <v>265</v>
      </c>
      <c r="D2643" s="1">
        <v>46236</v>
      </c>
      <c r="E2643" s="2">
        <v>0.66666666666666663</v>
      </c>
      <c r="F2643" t="s">
        <v>59</v>
      </c>
      <c r="G2643" t="s">
        <v>38</v>
      </c>
      <c r="H2643">
        <v>1</v>
      </c>
      <c r="I2643">
        <v>1</v>
      </c>
      <c r="J2643" t="s">
        <v>41</v>
      </c>
      <c r="N2643">
        <v>325</v>
      </c>
      <c r="O2643">
        <v>335</v>
      </c>
      <c r="P2643">
        <v>233</v>
      </c>
      <c r="Q2643">
        <v>306</v>
      </c>
      <c r="R2643">
        <v>316</v>
      </c>
      <c r="S2643">
        <v>223</v>
      </c>
      <c r="T2643" t="s">
        <v>167</v>
      </c>
      <c r="U2643" t="s">
        <v>144</v>
      </c>
      <c r="V2643" t="s">
        <v>238</v>
      </c>
      <c r="W2643" t="s">
        <v>103</v>
      </c>
      <c r="X2643" t="s">
        <v>86</v>
      </c>
      <c r="Y2643" t="s">
        <v>91</v>
      </c>
    </row>
    <row r="2644" spans="1:25" hidden="1">
      <c r="A2644" t="s">
        <v>25</v>
      </c>
      <c r="B2644" t="s">
        <v>26</v>
      </c>
      <c r="C2644" t="s">
        <v>265</v>
      </c>
      <c r="D2644" s="1">
        <v>46236</v>
      </c>
      <c r="E2644" s="2">
        <v>0.66666666666666663</v>
      </c>
      <c r="F2644" t="s">
        <v>39</v>
      </c>
      <c r="G2644" t="s">
        <v>40</v>
      </c>
      <c r="H2644">
        <v>3</v>
      </c>
      <c r="I2644">
        <v>0</v>
      </c>
      <c r="J2644" t="s">
        <v>34</v>
      </c>
      <c r="N2644">
        <v>238</v>
      </c>
      <c r="O2644">
        <v>35</v>
      </c>
      <c r="P2644">
        <v>29</v>
      </c>
      <c r="Q2644">
        <v>229</v>
      </c>
      <c r="R2644">
        <v>334</v>
      </c>
      <c r="S2644">
        <v>286</v>
      </c>
      <c r="T2644" t="s">
        <v>204</v>
      </c>
      <c r="U2644" t="s">
        <v>77</v>
      </c>
      <c r="V2644" t="s">
        <v>110</v>
      </c>
      <c r="W2644" t="s">
        <v>122</v>
      </c>
      <c r="X2644" t="s">
        <v>144</v>
      </c>
      <c r="Y2644" t="s">
        <v>246</v>
      </c>
    </row>
    <row r="2645" spans="1:25" hidden="1">
      <c r="A2645" t="s">
        <v>25</v>
      </c>
      <c r="B2645" t="s">
        <v>26</v>
      </c>
      <c r="C2645" t="s">
        <v>265</v>
      </c>
      <c r="D2645" s="1">
        <v>46236</v>
      </c>
      <c r="E2645" s="2">
        <v>0.75</v>
      </c>
      <c r="F2645" t="s">
        <v>35</v>
      </c>
      <c r="G2645" t="s">
        <v>45</v>
      </c>
      <c r="H2645">
        <v>1</v>
      </c>
      <c r="I2645">
        <v>0</v>
      </c>
      <c r="J2645" t="s">
        <v>34</v>
      </c>
      <c r="N2645">
        <v>168</v>
      </c>
      <c r="O2645">
        <v>4</v>
      </c>
      <c r="P2645">
        <v>575</v>
      </c>
      <c r="Q2645">
        <v>161</v>
      </c>
      <c r="R2645">
        <v>376</v>
      </c>
      <c r="S2645">
        <v>504</v>
      </c>
      <c r="T2645" t="s">
        <v>197</v>
      </c>
      <c r="U2645" t="s">
        <v>75</v>
      </c>
      <c r="V2645" t="s">
        <v>121</v>
      </c>
      <c r="W2645" t="s">
        <v>111</v>
      </c>
      <c r="X2645" t="s">
        <v>116</v>
      </c>
      <c r="Y2645" t="s">
        <v>107</v>
      </c>
    </row>
    <row r="2646" spans="1:25" hidden="1">
      <c r="A2646" t="s">
        <v>25</v>
      </c>
      <c r="B2646" t="s">
        <v>26</v>
      </c>
      <c r="C2646" t="s">
        <v>265</v>
      </c>
      <c r="D2646" s="1">
        <v>46241</v>
      </c>
      <c r="E2646" s="2">
        <v>0.77083333333333337</v>
      </c>
      <c r="F2646" t="s">
        <v>45</v>
      </c>
      <c r="G2646" t="s">
        <v>54</v>
      </c>
      <c r="H2646">
        <v>3</v>
      </c>
      <c r="I2646">
        <v>1</v>
      </c>
      <c r="J2646" t="s">
        <v>34</v>
      </c>
      <c r="N2646">
        <v>18</v>
      </c>
      <c r="O2646">
        <v>39</v>
      </c>
      <c r="P2646">
        <v>48</v>
      </c>
      <c r="Q2646">
        <v>171</v>
      </c>
      <c r="R2646">
        <v>363</v>
      </c>
      <c r="S2646">
        <v>438</v>
      </c>
      <c r="T2646" t="s">
        <v>132</v>
      </c>
      <c r="U2646" t="s">
        <v>129</v>
      </c>
      <c r="V2646" t="s">
        <v>141</v>
      </c>
      <c r="W2646" t="s">
        <v>197</v>
      </c>
      <c r="X2646" t="s">
        <v>116</v>
      </c>
      <c r="Y2646" t="s">
        <v>156</v>
      </c>
    </row>
    <row r="2647" spans="1:25" hidden="1">
      <c r="A2647" t="s">
        <v>25</v>
      </c>
      <c r="B2647" t="s">
        <v>26</v>
      </c>
      <c r="C2647" t="s">
        <v>265</v>
      </c>
      <c r="D2647" s="1">
        <v>46242</v>
      </c>
      <c r="E2647" s="2">
        <v>0.66666666666666663</v>
      </c>
      <c r="F2647" t="s">
        <v>63</v>
      </c>
      <c r="G2647" t="s">
        <v>59</v>
      </c>
      <c r="H2647">
        <v>2</v>
      </c>
      <c r="I2647">
        <v>1</v>
      </c>
      <c r="J2647" t="s">
        <v>34</v>
      </c>
      <c r="N2647">
        <v>19</v>
      </c>
      <c r="O2647">
        <v>36</v>
      </c>
      <c r="P2647">
        <v>42</v>
      </c>
      <c r="Q2647">
        <v>186</v>
      </c>
      <c r="R2647">
        <v>339</v>
      </c>
      <c r="S2647">
        <v>389</v>
      </c>
      <c r="T2647" t="s">
        <v>175</v>
      </c>
      <c r="U2647" t="s">
        <v>114</v>
      </c>
      <c r="V2647" t="s">
        <v>69</v>
      </c>
      <c r="W2647" t="s">
        <v>117</v>
      </c>
      <c r="X2647" t="s">
        <v>70</v>
      </c>
      <c r="Y2647" t="s">
        <v>129</v>
      </c>
    </row>
    <row r="2648" spans="1:25" hidden="1">
      <c r="A2648" t="s">
        <v>25</v>
      </c>
      <c r="B2648" t="s">
        <v>26</v>
      </c>
      <c r="C2648" t="s">
        <v>265</v>
      </c>
      <c r="D2648" s="1">
        <v>46242</v>
      </c>
      <c r="E2648" s="2">
        <v>0.77083333333333337</v>
      </c>
      <c r="F2648" t="s">
        <v>52</v>
      </c>
      <c r="G2648" t="s">
        <v>28</v>
      </c>
      <c r="H2648">
        <v>0</v>
      </c>
      <c r="I2648">
        <v>2</v>
      </c>
      <c r="J2648" t="s">
        <v>30</v>
      </c>
      <c r="N2648">
        <v>46</v>
      </c>
      <c r="O2648">
        <v>39</v>
      </c>
      <c r="P2648">
        <v>173</v>
      </c>
      <c r="Q2648">
        <v>441</v>
      </c>
      <c r="R2648">
        <v>374</v>
      </c>
      <c r="S2648">
        <v>168</v>
      </c>
      <c r="T2648" t="s">
        <v>97</v>
      </c>
      <c r="U2648" t="s">
        <v>125</v>
      </c>
      <c r="V2648" t="s">
        <v>237</v>
      </c>
      <c r="W2648" t="s">
        <v>156</v>
      </c>
      <c r="X2648" t="s">
        <v>71</v>
      </c>
      <c r="Y2648" t="s">
        <v>197</v>
      </c>
    </row>
    <row r="2649" spans="1:25" hidden="1">
      <c r="A2649" t="s">
        <v>25</v>
      </c>
      <c r="B2649" t="s">
        <v>26</v>
      </c>
      <c r="C2649" t="s">
        <v>265</v>
      </c>
      <c r="D2649" s="1">
        <v>46243</v>
      </c>
      <c r="E2649" s="2">
        <v>0.66666666666666663</v>
      </c>
      <c r="F2649" t="s">
        <v>38</v>
      </c>
      <c r="G2649" t="s">
        <v>35</v>
      </c>
      <c r="H2649">
        <v>1</v>
      </c>
      <c r="I2649">
        <v>2</v>
      </c>
      <c r="J2649" t="s">
        <v>30</v>
      </c>
      <c r="N2649">
        <v>33</v>
      </c>
      <c r="O2649">
        <v>36</v>
      </c>
      <c r="P2649">
        <v>218</v>
      </c>
      <c r="Q2649">
        <v>311</v>
      </c>
      <c r="R2649">
        <v>337</v>
      </c>
      <c r="S2649">
        <v>211</v>
      </c>
      <c r="T2649" t="s">
        <v>70</v>
      </c>
      <c r="U2649" t="s">
        <v>68</v>
      </c>
      <c r="V2649" t="s">
        <v>124</v>
      </c>
      <c r="W2649" t="s">
        <v>143</v>
      </c>
      <c r="X2649" t="s">
        <v>70</v>
      </c>
      <c r="Y2649" t="s">
        <v>244</v>
      </c>
    </row>
    <row r="2650" spans="1:25" hidden="1">
      <c r="A2650" t="s">
        <v>25</v>
      </c>
      <c r="B2650" t="s">
        <v>26</v>
      </c>
      <c r="C2650" t="s">
        <v>265</v>
      </c>
      <c r="D2650" s="1">
        <v>46243</v>
      </c>
      <c r="E2650" s="2">
        <v>0.66666666666666663</v>
      </c>
      <c r="F2650" t="s">
        <v>39</v>
      </c>
      <c r="G2650" t="s">
        <v>29</v>
      </c>
      <c r="H2650">
        <v>1</v>
      </c>
      <c r="I2650">
        <v>1</v>
      </c>
      <c r="J2650" t="s">
        <v>41</v>
      </c>
      <c r="N2650">
        <v>34</v>
      </c>
      <c r="O2650">
        <v>39</v>
      </c>
      <c r="P2650">
        <v>205</v>
      </c>
      <c r="Q2650">
        <v>315</v>
      </c>
      <c r="R2650">
        <v>362</v>
      </c>
      <c r="S2650">
        <v>201</v>
      </c>
      <c r="T2650" t="s">
        <v>70</v>
      </c>
      <c r="U2650" t="s">
        <v>116</v>
      </c>
      <c r="V2650" t="s">
        <v>152</v>
      </c>
      <c r="W2650" t="s">
        <v>144</v>
      </c>
      <c r="X2650" t="s">
        <v>71</v>
      </c>
      <c r="Y2650" t="s">
        <v>175</v>
      </c>
    </row>
    <row r="2651" spans="1:25" hidden="1">
      <c r="A2651" t="s">
        <v>25</v>
      </c>
      <c r="B2651" t="s">
        <v>26</v>
      </c>
      <c r="C2651" t="s">
        <v>265</v>
      </c>
      <c r="D2651" s="1">
        <v>46243</v>
      </c>
      <c r="E2651" s="2">
        <v>0.75</v>
      </c>
      <c r="F2651" t="s">
        <v>40</v>
      </c>
      <c r="G2651" t="s">
        <v>50</v>
      </c>
      <c r="H2651">
        <v>0</v>
      </c>
      <c r="I2651">
        <v>2</v>
      </c>
      <c r="J2651" t="s">
        <v>30</v>
      </c>
      <c r="N2651">
        <v>42</v>
      </c>
      <c r="O2651">
        <v>39</v>
      </c>
      <c r="P2651">
        <v>19</v>
      </c>
      <c r="Q2651">
        <v>39</v>
      </c>
      <c r="R2651">
        <v>371</v>
      </c>
      <c r="S2651">
        <v>178</v>
      </c>
      <c r="T2651" t="s">
        <v>69</v>
      </c>
      <c r="U2651" t="s">
        <v>116</v>
      </c>
      <c r="V2651" t="s">
        <v>73</v>
      </c>
      <c r="W2651" t="s">
        <v>83</v>
      </c>
      <c r="X2651" t="s">
        <v>116</v>
      </c>
      <c r="Y2651" t="s">
        <v>217</v>
      </c>
    </row>
    <row r="2652" spans="1:25" hidden="1">
      <c r="A2652" t="s">
        <v>25</v>
      </c>
      <c r="B2652" t="s">
        <v>26</v>
      </c>
      <c r="C2652" t="s">
        <v>265</v>
      </c>
      <c r="D2652" s="1">
        <v>46248</v>
      </c>
      <c r="E2652" s="2">
        <v>0.77083333333333337</v>
      </c>
      <c r="F2652" t="s">
        <v>50</v>
      </c>
      <c r="G2652" t="s">
        <v>38</v>
      </c>
      <c r="H2652">
        <v>4</v>
      </c>
      <c r="I2652">
        <v>1</v>
      </c>
      <c r="J2652" t="s">
        <v>34</v>
      </c>
      <c r="N2652">
        <v>144</v>
      </c>
      <c r="O2652">
        <v>5</v>
      </c>
      <c r="P2652">
        <v>7</v>
      </c>
      <c r="Q2652">
        <v>14</v>
      </c>
      <c r="R2652">
        <v>466</v>
      </c>
      <c r="S2652">
        <v>634</v>
      </c>
      <c r="T2652" t="s">
        <v>149</v>
      </c>
      <c r="U2652" t="s">
        <v>97</v>
      </c>
      <c r="V2652" t="s">
        <v>170</v>
      </c>
      <c r="W2652" t="s">
        <v>172</v>
      </c>
      <c r="X2652" t="s">
        <v>227</v>
      </c>
      <c r="Y2652" t="s">
        <v>226</v>
      </c>
    </row>
    <row r="2653" spans="1:25" hidden="1">
      <c r="A2653" t="s">
        <v>25</v>
      </c>
      <c r="B2653" t="s">
        <v>26</v>
      </c>
      <c r="C2653" t="s">
        <v>265</v>
      </c>
      <c r="D2653" s="1">
        <v>46249</v>
      </c>
      <c r="E2653" s="2">
        <v>0.66666666666666663</v>
      </c>
      <c r="F2653" t="s">
        <v>59</v>
      </c>
      <c r="G2653" t="s">
        <v>39</v>
      </c>
      <c r="H2653">
        <v>2</v>
      </c>
      <c r="I2653">
        <v>1</v>
      </c>
      <c r="J2653" t="s">
        <v>34</v>
      </c>
      <c r="N2653">
        <v>35</v>
      </c>
      <c r="O2653">
        <v>36</v>
      </c>
      <c r="P2653">
        <v>205</v>
      </c>
      <c r="Q2653">
        <v>339</v>
      </c>
      <c r="R2653">
        <v>348</v>
      </c>
      <c r="S2653">
        <v>198</v>
      </c>
      <c r="T2653" t="s">
        <v>74</v>
      </c>
      <c r="U2653" t="s">
        <v>77</v>
      </c>
      <c r="V2653" t="s">
        <v>166</v>
      </c>
      <c r="W2653" t="s">
        <v>144</v>
      </c>
      <c r="X2653" t="s">
        <v>68</v>
      </c>
      <c r="Y2653" t="s">
        <v>242</v>
      </c>
    </row>
    <row r="2654" spans="1:25" hidden="1">
      <c r="A2654" t="s">
        <v>25</v>
      </c>
      <c r="B2654" t="s">
        <v>26</v>
      </c>
      <c r="C2654" t="s">
        <v>265</v>
      </c>
      <c r="D2654" s="1">
        <v>46249</v>
      </c>
      <c r="E2654" s="2">
        <v>0.77083333333333337</v>
      </c>
      <c r="F2654" t="s">
        <v>28</v>
      </c>
      <c r="G2654" t="s">
        <v>45</v>
      </c>
      <c r="H2654">
        <v>1</v>
      </c>
      <c r="I2654">
        <v>0</v>
      </c>
      <c r="J2654" t="s">
        <v>34</v>
      </c>
      <c r="N2654">
        <v>167</v>
      </c>
      <c r="O2654">
        <v>41</v>
      </c>
      <c r="P2654">
        <v>525</v>
      </c>
      <c r="Q2654">
        <v>162</v>
      </c>
      <c r="R2654">
        <v>385</v>
      </c>
      <c r="S2654">
        <v>477</v>
      </c>
      <c r="T2654" t="s">
        <v>140</v>
      </c>
      <c r="U2654" t="s">
        <v>75</v>
      </c>
      <c r="V2654" t="s">
        <v>214</v>
      </c>
      <c r="W2654" t="s">
        <v>153</v>
      </c>
      <c r="X2654" t="s">
        <v>116</v>
      </c>
      <c r="Y2654" t="s">
        <v>232</v>
      </c>
    </row>
    <row r="2655" spans="1:25" hidden="1">
      <c r="A2655" t="s">
        <v>25</v>
      </c>
      <c r="B2655" t="s">
        <v>26</v>
      </c>
      <c r="C2655" t="s">
        <v>265</v>
      </c>
      <c r="D2655" s="1">
        <v>46250</v>
      </c>
      <c r="E2655" s="2">
        <v>0.66666666666666663</v>
      </c>
      <c r="F2655" t="s">
        <v>52</v>
      </c>
      <c r="G2655" t="s">
        <v>40</v>
      </c>
      <c r="H2655">
        <v>0</v>
      </c>
      <c r="I2655">
        <v>2</v>
      </c>
      <c r="J2655" t="s">
        <v>30</v>
      </c>
      <c r="N2655">
        <v>29</v>
      </c>
      <c r="O2655">
        <v>34</v>
      </c>
      <c r="P2655">
        <v>25</v>
      </c>
      <c r="Q2655">
        <v>28</v>
      </c>
      <c r="R2655">
        <v>324</v>
      </c>
      <c r="S2655">
        <v>237</v>
      </c>
      <c r="T2655" t="s">
        <v>163</v>
      </c>
      <c r="U2655" t="s">
        <v>144</v>
      </c>
      <c r="V2655" t="s">
        <v>81</v>
      </c>
      <c r="W2655" t="s">
        <v>231</v>
      </c>
      <c r="X2655" t="s">
        <v>144</v>
      </c>
      <c r="Y2655" t="s">
        <v>109</v>
      </c>
    </row>
    <row r="2656" spans="1:25" hidden="1">
      <c r="A2656" t="s">
        <v>25</v>
      </c>
      <c r="B2656" t="s">
        <v>26</v>
      </c>
      <c r="C2656" t="s">
        <v>265</v>
      </c>
      <c r="D2656" s="1">
        <v>46250</v>
      </c>
      <c r="E2656" s="2">
        <v>0.66666666666666663</v>
      </c>
      <c r="F2656" t="s">
        <v>54</v>
      </c>
      <c r="G2656" t="s">
        <v>29</v>
      </c>
      <c r="H2656">
        <v>0</v>
      </c>
      <c r="I2656">
        <v>3</v>
      </c>
      <c r="J2656" t="s">
        <v>30</v>
      </c>
      <c r="N2656">
        <v>75</v>
      </c>
      <c r="O2656">
        <v>525</v>
      </c>
      <c r="P2656">
        <v>141</v>
      </c>
      <c r="Q2656">
        <v>66</v>
      </c>
      <c r="R2656">
        <v>49</v>
      </c>
      <c r="S2656">
        <v>137</v>
      </c>
      <c r="T2656" t="s">
        <v>151</v>
      </c>
      <c r="U2656" t="s">
        <v>107</v>
      </c>
      <c r="V2656" t="s">
        <v>98</v>
      </c>
      <c r="W2656" t="s">
        <v>112</v>
      </c>
      <c r="X2656" t="s">
        <v>230</v>
      </c>
      <c r="Y2656" t="s">
        <v>266</v>
      </c>
    </row>
    <row r="2657" spans="1:25" hidden="1">
      <c r="A2657" t="s">
        <v>25</v>
      </c>
      <c r="B2657" t="s">
        <v>26</v>
      </c>
      <c r="C2657" t="s">
        <v>265</v>
      </c>
      <c r="D2657" s="1">
        <v>46250</v>
      </c>
      <c r="E2657" s="2">
        <v>0.75</v>
      </c>
      <c r="F2657" t="s">
        <v>35</v>
      </c>
      <c r="G2657" t="s">
        <v>63</v>
      </c>
      <c r="H2657">
        <v>8</v>
      </c>
      <c r="I2657">
        <v>0</v>
      </c>
      <c r="J2657" t="s">
        <v>34</v>
      </c>
      <c r="N2657">
        <v>15</v>
      </c>
      <c r="O2657">
        <v>433</v>
      </c>
      <c r="P2657">
        <v>65</v>
      </c>
      <c r="Q2657">
        <v>148</v>
      </c>
      <c r="R2657">
        <v>406</v>
      </c>
      <c r="S2657">
        <v>601</v>
      </c>
      <c r="T2657" t="s">
        <v>111</v>
      </c>
      <c r="U2657" t="s">
        <v>100</v>
      </c>
      <c r="V2657" t="s">
        <v>173</v>
      </c>
      <c r="W2657" t="s">
        <v>168</v>
      </c>
      <c r="X2657" t="s">
        <v>83</v>
      </c>
      <c r="Y2657" t="s">
        <v>263</v>
      </c>
    </row>
    <row r="2658" spans="1:25" hidden="1">
      <c r="A2658" t="s">
        <v>25</v>
      </c>
      <c r="B2658" t="s">
        <v>26</v>
      </c>
      <c r="C2658" t="s">
        <v>265</v>
      </c>
      <c r="D2658" s="1">
        <v>46255</v>
      </c>
      <c r="E2658" s="2">
        <v>0.77083333333333337</v>
      </c>
      <c r="F2658" t="s">
        <v>38</v>
      </c>
      <c r="G2658" t="s">
        <v>63</v>
      </c>
      <c r="H2658">
        <v>1</v>
      </c>
      <c r="I2658">
        <v>0</v>
      </c>
      <c r="J2658" t="s">
        <v>34</v>
      </c>
      <c r="N2658">
        <v>205</v>
      </c>
      <c r="O2658">
        <v>35</v>
      </c>
      <c r="P2658">
        <v>4</v>
      </c>
      <c r="Q2658">
        <v>195</v>
      </c>
      <c r="R2658">
        <v>336</v>
      </c>
      <c r="S2658">
        <v>362</v>
      </c>
      <c r="T2658" t="s">
        <v>99</v>
      </c>
      <c r="U2658" t="s">
        <v>68</v>
      </c>
      <c r="V2658" t="s">
        <v>116</v>
      </c>
      <c r="W2658" t="s">
        <v>175</v>
      </c>
      <c r="X2658" t="s">
        <v>144</v>
      </c>
      <c r="Y2658" t="s">
        <v>70</v>
      </c>
    </row>
    <row r="2659" spans="1:25" hidden="1">
      <c r="A2659" t="s">
        <v>25</v>
      </c>
      <c r="B2659" t="s">
        <v>26</v>
      </c>
      <c r="C2659" t="s">
        <v>265</v>
      </c>
      <c r="D2659" s="1">
        <v>46256</v>
      </c>
      <c r="E2659" s="2">
        <v>0.66666666666666663</v>
      </c>
      <c r="F2659" t="s">
        <v>45</v>
      </c>
      <c r="G2659" t="s">
        <v>52</v>
      </c>
      <c r="H2659">
        <v>1</v>
      </c>
      <c r="I2659">
        <v>2</v>
      </c>
      <c r="J2659" t="s">
        <v>30</v>
      </c>
      <c r="N2659">
        <v>18</v>
      </c>
      <c r="O2659">
        <v>38</v>
      </c>
      <c r="P2659">
        <v>46</v>
      </c>
      <c r="Q2659">
        <v>175</v>
      </c>
      <c r="R2659">
        <v>359</v>
      </c>
      <c r="S2659">
        <v>426</v>
      </c>
      <c r="T2659" t="s">
        <v>117</v>
      </c>
      <c r="U2659" t="s">
        <v>125</v>
      </c>
      <c r="V2659" t="s">
        <v>95</v>
      </c>
      <c r="W2659" t="s">
        <v>90</v>
      </c>
      <c r="X2659" t="s">
        <v>70</v>
      </c>
      <c r="Y2659" t="s">
        <v>156</v>
      </c>
    </row>
    <row r="2660" spans="1:25" hidden="1">
      <c r="A2660" t="s">
        <v>25</v>
      </c>
      <c r="B2660" t="s">
        <v>26</v>
      </c>
      <c r="C2660" t="s">
        <v>265</v>
      </c>
      <c r="D2660" s="1">
        <v>46256</v>
      </c>
      <c r="E2660" s="2">
        <v>0.77083333333333337</v>
      </c>
      <c r="F2660" t="s">
        <v>28</v>
      </c>
      <c r="G2660" t="s">
        <v>59</v>
      </c>
      <c r="H2660">
        <v>1</v>
      </c>
      <c r="I2660">
        <v>1</v>
      </c>
      <c r="J2660" t="s">
        <v>41</v>
      </c>
      <c r="N2660">
        <v>138</v>
      </c>
      <c r="O2660">
        <v>525</v>
      </c>
      <c r="P2660">
        <v>85</v>
      </c>
      <c r="Q2660">
        <v>134</v>
      </c>
      <c r="R2660">
        <v>488</v>
      </c>
      <c r="S2660">
        <v>738</v>
      </c>
      <c r="T2660" t="s">
        <v>253</v>
      </c>
      <c r="U2660" t="s">
        <v>141</v>
      </c>
      <c r="V2660" t="s">
        <v>264</v>
      </c>
      <c r="W2660" t="s">
        <v>87</v>
      </c>
      <c r="X2660" t="s">
        <v>150</v>
      </c>
      <c r="Y2660" t="s">
        <v>267</v>
      </c>
    </row>
    <row r="2661" spans="1:25" hidden="1">
      <c r="A2661" t="s">
        <v>25</v>
      </c>
      <c r="B2661" t="s">
        <v>26</v>
      </c>
      <c r="C2661" t="s">
        <v>265</v>
      </c>
      <c r="D2661" s="1">
        <v>46262</v>
      </c>
      <c r="E2661" s="2">
        <v>0.77083333333333337</v>
      </c>
      <c r="F2661" t="s">
        <v>59</v>
      </c>
      <c r="G2661" t="s">
        <v>54</v>
      </c>
      <c r="H2661">
        <v>0</v>
      </c>
      <c r="I2661">
        <v>4</v>
      </c>
      <c r="J2661" t="s">
        <v>30</v>
      </c>
      <c r="N2661">
        <v>215</v>
      </c>
      <c r="O2661">
        <v>37</v>
      </c>
      <c r="P2661">
        <v>314</v>
      </c>
      <c r="Q2661">
        <v>211</v>
      </c>
      <c r="R2661">
        <v>354</v>
      </c>
      <c r="S2661">
        <v>304</v>
      </c>
      <c r="T2661" t="s">
        <v>124</v>
      </c>
      <c r="U2661" t="s">
        <v>92</v>
      </c>
      <c r="V2661" t="s">
        <v>86</v>
      </c>
      <c r="W2661" t="s">
        <v>99</v>
      </c>
      <c r="X2661" t="s">
        <v>68</v>
      </c>
      <c r="Y2661" t="s">
        <v>79</v>
      </c>
    </row>
    <row r="2662" spans="1:25" hidden="1">
      <c r="A2662" t="s">
        <v>25</v>
      </c>
      <c r="B2662" t="s">
        <v>26</v>
      </c>
      <c r="C2662" t="s">
        <v>265</v>
      </c>
      <c r="D2662" s="1">
        <v>46263</v>
      </c>
      <c r="E2662" s="2">
        <v>0.66666666666666663</v>
      </c>
      <c r="F2662" t="s">
        <v>63</v>
      </c>
      <c r="G2662" t="s">
        <v>39</v>
      </c>
      <c r="H2662">
        <v>0</v>
      </c>
      <c r="I2662">
        <v>0</v>
      </c>
      <c r="J2662" t="s">
        <v>41</v>
      </c>
      <c r="N2662">
        <v>265</v>
      </c>
      <c r="O2662">
        <v>345</v>
      </c>
      <c r="P2662">
        <v>265</v>
      </c>
      <c r="Q2662">
        <v>253</v>
      </c>
      <c r="R2662">
        <v>337</v>
      </c>
      <c r="S2662">
        <v>255</v>
      </c>
      <c r="T2662" t="s">
        <v>158</v>
      </c>
      <c r="U2662" t="s">
        <v>68</v>
      </c>
      <c r="V2662" t="s">
        <v>191</v>
      </c>
      <c r="W2662" t="s">
        <v>128</v>
      </c>
      <c r="X2662" t="s">
        <v>144</v>
      </c>
      <c r="Y2662" t="s">
        <v>247</v>
      </c>
    </row>
    <row r="2663" spans="1:25" hidden="1">
      <c r="A2663" t="s">
        <v>25</v>
      </c>
      <c r="B2663" t="s">
        <v>26</v>
      </c>
      <c r="C2663" t="s">
        <v>265</v>
      </c>
      <c r="D2663" s="1">
        <v>46263</v>
      </c>
      <c r="E2663" s="2">
        <v>0.77083333333333337</v>
      </c>
      <c r="F2663" t="s">
        <v>50</v>
      </c>
      <c r="G2663" t="s">
        <v>45</v>
      </c>
      <c r="H2663">
        <v>3</v>
      </c>
      <c r="I2663">
        <v>0</v>
      </c>
      <c r="J2663" t="s">
        <v>34</v>
      </c>
      <c r="N2663">
        <v>14</v>
      </c>
      <c r="O2663">
        <v>525</v>
      </c>
      <c r="P2663">
        <v>9</v>
      </c>
      <c r="Q2663">
        <v>134</v>
      </c>
      <c r="R2663">
        <v>491</v>
      </c>
      <c r="S2663">
        <v>767</v>
      </c>
      <c r="T2663" t="s">
        <v>106</v>
      </c>
      <c r="U2663" t="s">
        <v>141</v>
      </c>
      <c r="V2663" t="s">
        <v>264</v>
      </c>
      <c r="W2663" t="s">
        <v>234</v>
      </c>
      <c r="X2663" t="s">
        <v>150</v>
      </c>
      <c r="Y2663" t="s">
        <v>264</v>
      </c>
    </row>
    <row r="2664" spans="1:25" hidden="1">
      <c r="A2664" t="s">
        <v>25</v>
      </c>
      <c r="B2664" t="s">
        <v>26</v>
      </c>
      <c r="C2664" t="s">
        <v>265</v>
      </c>
      <c r="D2664" s="1">
        <v>46264</v>
      </c>
      <c r="E2664" s="2">
        <v>0.66666666666666663</v>
      </c>
      <c r="F2664" t="s">
        <v>52</v>
      </c>
      <c r="G2664" t="s">
        <v>38</v>
      </c>
      <c r="H2664">
        <v>3</v>
      </c>
      <c r="I2664">
        <v>2</v>
      </c>
      <c r="J2664" t="s">
        <v>34</v>
      </c>
      <c r="N2664">
        <v>31</v>
      </c>
      <c r="O2664">
        <v>355</v>
      </c>
      <c r="P2664">
        <v>23</v>
      </c>
      <c r="Q2664">
        <v>293</v>
      </c>
      <c r="R2664">
        <v>333</v>
      </c>
      <c r="S2664">
        <v>222</v>
      </c>
      <c r="T2664" t="s">
        <v>110</v>
      </c>
      <c r="U2664" t="s">
        <v>80</v>
      </c>
      <c r="V2664" t="s">
        <v>204</v>
      </c>
      <c r="W2664" t="s">
        <v>246</v>
      </c>
      <c r="X2664" t="s">
        <v>70</v>
      </c>
      <c r="Y2664" t="s">
        <v>251</v>
      </c>
    </row>
    <row r="2665" spans="1:25" hidden="1">
      <c r="A2665" t="s">
        <v>25</v>
      </c>
      <c r="B2665" t="s">
        <v>26</v>
      </c>
      <c r="C2665" t="s">
        <v>265</v>
      </c>
      <c r="D2665" s="1">
        <v>46264</v>
      </c>
      <c r="E2665" s="2">
        <v>0.66666666666666663</v>
      </c>
      <c r="F2665" t="s">
        <v>35</v>
      </c>
      <c r="G2665" t="s">
        <v>28</v>
      </c>
      <c r="H2665">
        <v>3</v>
      </c>
      <c r="I2665">
        <v>1</v>
      </c>
      <c r="J2665" t="s">
        <v>34</v>
      </c>
      <c r="N2665">
        <v>21</v>
      </c>
      <c r="O2665">
        <v>39</v>
      </c>
      <c r="P2665">
        <v>32</v>
      </c>
      <c r="Q2665">
        <v>203</v>
      </c>
      <c r="R2665">
        <v>372</v>
      </c>
      <c r="S2665">
        <v>309</v>
      </c>
      <c r="T2665" t="s">
        <v>72</v>
      </c>
      <c r="U2665" t="s">
        <v>129</v>
      </c>
      <c r="V2665" t="s">
        <v>143</v>
      </c>
      <c r="W2665" t="s">
        <v>242</v>
      </c>
      <c r="X2665" t="s">
        <v>71</v>
      </c>
      <c r="Y2665" t="s">
        <v>103</v>
      </c>
    </row>
    <row r="2666" spans="1:25" hidden="1">
      <c r="A2666" t="s">
        <v>25</v>
      </c>
      <c r="B2666" t="s">
        <v>26</v>
      </c>
      <c r="C2666" t="s">
        <v>265</v>
      </c>
      <c r="D2666" s="1">
        <v>46264</v>
      </c>
      <c r="E2666" s="2">
        <v>0.75</v>
      </c>
      <c r="F2666" t="s">
        <v>29</v>
      </c>
      <c r="G2666" t="s">
        <v>40</v>
      </c>
      <c r="H2666">
        <v>4</v>
      </c>
      <c r="I2666">
        <v>1</v>
      </c>
      <c r="J2666" t="s">
        <v>34</v>
      </c>
      <c r="N2666">
        <v>139</v>
      </c>
      <c r="O2666">
        <v>525</v>
      </c>
      <c r="P2666">
        <v>8</v>
      </c>
      <c r="Q2666">
        <v>135</v>
      </c>
      <c r="R2666">
        <v>501</v>
      </c>
      <c r="S2666">
        <v>715</v>
      </c>
      <c r="T2666" t="s">
        <v>106</v>
      </c>
      <c r="U2666" t="s">
        <v>121</v>
      </c>
      <c r="V2666" t="s">
        <v>96</v>
      </c>
      <c r="W2666" t="s">
        <v>266</v>
      </c>
      <c r="X2666" t="s">
        <v>150</v>
      </c>
      <c r="Y2666" t="s">
        <v>263</v>
      </c>
    </row>
    <row r="2667" spans="1:25" hidden="1">
      <c r="A2667" t="s">
        <v>25</v>
      </c>
      <c r="B2667" t="s">
        <v>26</v>
      </c>
      <c r="C2667" t="s">
        <v>265</v>
      </c>
      <c r="D2667" s="1">
        <v>46266</v>
      </c>
      <c r="E2667" s="2">
        <v>0.77083333333333337</v>
      </c>
      <c r="F2667" t="s">
        <v>39</v>
      </c>
      <c r="G2667" t="s">
        <v>50</v>
      </c>
      <c r="H2667">
        <v>1</v>
      </c>
      <c r="I2667">
        <v>3</v>
      </c>
      <c r="J2667" t="s">
        <v>30</v>
      </c>
      <c r="N2667">
        <v>75</v>
      </c>
      <c r="O2667">
        <v>525</v>
      </c>
      <c r="P2667">
        <v>139</v>
      </c>
      <c r="Q2667">
        <v>66</v>
      </c>
      <c r="R2667">
        <v>507</v>
      </c>
      <c r="S2667">
        <v>136</v>
      </c>
      <c r="T2667" t="s">
        <v>261</v>
      </c>
      <c r="U2667" t="s">
        <v>121</v>
      </c>
      <c r="V2667" t="s">
        <v>268</v>
      </c>
      <c r="W2667" t="s">
        <v>112</v>
      </c>
      <c r="X2667" t="s">
        <v>150</v>
      </c>
      <c r="Y2667" t="s">
        <v>269</v>
      </c>
    </row>
    <row r="2668" spans="1:25" hidden="1">
      <c r="A2668" t="s">
        <v>25</v>
      </c>
      <c r="B2668" t="s">
        <v>26</v>
      </c>
      <c r="C2668" t="s">
        <v>265</v>
      </c>
      <c r="D2668" s="1">
        <v>46267</v>
      </c>
      <c r="E2668" s="2">
        <v>0.72916666666666663</v>
      </c>
      <c r="F2668" t="s">
        <v>40</v>
      </c>
      <c r="G2668" t="s">
        <v>54</v>
      </c>
      <c r="H2668">
        <v>0</v>
      </c>
      <c r="I2668">
        <v>1</v>
      </c>
      <c r="J2668" t="s">
        <v>30</v>
      </c>
      <c r="N2668">
        <v>187</v>
      </c>
      <c r="O2668">
        <v>375</v>
      </c>
      <c r="P2668">
        <v>4</v>
      </c>
      <c r="Q2668">
        <v>183</v>
      </c>
      <c r="R2668">
        <v>365</v>
      </c>
      <c r="S2668">
        <v>38</v>
      </c>
      <c r="T2668" t="s">
        <v>192</v>
      </c>
      <c r="U2668" t="s">
        <v>129</v>
      </c>
      <c r="V2668" t="s">
        <v>75</v>
      </c>
      <c r="W2668" t="s">
        <v>171</v>
      </c>
      <c r="X2668" t="s">
        <v>114</v>
      </c>
      <c r="Y2668" t="s">
        <v>92</v>
      </c>
    </row>
    <row r="2669" spans="1:25" hidden="1">
      <c r="A2669" t="s">
        <v>25</v>
      </c>
      <c r="B2669" t="s">
        <v>26</v>
      </c>
      <c r="C2669" t="s">
        <v>265</v>
      </c>
      <c r="D2669" s="1">
        <v>46267</v>
      </c>
      <c r="E2669" s="2">
        <v>0.8125</v>
      </c>
      <c r="F2669" t="s">
        <v>29</v>
      </c>
      <c r="G2669" t="s">
        <v>35</v>
      </c>
      <c r="H2669">
        <v>5</v>
      </c>
      <c r="I2669">
        <v>1</v>
      </c>
      <c r="J2669" t="s">
        <v>34</v>
      </c>
      <c r="N2669">
        <v>183</v>
      </c>
      <c r="O2669">
        <v>42</v>
      </c>
      <c r="P2669">
        <v>4</v>
      </c>
      <c r="Q2669">
        <v>177</v>
      </c>
      <c r="R2669">
        <v>401</v>
      </c>
      <c r="S2669">
        <v>367</v>
      </c>
      <c r="T2669" t="s">
        <v>159</v>
      </c>
      <c r="U2669" t="s">
        <v>100</v>
      </c>
      <c r="V2669" t="s">
        <v>83</v>
      </c>
      <c r="W2669" t="s">
        <v>237</v>
      </c>
      <c r="X2669" t="s">
        <v>129</v>
      </c>
      <c r="Y2669" t="s">
        <v>71</v>
      </c>
    </row>
    <row r="2670" spans="1:25" hidden="1">
      <c r="A2670" t="s">
        <v>25</v>
      </c>
      <c r="B2670" t="s">
        <v>26</v>
      </c>
      <c r="C2670" t="s">
        <v>265</v>
      </c>
      <c r="D2670" s="1">
        <v>46276</v>
      </c>
      <c r="E2670" s="2">
        <v>0.77083333333333337</v>
      </c>
      <c r="F2670" t="s">
        <v>38</v>
      </c>
      <c r="G2670" t="s">
        <v>29</v>
      </c>
      <c r="H2670">
        <v>1</v>
      </c>
      <c r="I2670">
        <v>1</v>
      </c>
      <c r="J2670" t="s">
        <v>41</v>
      </c>
      <c r="N2670">
        <v>6</v>
      </c>
      <c r="O2670">
        <v>48</v>
      </c>
      <c r="P2670">
        <v>155</v>
      </c>
      <c r="Q2670">
        <v>565</v>
      </c>
      <c r="R2670">
        <v>445</v>
      </c>
      <c r="S2670">
        <v>147</v>
      </c>
      <c r="T2670" t="s">
        <v>138</v>
      </c>
      <c r="U2670" t="s">
        <v>154</v>
      </c>
      <c r="V2670" t="s">
        <v>182</v>
      </c>
      <c r="W2670" t="s">
        <v>259</v>
      </c>
      <c r="X2670" t="s">
        <v>227</v>
      </c>
      <c r="Y2670" t="s">
        <v>149</v>
      </c>
    </row>
    <row r="2671" spans="1:25" hidden="1">
      <c r="A2671" t="s">
        <v>25</v>
      </c>
      <c r="B2671" t="s">
        <v>26</v>
      </c>
      <c r="C2671" t="s">
        <v>265</v>
      </c>
      <c r="D2671" s="1">
        <v>46277</v>
      </c>
      <c r="E2671" s="2">
        <v>0.66666666666666663</v>
      </c>
      <c r="F2671" t="s">
        <v>45</v>
      </c>
      <c r="G2671" t="s">
        <v>63</v>
      </c>
      <c r="H2671">
        <v>1</v>
      </c>
      <c r="I2671">
        <v>2</v>
      </c>
      <c r="J2671" t="s">
        <v>30</v>
      </c>
      <c r="N2671">
        <v>22</v>
      </c>
      <c r="O2671">
        <v>34</v>
      </c>
      <c r="P2671">
        <v>34</v>
      </c>
      <c r="Q2671">
        <v>212</v>
      </c>
      <c r="R2671">
        <v>329</v>
      </c>
      <c r="S2671">
        <v>323</v>
      </c>
      <c r="T2671" t="s">
        <v>91</v>
      </c>
      <c r="U2671" t="s">
        <v>80</v>
      </c>
      <c r="V2671" t="s">
        <v>77</v>
      </c>
      <c r="W2671" t="s">
        <v>99</v>
      </c>
      <c r="X2671" t="s">
        <v>143</v>
      </c>
      <c r="Y2671" t="s">
        <v>144</v>
      </c>
    </row>
    <row r="2672" spans="1:25" hidden="1">
      <c r="A2672" t="s">
        <v>25</v>
      </c>
      <c r="B2672" t="s">
        <v>26</v>
      </c>
      <c r="C2672" t="s">
        <v>265</v>
      </c>
      <c r="D2672" s="1">
        <v>46277</v>
      </c>
      <c r="E2672" s="2">
        <v>0.77083333333333337</v>
      </c>
      <c r="F2672" t="s">
        <v>39</v>
      </c>
      <c r="G2672" t="s">
        <v>35</v>
      </c>
      <c r="H2672">
        <v>0</v>
      </c>
      <c r="I2672">
        <v>3</v>
      </c>
      <c r="J2672" t="s">
        <v>30</v>
      </c>
      <c r="N2672">
        <v>55</v>
      </c>
      <c r="O2672">
        <v>46</v>
      </c>
      <c r="P2672">
        <v>154</v>
      </c>
      <c r="Q2672">
        <v>507</v>
      </c>
      <c r="R2672">
        <v>436</v>
      </c>
      <c r="S2672">
        <v>152</v>
      </c>
      <c r="T2672" t="s">
        <v>107</v>
      </c>
      <c r="U2672" t="s">
        <v>154</v>
      </c>
      <c r="V2672" t="s">
        <v>94</v>
      </c>
      <c r="W2672" t="s">
        <v>107</v>
      </c>
      <c r="X2672" t="s">
        <v>230</v>
      </c>
      <c r="Y2672" t="s">
        <v>220</v>
      </c>
    </row>
    <row r="2673" spans="1:25" hidden="1">
      <c r="A2673" t="s">
        <v>25</v>
      </c>
      <c r="B2673" t="s">
        <v>26</v>
      </c>
      <c r="C2673" t="s">
        <v>265</v>
      </c>
      <c r="D2673" s="1">
        <v>46278</v>
      </c>
      <c r="E2673" s="2">
        <v>0.5625</v>
      </c>
      <c r="F2673" t="s">
        <v>40</v>
      </c>
      <c r="G2673" t="s">
        <v>59</v>
      </c>
      <c r="H2673">
        <v>2</v>
      </c>
      <c r="I2673">
        <v>1</v>
      </c>
      <c r="J2673" t="s">
        <v>34</v>
      </c>
      <c r="N2673">
        <v>18</v>
      </c>
      <c r="O2673">
        <v>38</v>
      </c>
      <c r="P2673">
        <v>46</v>
      </c>
      <c r="Q2673">
        <v>171</v>
      </c>
      <c r="R2673">
        <v>37</v>
      </c>
      <c r="S2673">
        <v>436</v>
      </c>
      <c r="T2673" t="s">
        <v>145</v>
      </c>
      <c r="U2673" t="s">
        <v>129</v>
      </c>
      <c r="V2673" t="s">
        <v>89</v>
      </c>
      <c r="W2673" t="s">
        <v>197</v>
      </c>
      <c r="X2673" t="s">
        <v>92</v>
      </c>
      <c r="Y2673" t="s">
        <v>156</v>
      </c>
    </row>
    <row r="2674" spans="1:25" hidden="1">
      <c r="A2674" t="s">
        <v>25</v>
      </c>
      <c r="B2674" t="s">
        <v>26</v>
      </c>
      <c r="C2674" t="s">
        <v>265</v>
      </c>
      <c r="D2674" s="1">
        <v>46278</v>
      </c>
      <c r="E2674" s="2">
        <v>0.5625</v>
      </c>
      <c r="F2674" t="s">
        <v>54</v>
      </c>
      <c r="G2674" t="s">
        <v>52</v>
      </c>
      <c r="H2674">
        <v>2</v>
      </c>
      <c r="I2674">
        <v>2</v>
      </c>
      <c r="J2674" t="s">
        <v>41</v>
      </c>
      <c r="N2674">
        <v>2</v>
      </c>
      <c r="O2674">
        <v>36</v>
      </c>
      <c r="P2674">
        <v>375</v>
      </c>
      <c r="Q2674">
        <v>194</v>
      </c>
      <c r="R2674">
        <v>346</v>
      </c>
      <c r="S2674">
        <v>36</v>
      </c>
      <c r="T2674" t="s">
        <v>123</v>
      </c>
      <c r="U2674" t="s">
        <v>114</v>
      </c>
      <c r="V2674" t="s">
        <v>74</v>
      </c>
      <c r="W2674" t="s">
        <v>73</v>
      </c>
      <c r="X2674" t="s">
        <v>70</v>
      </c>
      <c r="Y2674" t="s">
        <v>71</v>
      </c>
    </row>
    <row r="2675" spans="1:25" hidden="1">
      <c r="A2675" t="s">
        <v>25</v>
      </c>
      <c r="B2675" t="s">
        <v>26</v>
      </c>
      <c r="C2675" t="s">
        <v>265</v>
      </c>
      <c r="D2675" s="1">
        <v>46278</v>
      </c>
      <c r="E2675" s="2">
        <v>0.66666666666666663</v>
      </c>
      <c r="F2675" t="s">
        <v>28</v>
      </c>
      <c r="G2675" t="s">
        <v>50</v>
      </c>
      <c r="H2675">
        <v>2</v>
      </c>
      <c r="I2675">
        <v>1</v>
      </c>
      <c r="J2675" t="s">
        <v>34</v>
      </c>
      <c r="N2675">
        <v>36</v>
      </c>
      <c r="O2675">
        <v>4</v>
      </c>
      <c r="P2675">
        <v>2</v>
      </c>
      <c r="Q2675">
        <v>333</v>
      </c>
      <c r="R2675">
        <v>38</v>
      </c>
      <c r="S2675">
        <v>192</v>
      </c>
      <c r="T2675" t="s">
        <v>114</v>
      </c>
      <c r="U2675" t="s">
        <v>83</v>
      </c>
      <c r="V2675" t="s">
        <v>101</v>
      </c>
      <c r="W2675" t="s">
        <v>68</v>
      </c>
      <c r="X2675" t="s">
        <v>92</v>
      </c>
      <c r="Y2675" t="s">
        <v>117</v>
      </c>
    </row>
    <row r="2676" spans="1:25" hidden="1">
      <c r="A2676" t="s">
        <v>25</v>
      </c>
      <c r="B2676" t="s">
        <v>26</v>
      </c>
      <c r="C2676" t="s">
        <v>265</v>
      </c>
      <c r="D2676" s="1">
        <v>46283</v>
      </c>
      <c r="E2676" s="2">
        <v>0.77083333333333337</v>
      </c>
      <c r="F2676" t="s">
        <v>35</v>
      </c>
      <c r="G2676" t="s">
        <v>54</v>
      </c>
      <c r="H2676">
        <v>3</v>
      </c>
      <c r="I2676">
        <v>0</v>
      </c>
      <c r="J2676" t="s">
        <v>34</v>
      </c>
      <c r="N2676">
        <v>142</v>
      </c>
      <c r="O2676">
        <v>533</v>
      </c>
      <c r="P2676">
        <v>7</v>
      </c>
      <c r="Q2676">
        <v>136</v>
      </c>
      <c r="R2676">
        <v>495</v>
      </c>
      <c r="S2676">
        <v>652</v>
      </c>
      <c r="T2676" t="s">
        <v>270</v>
      </c>
      <c r="U2676" t="s">
        <v>141</v>
      </c>
      <c r="V2676" t="s">
        <v>271</v>
      </c>
      <c r="W2676" t="s">
        <v>266</v>
      </c>
      <c r="X2676" t="s">
        <v>150</v>
      </c>
      <c r="Y2676" t="s">
        <v>112</v>
      </c>
    </row>
    <row r="2677" spans="1:25" hidden="1">
      <c r="A2677" t="s">
        <v>25</v>
      </c>
      <c r="B2677" t="s">
        <v>26</v>
      </c>
      <c r="C2677" t="s">
        <v>265</v>
      </c>
      <c r="D2677" s="1">
        <v>46284</v>
      </c>
      <c r="E2677" s="2">
        <v>0.66666666666666663</v>
      </c>
      <c r="F2677" t="s">
        <v>59</v>
      </c>
      <c r="G2677" t="s">
        <v>45</v>
      </c>
      <c r="H2677">
        <v>2</v>
      </c>
      <c r="I2677">
        <v>0</v>
      </c>
      <c r="J2677" t="s">
        <v>34</v>
      </c>
      <c r="N2677">
        <v>34</v>
      </c>
      <c r="O2677">
        <v>36</v>
      </c>
      <c r="P2677">
        <v>21</v>
      </c>
      <c r="Q2677">
        <v>328</v>
      </c>
      <c r="R2677">
        <v>341</v>
      </c>
      <c r="S2677">
        <v>204</v>
      </c>
      <c r="T2677" t="s">
        <v>77</v>
      </c>
      <c r="U2677" t="s">
        <v>68</v>
      </c>
      <c r="V2677" t="s">
        <v>72</v>
      </c>
      <c r="W2677" t="s">
        <v>144</v>
      </c>
      <c r="X2677" t="s">
        <v>70</v>
      </c>
      <c r="Y2677" t="s">
        <v>242</v>
      </c>
    </row>
    <row r="2678" spans="1:25" hidden="1">
      <c r="A2678" t="s">
        <v>25</v>
      </c>
      <c r="B2678" t="s">
        <v>26</v>
      </c>
      <c r="C2678" t="s">
        <v>265</v>
      </c>
      <c r="D2678" s="1">
        <v>46284</v>
      </c>
      <c r="E2678" s="2">
        <v>0.77083333333333337</v>
      </c>
      <c r="F2678" t="s">
        <v>63</v>
      </c>
      <c r="G2678" t="s">
        <v>40</v>
      </c>
      <c r="H2678">
        <v>2</v>
      </c>
      <c r="I2678">
        <v>2</v>
      </c>
      <c r="J2678" t="s">
        <v>41</v>
      </c>
      <c r="N2678">
        <v>28</v>
      </c>
      <c r="O2678">
        <v>32</v>
      </c>
      <c r="P2678">
        <v>263</v>
      </c>
      <c r="Q2678">
        <v>27</v>
      </c>
      <c r="R2678">
        <v>312</v>
      </c>
      <c r="S2678">
        <v>251</v>
      </c>
      <c r="T2678" t="s">
        <v>163</v>
      </c>
      <c r="U2678" t="s">
        <v>143</v>
      </c>
      <c r="V2678" t="s">
        <v>158</v>
      </c>
      <c r="W2678" t="s">
        <v>247</v>
      </c>
      <c r="X2678" t="s">
        <v>103</v>
      </c>
      <c r="Y2678" t="s">
        <v>229</v>
      </c>
    </row>
    <row r="2679" spans="1:25" hidden="1">
      <c r="A2679" t="s">
        <v>25</v>
      </c>
      <c r="B2679" t="s">
        <v>26</v>
      </c>
      <c r="C2679" t="s">
        <v>265</v>
      </c>
      <c r="D2679" s="1">
        <v>46285</v>
      </c>
      <c r="E2679" s="2">
        <v>0.5625</v>
      </c>
      <c r="F2679" t="s">
        <v>52</v>
      </c>
      <c r="G2679" t="s">
        <v>50</v>
      </c>
      <c r="H2679">
        <v>3</v>
      </c>
      <c r="I2679">
        <v>3</v>
      </c>
      <c r="J2679" t="s">
        <v>41</v>
      </c>
      <c r="N2679">
        <v>8</v>
      </c>
      <c r="O2679">
        <v>525</v>
      </c>
      <c r="P2679">
        <v>137</v>
      </c>
      <c r="Q2679">
        <v>717</v>
      </c>
      <c r="R2679">
        <v>496</v>
      </c>
      <c r="S2679">
        <v>134</v>
      </c>
      <c r="T2679" t="s">
        <v>108</v>
      </c>
      <c r="U2679" t="s">
        <v>107</v>
      </c>
      <c r="V2679" t="s">
        <v>172</v>
      </c>
      <c r="W2679" t="s">
        <v>267</v>
      </c>
      <c r="X2679" t="s">
        <v>227</v>
      </c>
      <c r="Y2679" t="s">
        <v>269</v>
      </c>
    </row>
    <row r="2680" spans="1:25" hidden="1">
      <c r="A2680" t="s">
        <v>25</v>
      </c>
      <c r="B2680" t="s">
        <v>26</v>
      </c>
      <c r="C2680" t="s">
        <v>265</v>
      </c>
      <c r="D2680" s="1">
        <v>46285</v>
      </c>
      <c r="E2680" s="2">
        <v>0.5625</v>
      </c>
      <c r="F2680" t="s">
        <v>38</v>
      </c>
      <c r="G2680" t="s">
        <v>39</v>
      </c>
      <c r="H2680">
        <v>4</v>
      </c>
      <c r="I2680">
        <v>1</v>
      </c>
      <c r="J2680" t="s">
        <v>34</v>
      </c>
      <c r="N2680">
        <v>193</v>
      </c>
      <c r="O2680">
        <v>39</v>
      </c>
      <c r="P2680">
        <v>38</v>
      </c>
      <c r="Q2680">
        <v>19</v>
      </c>
      <c r="R2680">
        <v>362</v>
      </c>
      <c r="S2680">
        <v>352</v>
      </c>
      <c r="T2680" t="s">
        <v>101</v>
      </c>
      <c r="U2680" t="s">
        <v>92</v>
      </c>
      <c r="V2680" t="s">
        <v>116</v>
      </c>
      <c r="W2680" t="s">
        <v>117</v>
      </c>
      <c r="X2680" t="s">
        <v>116</v>
      </c>
      <c r="Y2680" t="s">
        <v>70</v>
      </c>
    </row>
    <row r="2681" spans="1:25" hidden="1">
      <c r="A2681" t="s">
        <v>25</v>
      </c>
      <c r="B2681" t="s">
        <v>26</v>
      </c>
      <c r="C2681" t="s">
        <v>265</v>
      </c>
      <c r="D2681" s="1">
        <v>46285</v>
      </c>
      <c r="E2681" s="2">
        <v>0.66666666666666663</v>
      </c>
      <c r="F2681" t="s">
        <v>29</v>
      </c>
      <c r="G2681" t="s">
        <v>28</v>
      </c>
      <c r="H2681">
        <v>3</v>
      </c>
      <c r="I2681">
        <v>0</v>
      </c>
      <c r="J2681" t="s">
        <v>34</v>
      </c>
      <c r="N2681">
        <v>153</v>
      </c>
      <c r="O2681">
        <v>5</v>
      </c>
      <c r="P2681">
        <v>575</v>
      </c>
      <c r="Q2681">
        <v>148</v>
      </c>
      <c r="R2681">
        <v>466</v>
      </c>
      <c r="S2681">
        <v>518</v>
      </c>
      <c r="T2681" t="s">
        <v>272</v>
      </c>
      <c r="U2681" t="s">
        <v>89</v>
      </c>
      <c r="V2681" t="s">
        <v>201</v>
      </c>
      <c r="W2681" t="s">
        <v>168</v>
      </c>
      <c r="X2681" t="s">
        <v>150</v>
      </c>
      <c r="Y2681" t="s">
        <v>107</v>
      </c>
    </row>
    <row r="2682" spans="1:25" hidden="1">
      <c r="A2682" t="s">
        <v>25</v>
      </c>
      <c r="B2682" t="s">
        <v>26</v>
      </c>
      <c r="C2682" t="s">
        <v>265</v>
      </c>
      <c r="D2682" s="1">
        <v>46305</v>
      </c>
      <c r="E2682" s="2">
        <v>0.66666666666666663</v>
      </c>
      <c r="F2682" t="s">
        <v>63</v>
      </c>
      <c r="G2682" t="s">
        <v>29</v>
      </c>
      <c r="H2682">
        <v>0</v>
      </c>
      <c r="I2682">
        <v>0</v>
      </c>
      <c r="J2682" t="s">
        <v>41</v>
      </c>
      <c r="N2682">
        <v>52</v>
      </c>
      <c r="O2682">
        <v>425</v>
      </c>
      <c r="P2682">
        <v>165</v>
      </c>
      <c r="Q2682">
        <v>473</v>
      </c>
      <c r="R2682">
        <v>402</v>
      </c>
      <c r="S2682">
        <v>16</v>
      </c>
      <c r="T2682" t="s">
        <v>97</v>
      </c>
      <c r="U2682" t="s">
        <v>100</v>
      </c>
      <c r="V2682" t="s">
        <v>255</v>
      </c>
      <c r="W2682" t="s">
        <v>150</v>
      </c>
      <c r="X2682" t="s">
        <v>116</v>
      </c>
      <c r="Y2682" t="s">
        <v>94</v>
      </c>
    </row>
    <row r="2683" spans="1:25" hidden="1">
      <c r="A2683" t="s">
        <v>25</v>
      </c>
      <c r="B2683" t="s">
        <v>26</v>
      </c>
      <c r="C2683" t="s">
        <v>265</v>
      </c>
      <c r="D2683" s="1">
        <v>46305</v>
      </c>
      <c r="E2683" s="2">
        <v>0.66666666666666663</v>
      </c>
      <c r="F2683" t="s">
        <v>54</v>
      </c>
      <c r="G2683" t="s">
        <v>38</v>
      </c>
      <c r="H2683">
        <v>1</v>
      </c>
      <c r="I2683">
        <v>2</v>
      </c>
      <c r="J2683" t="s">
        <v>30</v>
      </c>
      <c r="N2683">
        <v>255</v>
      </c>
      <c r="O2683">
        <v>36</v>
      </c>
      <c r="P2683">
        <v>26</v>
      </c>
      <c r="Q2683">
        <v>245</v>
      </c>
      <c r="R2683">
        <v>351</v>
      </c>
      <c r="S2683">
        <v>253</v>
      </c>
      <c r="T2683" t="s">
        <v>208</v>
      </c>
      <c r="U2683" t="s">
        <v>71</v>
      </c>
      <c r="V2683" t="s">
        <v>211</v>
      </c>
      <c r="W2683" t="s">
        <v>257</v>
      </c>
      <c r="X2683" t="s">
        <v>68</v>
      </c>
      <c r="Y2683" t="s">
        <v>229</v>
      </c>
    </row>
    <row r="2684" spans="1:25" hidden="1">
      <c r="A2684" t="s">
        <v>25</v>
      </c>
      <c r="B2684" t="s">
        <v>26</v>
      </c>
      <c r="C2684" t="s">
        <v>265</v>
      </c>
      <c r="D2684" s="1">
        <v>46305</v>
      </c>
      <c r="E2684" s="2">
        <v>0.77083333333333337</v>
      </c>
      <c r="F2684" t="s">
        <v>40</v>
      </c>
      <c r="G2684" t="s">
        <v>28</v>
      </c>
      <c r="H2684">
        <v>0</v>
      </c>
      <c r="I2684">
        <v>2</v>
      </c>
      <c r="J2684" t="s">
        <v>30</v>
      </c>
      <c r="N2684">
        <v>325</v>
      </c>
      <c r="O2684">
        <v>36</v>
      </c>
      <c r="P2684">
        <v>22</v>
      </c>
      <c r="Q2684">
        <v>311</v>
      </c>
      <c r="R2684">
        <v>346</v>
      </c>
      <c r="S2684">
        <v>209</v>
      </c>
      <c r="T2684" t="s">
        <v>93</v>
      </c>
      <c r="U2684" t="s">
        <v>114</v>
      </c>
      <c r="V2684" t="s">
        <v>124</v>
      </c>
      <c r="W2684" t="s">
        <v>126</v>
      </c>
      <c r="X2684" t="s">
        <v>70</v>
      </c>
      <c r="Y2684" t="s">
        <v>239</v>
      </c>
    </row>
    <row r="2685" spans="1:25" hidden="1">
      <c r="A2685" t="s">
        <v>25</v>
      </c>
      <c r="B2685" t="s">
        <v>26</v>
      </c>
      <c r="C2685" t="s">
        <v>265</v>
      </c>
      <c r="D2685" s="1">
        <v>46306</v>
      </c>
      <c r="E2685" s="2">
        <v>0.5625</v>
      </c>
      <c r="F2685" t="s">
        <v>45</v>
      </c>
      <c r="G2685" t="s">
        <v>39</v>
      </c>
      <c r="H2685">
        <v>3</v>
      </c>
      <c r="I2685">
        <v>0</v>
      </c>
      <c r="J2685" t="s">
        <v>34</v>
      </c>
      <c r="N2685">
        <v>187</v>
      </c>
      <c r="O2685">
        <v>38</v>
      </c>
      <c r="P2685">
        <v>39</v>
      </c>
      <c r="Q2685">
        <v>184</v>
      </c>
      <c r="R2685">
        <v>361</v>
      </c>
      <c r="S2685">
        <v>373</v>
      </c>
      <c r="T2685" t="s">
        <v>165</v>
      </c>
      <c r="U2685" t="s">
        <v>129</v>
      </c>
      <c r="V2685" t="s">
        <v>129</v>
      </c>
      <c r="W2685" t="s">
        <v>117</v>
      </c>
      <c r="X2685" t="s">
        <v>70</v>
      </c>
      <c r="Y2685" t="s">
        <v>116</v>
      </c>
    </row>
    <row r="2686" spans="1:25" hidden="1">
      <c r="A2686" t="s">
        <v>25</v>
      </c>
      <c r="B2686" t="s">
        <v>26</v>
      </c>
      <c r="C2686" t="s">
        <v>265</v>
      </c>
      <c r="D2686" s="1">
        <v>46306</v>
      </c>
      <c r="E2686" s="2">
        <v>0.5625</v>
      </c>
      <c r="F2686" t="s">
        <v>52</v>
      </c>
      <c r="G2686" t="s">
        <v>59</v>
      </c>
      <c r="H2686">
        <v>4</v>
      </c>
      <c r="I2686">
        <v>3</v>
      </c>
      <c r="J2686" t="s">
        <v>34</v>
      </c>
      <c r="N2686">
        <v>225</v>
      </c>
      <c r="O2686">
        <v>35</v>
      </c>
      <c r="P2686">
        <v>31</v>
      </c>
      <c r="Q2686">
        <v>22</v>
      </c>
      <c r="R2686">
        <v>344</v>
      </c>
      <c r="S2686">
        <v>291</v>
      </c>
      <c r="T2686" t="s">
        <v>238</v>
      </c>
      <c r="U2686" t="s">
        <v>114</v>
      </c>
      <c r="V2686" t="s">
        <v>110</v>
      </c>
      <c r="W2686" t="s">
        <v>239</v>
      </c>
      <c r="X2686" t="s">
        <v>144</v>
      </c>
      <c r="Y2686" t="s">
        <v>126</v>
      </c>
    </row>
    <row r="2687" spans="1:25" hidden="1">
      <c r="A2687" t="s">
        <v>25</v>
      </c>
      <c r="B2687" t="s">
        <v>26</v>
      </c>
      <c r="C2687" t="s">
        <v>265</v>
      </c>
      <c r="D2687" s="1">
        <v>46306</v>
      </c>
      <c r="E2687" s="2">
        <v>0.66666666666666663</v>
      </c>
      <c r="F2687" t="s">
        <v>50</v>
      </c>
      <c r="G2687" t="s">
        <v>35</v>
      </c>
      <c r="H2687">
        <v>0</v>
      </c>
      <c r="I2687">
        <v>2</v>
      </c>
      <c r="J2687" t="s">
        <v>30</v>
      </c>
      <c r="N2687">
        <v>191</v>
      </c>
      <c r="O2687">
        <v>4</v>
      </c>
      <c r="P2687">
        <v>37</v>
      </c>
      <c r="Q2687">
        <v>188</v>
      </c>
      <c r="R2687">
        <v>38</v>
      </c>
      <c r="S2687">
        <v>337</v>
      </c>
      <c r="T2687" t="s">
        <v>119</v>
      </c>
      <c r="U2687" t="s">
        <v>83</v>
      </c>
      <c r="V2687" t="s">
        <v>71</v>
      </c>
      <c r="W2687" t="s">
        <v>117</v>
      </c>
      <c r="X2687" t="s">
        <v>71</v>
      </c>
      <c r="Y2687" t="s">
        <v>114</v>
      </c>
    </row>
    <row r="2688" spans="1:25" hidden="1">
      <c r="A2688" t="s">
        <v>25</v>
      </c>
      <c r="B2688" t="s">
        <v>26</v>
      </c>
      <c r="C2688" t="s">
        <v>265</v>
      </c>
      <c r="D2688" s="1">
        <v>46311</v>
      </c>
      <c r="E2688" s="2">
        <v>0.77083333333333337</v>
      </c>
      <c r="F2688" t="s">
        <v>35</v>
      </c>
      <c r="G2688" t="s">
        <v>52</v>
      </c>
      <c r="H2688">
        <v>3</v>
      </c>
      <c r="I2688">
        <v>1</v>
      </c>
      <c r="J2688" t="s">
        <v>34</v>
      </c>
      <c r="N2688">
        <v>125</v>
      </c>
      <c r="O2688">
        <v>65</v>
      </c>
      <c r="P2688">
        <v>115</v>
      </c>
      <c r="Q2688">
        <v>123</v>
      </c>
      <c r="R2688">
        <v>594</v>
      </c>
      <c r="S2688">
        <v>97</v>
      </c>
      <c r="T2688" t="s">
        <v>273</v>
      </c>
      <c r="U2688" t="s">
        <v>274</v>
      </c>
      <c r="V2688" t="s">
        <v>219</v>
      </c>
      <c r="W2688" t="s">
        <v>275</v>
      </c>
      <c r="X2688" t="s">
        <v>65</v>
      </c>
      <c r="Y2688" t="s">
        <v>276</v>
      </c>
    </row>
    <row r="2689" spans="1:25" hidden="1">
      <c r="A2689" t="s">
        <v>25</v>
      </c>
      <c r="B2689" t="s">
        <v>26</v>
      </c>
      <c r="C2689" t="s">
        <v>265</v>
      </c>
      <c r="D2689" s="1">
        <v>46312</v>
      </c>
      <c r="E2689" s="2">
        <v>0.66666666666666663</v>
      </c>
      <c r="F2689" t="s">
        <v>59</v>
      </c>
      <c r="G2689" t="s">
        <v>50</v>
      </c>
      <c r="H2689">
        <v>0</v>
      </c>
      <c r="I2689">
        <v>4</v>
      </c>
      <c r="J2689" t="s">
        <v>30</v>
      </c>
      <c r="N2689">
        <v>65</v>
      </c>
      <c r="O2689">
        <v>5</v>
      </c>
      <c r="P2689">
        <v>148</v>
      </c>
      <c r="Q2689">
        <v>596</v>
      </c>
      <c r="R2689">
        <v>465</v>
      </c>
      <c r="S2689">
        <v>142</v>
      </c>
      <c r="T2689" t="s">
        <v>183</v>
      </c>
      <c r="U2689" t="s">
        <v>169</v>
      </c>
      <c r="V2689" t="s">
        <v>137</v>
      </c>
      <c r="W2689" t="s">
        <v>65</v>
      </c>
      <c r="X2689" t="s">
        <v>150</v>
      </c>
      <c r="Y2689" t="s">
        <v>98</v>
      </c>
    </row>
    <row r="2690" spans="1:25" hidden="1">
      <c r="A2690" t="s">
        <v>25</v>
      </c>
      <c r="B2690" t="s">
        <v>26</v>
      </c>
      <c r="C2690" t="s">
        <v>265</v>
      </c>
      <c r="D2690" s="1">
        <v>46312</v>
      </c>
      <c r="E2690" s="2">
        <v>0.77083333333333337</v>
      </c>
      <c r="F2690" t="s">
        <v>38</v>
      </c>
      <c r="G2690" t="s">
        <v>40</v>
      </c>
      <c r="H2690">
        <v>3</v>
      </c>
      <c r="I2690">
        <v>2</v>
      </c>
      <c r="J2690" t="s">
        <v>34</v>
      </c>
      <c r="N2690">
        <v>23</v>
      </c>
      <c r="O2690">
        <v>36</v>
      </c>
      <c r="P2690">
        <v>288</v>
      </c>
      <c r="Q2690">
        <v>224</v>
      </c>
      <c r="R2690">
        <v>349</v>
      </c>
      <c r="S2690">
        <v>279</v>
      </c>
      <c r="T2690" t="s">
        <v>109</v>
      </c>
      <c r="U2690" t="s">
        <v>125</v>
      </c>
      <c r="V2690" t="s">
        <v>277</v>
      </c>
      <c r="W2690" t="s">
        <v>251</v>
      </c>
      <c r="X2690" t="s">
        <v>68</v>
      </c>
      <c r="Y2690" t="s">
        <v>104</v>
      </c>
    </row>
    <row r="2691" spans="1:25" hidden="1">
      <c r="A2691" t="s">
        <v>25</v>
      </c>
      <c r="B2691" t="s">
        <v>26</v>
      </c>
      <c r="C2691" t="s">
        <v>265</v>
      </c>
      <c r="D2691" s="1">
        <v>46313</v>
      </c>
      <c r="E2691" s="2">
        <v>0.5625</v>
      </c>
      <c r="F2691" t="s">
        <v>29</v>
      </c>
      <c r="G2691" t="s">
        <v>45</v>
      </c>
      <c r="H2691">
        <v>3</v>
      </c>
      <c r="I2691">
        <v>0</v>
      </c>
      <c r="J2691" t="s">
        <v>34</v>
      </c>
      <c r="N2691">
        <v>142</v>
      </c>
      <c r="O2691">
        <v>533</v>
      </c>
      <c r="P2691">
        <v>7</v>
      </c>
      <c r="Q2691">
        <v>138</v>
      </c>
      <c r="R2691">
        <v>479</v>
      </c>
      <c r="S2691">
        <v>648</v>
      </c>
      <c r="T2691" t="s">
        <v>168</v>
      </c>
      <c r="U2691" t="s">
        <v>97</v>
      </c>
      <c r="V2691" t="s">
        <v>151</v>
      </c>
      <c r="W2691" t="s">
        <v>172</v>
      </c>
      <c r="X2691" t="s">
        <v>227</v>
      </c>
      <c r="Y2691" t="s">
        <v>112</v>
      </c>
    </row>
    <row r="2692" spans="1:25" hidden="1">
      <c r="A2692" t="s">
        <v>25</v>
      </c>
      <c r="B2692" t="s">
        <v>26</v>
      </c>
      <c r="C2692" t="s">
        <v>265</v>
      </c>
      <c r="D2692" s="1">
        <v>46313</v>
      </c>
      <c r="E2692" s="2">
        <v>0.5625</v>
      </c>
      <c r="F2692" t="s">
        <v>39</v>
      </c>
      <c r="G2692" t="s">
        <v>54</v>
      </c>
      <c r="H2692">
        <v>0</v>
      </c>
      <c r="I2692">
        <v>2</v>
      </c>
      <c r="J2692" t="s">
        <v>30</v>
      </c>
      <c r="N2692">
        <v>29</v>
      </c>
      <c r="O2692">
        <v>36</v>
      </c>
      <c r="P2692">
        <v>238</v>
      </c>
      <c r="Q2692">
        <v>277</v>
      </c>
      <c r="R2692">
        <v>341</v>
      </c>
      <c r="S2692">
        <v>229</v>
      </c>
      <c r="T2692" t="s">
        <v>163</v>
      </c>
      <c r="U2692" t="s">
        <v>68</v>
      </c>
      <c r="V2692" t="s">
        <v>127</v>
      </c>
      <c r="W2692" t="s">
        <v>104</v>
      </c>
      <c r="X2692" t="s">
        <v>68</v>
      </c>
      <c r="Y2692" t="s">
        <v>251</v>
      </c>
    </row>
    <row r="2693" spans="1:25" hidden="1">
      <c r="A2693" t="s">
        <v>25</v>
      </c>
      <c r="B2693" t="s">
        <v>26</v>
      </c>
      <c r="C2693" t="s">
        <v>265</v>
      </c>
      <c r="D2693" s="1">
        <v>46313</v>
      </c>
      <c r="E2693" s="2">
        <v>0.66666666666666663</v>
      </c>
      <c r="F2693" t="s">
        <v>28</v>
      </c>
      <c r="G2693" t="s">
        <v>63</v>
      </c>
      <c r="H2693">
        <v>6</v>
      </c>
      <c r="I2693">
        <v>1</v>
      </c>
      <c r="J2693" t="s">
        <v>34</v>
      </c>
      <c r="N2693">
        <v>195</v>
      </c>
      <c r="O2693">
        <v>36</v>
      </c>
      <c r="P2693">
        <v>38</v>
      </c>
      <c r="Q2693">
        <v>191</v>
      </c>
      <c r="R2693">
        <v>345</v>
      </c>
      <c r="S2693">
        <v>368</v>
      </c>
      <c r="T2693" t="s">
        <v>166</v>
      </c>
      <c r="U2693" t="s">
        <v>77</v>
      </c>
      <c r="V2693" t="s">
        <v>83</v>
      </c>
      <c r="W2693" t="s">
        <v>73</v>
      </c>
      <c r="X2693" t="s">
        <v>144</v>
      </c>
      <c r="Y2693" t="s">
        <v>92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AFAC-FA55-45D1-91B1-0499909CCDA7}">
  <dimension ref="A1:Y193"/>
  <sheetViews>
    <sheetView tabSelected="1" topLeftCell="A168" workbookViewId="0">
      <selection activeCell="H2" sqref="H2:I193"/>
    </sheetView>
  </sheetViews>
  <sheetFormatPr baseColWidth="10" defaultRowHeight="14.4"/>
  <sheetData>
    <row r="1" spans="1:25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t="s">
        <v>26</v>
      </c>
      <c r="C2" t="s">
        <v>221</v>
      </c>
      <c r="D2" s="1">
        <v>45870</v>
      </c>
      <c r="E2" s="2">
        <v>0.8125</v>
      </c>
      <c r="F2" t="s">
        <v>50</v>
      </c>
      <c r="G2" t="s">
        <v>28</v>
      </c>
      <c r="H2">
        <v>0</v>
      </c>
      <c r="I2">
        <v>2</v>
      </c>
      <c r="J2" t="s">
        <v>30</v>
      </c>
      <c r="K2">
        <v>236</v>
      </c>
      <c r="L2">
        <v>361</v>
      </c>
      <c r="M2">
        <v>3</v>
      </c>
      <c r="N2">
        <v>25</v>
      </c>
      <c r="O2">
        <v>361</v>
      </c>
      <c r="P2">
        <v>3</v>
      </c>
      <c r="Q2">
        <v>237</v>
      </c>
      <c r="R2">
        <v>344</v>
      </c>
      <c r="S2">
        <v>271</v>
      </c>
      <c r="T2" t="s">
        <v>105</v>
      </c>
      <c r="U2" t="s">
        <v>77</v>
      </c>
      <c r="V2" t="s">
        <v>210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221</v>
      </c>
      <c r="D3" s="1">
        <v>45871</v>
      </c>
      <c r="E3" s="2">
        <v>0.66666666666666663</v>
      </c>
      <c r="F3" t="s">
        <v>54</v>
      </c>
      <c r="G3" t="s">
        <v>52</v>
      </c>
      <c r="H3">
        <v>4</v>
      </c>
      <c r="I3">
        <v>2</v>
      </c>
      <c r="J3" t="s">
        <v>34</v>
      </c>
      <c r="K3">
        <v>271</v>
      </c>
      <c r="L3">
        <v>33</v>
      </c>
      <c r="M3">
        <v>278</v>
      </c>
      <c r="N3">
        <v>271</v>
      </c>
      <c r="O3">
        <v>35</v>
      </c>
      <c r="P3">
        <v>325</v>
      </c>
      <c r="Q3">
        <v>224</v>
      </c>
      <c r="R3">
        <v>326</v>
      </c>
      <c r="S3">
        <v>307</v>
      </c>
      <c r="T3" t="s">
        <v>124</v>
      </c>
      <c r="U3" t="s">
        <v>144</v>
      </c>
      <c r="V3" t="s">
        <v>114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221</v>
      </c>
      <c r="D4" s="1">
        <v>45871</v>
      </c>
      <c r="E4" s="2">
        <v>0.66666666666666663</v>
      </c>
      <c r="F4" t="s">
        <v>39</v>
      </c>
      <c r="G4" t="s">
        <v>45</v>
      </c>
      <c r="H4">
        <v>0</v>
      </c>
      <c r="I4">
        <v>2</v>
      </c>
      <c r="J4" t="s">
        <v>30</v>
      </c>
      <c r="K4">
        <v>191</v>
      </c>
      <c r="L4">
        <v>377</v>
      </c>
      <c r="M4">
        <v>407</v>
      </c>
      <c r="N4">
        <v>215</v>
      </c>
      <c r="O4">
        <v>377</v>
      </c>
      <c r="P4">
        <v>407</v>
      </c>
      <c r="Q4">
        <v>206</v>
      </c>
      <c r="R4">
        <v>334</v>
      </c>
      <c r="S4">
        <v>337</v>
      </c>
      <c r="T4" t="s">
        <v>222</v>
      </c>
      <c r="U4" t="s">
        <v>70</v>
      </c>
      <c r="V4" t="s">
        <v>68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26</v>
      </c>
      <c r="C5" t="s">
        <v>221</v>
      </c>
      <c r="D5" s="1">
        <v>45871</v>
      </c>
      <c r="E5" s="2">
        <v>0.77083333333333337</v>
      </c>
      <c r="F5" t="s">
        <v>38</v>
      </c>
      <c r="G5" t="s">
        <v>29</v>
      </c>
      <c r="H5">
        <v>2</v>
      </c>
      <c r="I5">
        <v>2</v>
      </c>
      <c r="J5" t="s">
        <v>41</v>
      </c>
      <c r="K5">
        <v>51</v>
      </c>
      <c r="L5">
        <v>418</v>
      </c>
      <c r="M5">
        <v>166</v>
      </c>
      <c r="N5">
        <v>525</v>
      </c>
      <c r="O5">
        <v>418</v>
      </c>
      <c r="P5">
        <v>17</v>
      </c>
      <c r="Q5">
        <v>495</v>
      </c>
      <c r="R5">
        <v>372</v>
      </c>
      <c r="S5">
        <v>164</v>
      </c>
      <c r="T5" t="s">
        <v>65</v>
      </c>
      <c r="U5" t="s">
        <v>69</v>
      </c>
      <c r="V5" t="s">
        <v>155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26</v>
      </c>
      <c r="C6" t="s">
        <v>221</v>
      </c>
      <c r="D6" s="1">
        <v>45872</v>
      </c>
      <c r="E6" s="2">
        <v>0.66666666666666663</v>
      </c>
      <c r="F6" t="s">
        <v>63</v>
      </c>
      <c r="G6" t="s">
        <v>40</v>
      </c>
      <c r="H6">
        <v>2</v>
      </c>
      <c r="I6">
        <v>2</v>
      </c>
      <c r="J6" t="s">
        <v>41</v>
      </c>
      <c r="K6">
        <v>376</v>
      </c>
      <c r="L6">
        <v>373</v>
      </c>
      <c r="M6">
        <v>2</v>
      </c>
      <c r="N6">
        <v>45</v>
      </c>
      <c r="O6">
        <v>39</v>
      </c>
      <c r="P6">
        <v>2</v>
      </c>
      <c r="Q6">
        <v>397</v>
      </c>
      <c r="R6">
        <v>362</v>
      </c>
      <c r="S6">
        <v>18</v>
      </c>
      <c r="T6" t="s">
        <v>83</v>
      </c>
      <c r="U6" t="s">
        <v>74</v>
      </c>
      <c r="V6" t="s">
        <v>223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26</v>
      </c>
      <c r="C7" t="s">
        <v>221</v>
      </c>
      <c r="D7" s="1">
        <v>45872</v>
      </c>
      <c r="E7" s="2">
        <v>0.66666666666666663</v>
      </c>
      <c r="F7" t="s">
        <v>35</v>
      </c>
      <c r="G7" t="s">
        <v>61</v>
      </c>
      <c r="H7">
        <v>1</v>
      </c>
      <c r="I7">
        <v>0</v>
      </c>
      <c r="J7" t="s">
        <v>34</v>
      </c>
      <c r="K7">
        <v>193</v>
      </c>
      <c r="L7">
        <v>354</v>
      </c>
      <c r="M7">
        <v>381</v>
      </c>
      <c r="N7">
        <v>193</v>
      </c>
      <c r="O7">
        <v>39</v>
      </c>
      <c r="P7">
        <v>433</v>
      </c>
      <c r="Q7">
        <v>181</v>
      </c>
      <c r="R7">
        <v>36</v>
      </c>
      <c r="S7">
        <v>401</v>
      </c>
      <c r="T7" t="s">
        <v>198</v>
      </c>
      <c r="U7" t="s">
        <v>116</v>
      </c>
      <c r="V7" t="s">
        <v>95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26</v>
      </c>
      <c r="C8" t="s">
        <v>221</v>
      </c>
      <c r="D8" s="1">
        <v>45878</v>
      </c>
      <c r="E8" s="2">
        <v>0.66666666666666663</v>
      </c>
      <c r="F8" t="s">
        <v>45</v>
      </c>
      <c r="G8" t="s">
        <v>38</v>
      </c>
      <c r="H8">
        <v>1</v>
      </c>
      <c r="I8">
        <v>0</v>
      </c>
      <c r="J8" t="s">
        <v>34</v>
      </c>
      <c r="K8">
        <v>226</v>
      </c>
      <c r="L8">
        <v>286</v>
      </c>
      <c r="M8">
        <v>412</v>
      </c>
      <c r="N8">
        <v>238</v>
      </c>
      <c r="O8">
        <v>3</v>
      </c>
      <c r="P8">
        <v>4</v>
      </c>
      <c r="Q8">
        <v>216</v>
      </c>
      <c r="R8">
        <v>284</v>
      </c>
      <c r="S8">
        <v>374</v>
      </c>
      <c r="T8" t="s">
        <v>142</v>
      </c>
      <c r="U8" t="s">
        <v>163</v>
      </c>
      <c r="V8" t="s">
        <v>129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26</v>
      </c>
      <c r="C9" t="s">
        <v>221</v>
      </c>
      <c r="D9" s="1">
        <v>45878</v>
      </c>
      <c r="E9" s="2">
        <v>0.66666666666666663</v>
      </c>
      <c r="F9" t="s">
        <v>61</v>
      </c>
      <c r="G9" t="s">
        <v>52</v>
      </c>
      <c r="H9">
        <v>0</v>
      </c>
      <c r="I9">
        <v>1</v>
      </c>
      <c r="J9" t="s">
        <v>30</v>
      </c>
      <c r="K9">
        <v>205</v>
      </c>
      <c r="L9">
        <v>348</v>
      </c>
      <c r="M9">
        <v>387</v>
      </c>
      <c r="N9">
        <v>184</v>
      </c>
      <c r="O9">
        <v>4</v>
      </c>
      <c r="P9">
        <v>55</v>
      </c>
      <c r="Q9">
        <v>17</v>
      </c>
      <c r="R9">
        <v>364</v>
      </c>
      <c r="S9">
        <v>463</v>
      </c>
      <c r="T9" t="s">
        <v>132</v>
      </c>
      <c r="U9" t="s">
        <v>125</v>
      </c>
      <c r="V9" t="s">
        <v>107</v>
      </c>
      <c r="W9" t="s">
        <v>31</v>
      </c>
      <c r="X9" t="s">
        <v>31</v>
      </c>
      <c r="Y9" t="s">
        <v>31</v>
      </c>
    </row>
    <row r="10" spans="1:25">
      <c r="A10" t="s">
        <v>25</v>
      </c>
      <c r="B10" t="s">
        <v>26</v>
      </c>
      <c r="C10" t="s">
        <v>221</v>
      </c>
      <c r="D10" s="1">
        <v>45878</v>
      </c>
      <c r="E10" s="2">
        <v>0.77083333333333337</v>
      </c>
      <c r="F10" t="s">
        <v>29</v>
      </c>
      <c r="G10" t="s">
        <v>63</v>
      </c>
      <c r="H10">
        <v>5</v>
      </c>
      <c r="I10">
        <v>0</v>
      </c>
      <c r="J10" t="s">
        <v>34</v>
      </c>
      <c r="K10">
        <v>135</v>
      </c>
      <c r="L10">
        <v>52</v>
      </c>
      <c r="M10">
        <v>964</v>
      </c>
      <c r="N10">
        <v>144</v>
      </c>
      <c r="O10">
        <v>5</v>
      </c>
      <c r="P10">
        <v>8</v>
      </c>
      <c r="Q10">
        <v>14</v>
      </c>
      <c r="R10">
        <v>467</v>
      </c>
      <c r="S10">
        <v>667</v>
      </c>
      <c r="T10" t="s">
        <v>168</v>
      </c>
      <c r="U10" t="s">
        <v>150</v>
      </c>
      <c r="V10" t="s">
        <v>151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26</v>
      </c>
      <c r="C11" t="s">
        <v>221</v>
      </c>
      <c r="D11" s="1">
        <v>45879</v>
      </c>
      <c r="E11" s="2">
        <v>0.66666666666666663</v>
      </c>
      <c r="F11" t="s">
        <v>40</v>
      </c>
      <c r="G11" t="s">
        <v>39</v>
      </c>
      <c r="H11">
        <v>0</v>
      </c>
      <c r="I11">
        <v>2</v>
      </c>
      <c r="J11" t="s">
        <v>30</v>
      </c>
      <c r="K11">
        <v>2</v>
      </c>
      <c r="L11">
        <v>365</v>
      </c>
      <c r="M11">
        <v>385</v>
      </c>
      <c r="N11">
        <v>21</v>
      </c>
      <c r="O11">
        <v>38</v>
      </c>
      <c r="P11">
        <v>35</v>
      </c>
      <c r="Q11">
        <v>199</v>
      </c>
      <c r="R11">
        <v>353</v>
      </c>
      <c r="S11">
        <v>336</v>
      </c>
      <c r="T11" t="s">
        <v>99</v>
      </c>
      <c r="U11" t="s">
        <v>92</v>
      </c>
      <c r="V11" t="s">
        <v>114</v>
      </c>
      <c r="W11" t="s">
        <v>31</v>
      </c>
      <c r="X11" t="s">
        <v>31</v>
      </c>
      <c r="Y11" t="s">
        <v>31</v>
      </c>
    </row>
    <row r="12" spans="1:25">
      <c r="A12" t="s">
        <v>25</v>
      </c>
      <c r="B12" t="s">
        <v>26</v>
      </c>
      <c r="C12" t="s">
        <v>221</v>
      </c>
      <c r="D12" s="1">
        <v>45879</v>
      </c>
      <c r="E12" s="2">
        <v>0.66666666666666663</v>
      </c>
      <c r="F12" t="s">
        <v>28</v>
      </c>
      <c r="G12" t="s">
        <v>35</v>
      </c>
      <c r="H12">
        <v>1</v>
      </c>
      <c r="I12">
        <v>2</v>
      </c>
      <c r="J12" t="s">
        <v>30</v>
      </c>
      <c r="K12">
        <v>216</v>
      </c>
      <c r="L12">
        <v>363</v>
      </c>
      <c r="M12">
        <v>338</v>
      </c>
      <c r="N12">
        <v>225</v>
      </c>
      <c r="O12">
        <v>375</v>
      </c>
      <c r="P12">
        <v>32</v>
      </c>
      <c r="Q12">
        <v>213</v>
      </c>
      <c r="R12">
        <v>349</v>
      </c>
      <c r="S12">
        <v>309</v>
      </c>
      <c r="T12" t="s">
        <v>222</v>
      </c>
      <c r="U12" t="s">
        <v>68</v>
      </c>
      <c r="V12" t="s">
        <v>70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26</v>
      </c>
      <c r="C13" t="s">
        <v>221</v>
      </c>
      <c r="D13" s="1">
        <v>45879</v>
      </c>
      <c r="E13" s="2">
        <v>0.66666666666666663</v>
      </c>
      <c r="F13" t="s">
        <v>54</v>
      </c>
      <c r="G13" t="s">
        <v>50</v>
      </c>
      <c r="H13">
        <v>3</v>
      </c>
      <c r="I13">
        <v>1</v>
      </c>
      <c r="J13" t="s">
        <v>34</v>
      </c>
      <c r="K13">
        <v>348</v>
      </c>
      <c r="L13">
        <v>358</v>
      </c>
      <c r="M13">
        <v>214</v>
      </c>
      <c r="N13">
        <v>36</v>
      </c>
      <c r="O13">
        <v>375</v>
      </c>
      <c r="P13">
        <v>212</v>
      </c>
      <c r="Q13">
        <v>333</v>
      </c>
      <c r="R13">
        <v>355</v>
      </c>
      <c r="S13">
        <v>201</v>
      </c>
      <c r="T13" t="s">
        <v>68</v>
      </c>
      <c r="U13" t="s">
        <v>92</v>
      </c>
      <c r="V13" t="s">
        <v>152</v>
      </c>
      <c r="W13" t="s">
        <v>31</v>
      </c>
      <c r="X13" t="s">
        <v>31</v>
      </c>
      <c r="Y13" t="s">
        <v>31</v>
      </c>
    </row>
    <row r="14" spans="1:25">
      <c r="A14" t="s">
        <v>25</v>
      </c>
      <c r="B14" t="s">
        <v>26</v>
      </c>
      <c r="C14" t="s">
        <v>221</v>
      </c>
      <c r="D14" s="1">
        <v>45885</v>
      </c>
      <c r="E14" s="2">
        <v>0.66666666666666663</v>
      </c>
      <c r="F14" t="s">
        <v>63</v>
      </c>
      <c r="G14" t="s">
        <v>54</v>
      </c>
      <c r="H14">
        <v>1</v>
      </c>
      <c r="I14">
        <v>1</v>
      </c>
      <c r="J14" t="s">
        <v>41</v>
      </c>
      <c r="K14">
        <v>225</v>
      </c>
      <c r="L14">
        <v>379</v>
      </c>
      <c r="M14">
        <v>307</v>
      </c>
      <c r="N14">
        <v>27</v>
      </c>
      <c r="O14">
        <v>36</v>
      </c>
      <c r="P14">
        <v>27</v>
      </c>
      <c r="Q14">
        <v>258</v>
      </c>
      <c r="R14">
        <v>339</v>
      </c>
      <c r="S14">
        <v>252</v>
      </c>
      <c r="T14" t="s">
        <v>224</v>
      </c>
      <c r="U14" t="s">
        <v>125</v>
      </c>
      <c r="V14" t="s">
        <v>158</v>
      </c>
      <c r="W14" t="s">
        <v>225</v>
      </c>
      <c r="X14" t="s">
        <v>70</v>
      </c>
      <c r="Y14" t="s">
        <v>128</v>
      </c>
    </row>
    <row r="15" spans="1:25">
      <c r="A15" t="s">
        <v>25</v>
      </c>
      <c r="B15" t="s">
        <v>26</v>
      </c>
      <c r="C15" t="s">
        <v>221</v>
      </c>
      <c r="D15" s="1">
        <v>45885</v>
      </c>
      <c r="E15" s="2">
        <v>0.66666666666666663</v>
      </c>
      <c r="F15" t="s">
        <v>52</v>
      </c>
      <c r="G15" t="s">
        <v>29</v>
      </c>
      <c r="H15">
        <v>1</v>
      </c>
      <c r="I15">
        <v>2</v>
      </c>
      <c r="J15" t="s">
        <v>30</v>
      </c>
      <c r="K15">
        <v>675</v>
      </c>
      <c r="L15">
        <v>464</v>
      </c>
      <c r="M15">
        <v>148</v>
      </c>
      <c r="N15">
        <v>75</v>
      </c>
      <c r="O15">
        <v>48</v>
      </c>
      <c r="P15">
        <v>145</v>
      </c>
      <c r="Q15">
        <v>658</v>
      </c>
      <c r="R15">
        <v>458</v>
      </c>
      <c r="S15">
        <v>141</v>
      </c>
      <c r="T15" t="s">
        <v>161</v>
      </c>
      <c r="U15" t="s">
        <v>169</v>
      </c>
      <c r="V15" t="s">
        <v>168</v>
      </c>
      <c r="W15" t="s">
        <v>226</v>
      </c>
      <c r="X15" t="s">
        <v>227</v>
      </c>
      <c r="Y15" t="s">
        <v>98</v>
      </c>
    </row>
    <row r="16" spans="1:25">
      <c r="A16" t="s">
        <v>25</v>
      </c>
      <c r="B16" t="s">
        <v>26</v>
      </c>
      <c r="C16" t="s">
        <v>221</v>
      </c>
      <c r="D16" s="1">
        <v>45885</v>
      </c>
      <c r="E16" s="2">
        <v>0.77083333333333337</v>
      </c>
      <c r="F16" t="s">
        <v>38</v>
      </c>
      <c r="G16" t="s">
        <v>28</v>
      </c>
      <c r="H16">
        <v>1</v>
      </c>
      <c r="I16">
        <v>3</v>
      </c>
      <c r="J16" t="s">
        <v>30</v>
      </c>
      <c r="K16">
        <v>437</v>
      </c>
      <c r="L16">
        <v>385</v>
      </c>
      <c r="M16">
        <v>183</v>
      </c>
      <c r="N16">
        <v>42</v>
      </c>
      <c r="O16">
        <v>39</v>
      </c>
      <c r="P16">
        <v>185</v>
      </c>
      <c r="Q16">
        <v>397</v>
      </c>
      <c r="R16">
        <v>376</v>
      </c>
      <c r="S16">
        <v>178</v>
      </c>
      <c r="T16" t="s">
        <v>69</v>
      </c>
      <c r="U16" t="s">
        <v>129</v>
      </c>
      <c r="V16" t="s">
        <v>228</v>
      </c>
      <c r="W16" t="s">
        <v>75</v>
      </c>
      <c r="X16" t="s">
        <v>116</v>
      </c>
      <c r="Y16" t="s">
        <v>130</v>
      </c>
    </row>
    <row r="17" spans="1:25">
      <c r="A17" t="s">
        <v>25</v>
      </c>
      <c r="B17" t="s">
        <v>26</v>
      </c>
      <c r="C17" t="s">
        <v>221</v>
      </c>
      <c r="D17" s="1">
        <v>45886</v>
      </c>
      <c r="E17" s="2">
        <v>0.66666666666666663</v>
      </c>
      <c r="F17" t="s">
        <v>50</v>
      </c>
      <c r="G17" t="s">
        <v>40</v>
      </c>
      <c r="H17">
        <v>2</v>
      </c>
      <c r="I17">
        <v>1</v>
      </c>
      <c r="J17" t="s">
        <v>34</v>
      </c>
      <c r="K17">
        <v>262</v>
      </c>
      <c r="L17">
        <v>378</v>
      </c>
      <c r="M17">
        <v>259</v>
      </c>
      <c r="N17">
        <v>255</v>
      </c>
      <c r="O17">
        <v>37</v>
      </c>
      <c r="P17">
        <v>26</v>
      </c>
      <c r="Q17">
        <v>25</v>
      </c>
      <c r="R17">
        <v>352</v>
      </c>
      <c r="S17">
        <v>252</v>
      </c>
      <c r="T17" t="s">
        <v>118</v>
      </c>
      <c r="U17" t="s">
        <v>125</v>
      </c>
      <c r="V17" t="s">
        <v>158</v>
      </c>
      <c r="W17" t="s">
        <v>128</v>
      </c>
      <c r="X17" t="s">
        <v>114</v>
      </c>
      <c r="Y17" t="s">
        <v>229</v>
      </c>
    </row>
    <row r="18" spans="1:25">
      <c r="A18" t="s">
        <v>25</v>
      </c>
      <c r="B18" t="s">
        <v>26</v>
      </c>
      <c r="C18" t="s">
        <v>221</v>
      </c>
      <c r="D18" s="1">
        <v>45886</v>
      </c>
      <c r="E18" s="2">
        <v>0.66666666666666663</v>
      </c>
      <c r="F18" t="s">
        <v>35</v>
      </c>
      <c r="G18" t="s">
        <v>45</v>
      </c>
      <c r="H18">
        <v>0</v>
      </c>
      <c r="I18">
        <v>0</v>
      </c>
      <c r="J18" t="s">
        <v>41</v>
      </c>
      <c r="K18">
        <v>198</v>
      </c>
      <c r="L18">
        <v>367</v>
      </c>
      <c r="M18">
        <v>387</v>
      </c>
      <c r="N18">
        <v>19</v>
      </c>
      <c r="O18">
        <v>375</v>
      </c>
      <c r="P18">
        <v>45</v>
      </c>
      <c r="Q18">
        <v>18</v>
      </c>
      <c r="R18">
        <v>357</v>
      </c>
      <c r="S18">
        <v>408</v>
      </c>
      <c r="T18" t="s">
        <v>228</v>
      </c>
      <c r="U18" t="s">
        <v>116</v>
      </c>
      <c r="V18" t="s">
        <v>154</v>
      </c>
      <c r="W18" t="s">
        <v>130</v>
      </c>
      <c r="X18" t="s">
        <v>114</v>
      </c>
      <c r="Y18" t="s">
        <v>230</v>
      </c>
    </row>
    <row r="19" spans="1:25">
      <c r="A19" t="s">
        <v>25</v>
      </c>
      <c r="B19" t="s">
        <v>26</v>
      </c>
      <c r="C19" t="s">
        <v>221</v>
      </c>
      <c r="D19" s="1">
        <v>45886</v>
      </c>
      <c r="E19" s="2">
        <v>0.66666666666666663</v>
      </c>
      <c r="F19" t="s">
        <v>39</v>
      </c>
      <c r="G19" t="s">
        <v>61</v>
      </c>
      <c r="H19">
        <v>3</v>
      </c>
      <c r="I19">
        <v>0</v>
      </c>
      <c r="J19" t="s">
        <v>34</v>
      </c>
      <c r="K19">
        <v>196</v>
      </c>
      <c r="L19">
        <v>365</v>
      </c>
      <c r="M19">
        <v>399</v>
      </c>
      <c r="N19">
        <v>199</v>
      </c>
      <c r="O19">
        <v>365</v>
      </c>
      <c r="P19">
        <v>4</v>
      </c>
      <c r="Q19">
        <v>192</v>
      </c>
      <c r="R19">
        <v>345</v>
      </c>
      <c r="S19">
        <v>371</v>
      </c>
      <c r="T19" t="s">
        <v>135</v>
      </c>
      <c r="U19" t="s">
        <v>114</v>
      </c>
      <c r="V19" t="s">
        <v>83</v>
      </c>
      <c r="W19" t="s">
        <v>73</v>
      </c>
      <c r="X19" t="s">
        <v>68</v>
      </c>
      <c r="Y19" t="s">
        <v>116</v>
      </c>
    </row>
    <row r="20" spans="1:25">
      <c r="A20" t="s">
        <v>25</v>
      </c>
      <c r="B20" t="s">
        <v>26</v>
      </c>
      <c r="C20" t="s">
        <v>221</v>
      </c>
      <c r="D20" s="1">
        <v>45892</v>
      </c>
      <c r="E20" s="2">
        <v>0.66666666666666663</v>
      </c>
      <c r="F20" t="s">
        <v>61</v>
      </c>
      <c r="G20" t="s">
        <v>38</v>
      </c>
      <c r="H20">
        <v>0</v>
      </c>
      <c r="I20">
        <v>2</v>
      </c>
      <c r="J20" t="s">
        <v>30</v>
      </c>
      <c r="K20">
        <v>228</v>
      </c>
      <c r="L20">
        <v>329</v>
      </c>
      <c r="M20">
        <v>344</v>
      </c>
      <c r="N20">
        <v>263</v>
      </c>
      <c r="O20">
        <v>34</v>
      </c>
      <c r="P20">
        <v>32</v>
      </c>
      <c r="Q20">
        <v>246</v>
      </c>
      <c r="R20">
        <v>316</v>
      </c>
      <c r="S20">
        <v>281</v>
      </c>
      <c r="T20" t="s">
        <v>190</v>
      </c>
      <c r="U20" t="s">
        <v>143</v>
      </c>
      <c r="V20" t="s">
        <v>79</v>
      </c>
      <c r="W20" t="s">
        <v>225</v>
      </c>
      <c r="X20" t="s">
        <v>86</v>
      </c>
      <c r="Y20" t="s">
        <v>231</v>
      </c>
    </row>
    <row r="21" spans="1:25">
      <c r="A21" t="s">
        <v>25</v>
      </c>
      <c r="B21" t="s">
        <v>26</v>
      </c>
      <c r="C21" t="s">
        <v>221</v>
      </c>
      <c r="D21" s="1">
        <v>45892</v>
      </c>
      <c r="E21" s="2">
        <v>0.66666666666666663</v>
      </c>
      <c r="F21" t="s">
        <v>29</v>
      </c>
      <c r="G21" t="s">
        <v>50</v>
      </c>
      <c r="H21">
        <v>3</v>
      </c>
      <c r="I21">
        <v>0</v>
      </c>
      <c r="J21" t="s">
        <v>34</v>
      </c>
      <c r="K21">
        <v>162</v>
      </c>
      <c r="L21">
        <v>442</v>
      </c>
      <c r="M21">
        <v>515</v>
      </c>
      <c r="N21">
        <v>161</v>
      </c>
      <c r="O21">
        <v>44</v>
      </c>
      <c r="P21">
        <v>525</v>
      </c>
      <c r="Q21">
        <v>157</v>
      </c>
      <c r="R21">
        <v>419</v>
      </c>
      <c r="S21">
        <v>488</v>
      </c>
      <c r="T21" t="s">
        <v>177</v>
      </c>
      <c r="U21" t="s">
        <v>156</v>
      </c>
      <c r="V21" t="s">
        <v>84</v>
      </c>
      <c r="W21" t="s">
        <v>195</v>
      </c>
      <c r="X21" t="s">
        <v>129</v>
      </c>
      <c r="Y21" t="s">
        <v>232</v>
      </c>
    </row>
    <row r="22" spans="1:25">
      <c r="A22" t="s">
        <v>25</v>
      </c>
      <c r="B22" t="s">
        <v>26</v>
      </c>
      <c r="C22" t="s">
        <v>221</v>
      </c>
      <c r="D22" s="1">
        <v>45893</v>
      </c>
      <c r="E22" s="2">
        <v>0.66666666666666663</v>
      </c>
      <c r="F22" t="s">
        <v>45</v>
      </c>
      <c r="G22" t="s">
        <v>63</v>
      </c>
      <c r="H22">
        <v>1</v>
      </c>
      <c r="I22">
        <v>1</v>
      </c>
      <c r="J22" t="s">
        <v>41</v>
      </c>
      <c r="K22">
        <v>2</v>
      </c>
      <c r="L22">
        <v>344</v>
      </c>
      <c r="M22">
        <v>41</v>
      </c>
      <c r="N22">
        <v>198</v>
      </c>
      <c r="O22">
        <v>35</v>
      </c>
      <c r="P22">
        <v>46</v>
      </c>
      <c r="Q22">
        <v>185</v>
      </c>
      <c r="R22">
        <v>337</v>
      </c>
      <c r="S22">
        <v>413</v>
      </c>
      <c r="T22" t="s">
        <v>73</v>
      </c>
      <c r="U22" t="s">
        <v>70</v>
      </c>
      <c r="V22" t="s">
        <v>150</v>
      </c>
      <c r="W22" t="s">
        <v>145</v>
      </c>
      <c r="X22" t="s">
        <v>70</v>
      </c>
      <c r="Y22" t="s">
        <v>230</v>
      </c>
    </row>
    <row r="23" spans="1:25">
      <c r="A23" t="s">
        <v>25</v>
      </c>
      <c r="B23" t="s">
        <v>26</v>
      </c>
      <c r="C23" t="s">
        <v>221</v>
      </c>
      <c r="D23" s="1">
        <v>45893</v>
      </c>
      <c r="E23" s="2">
        <v>0.66666666666666663</v>
      </c>
      <c r="F23" t="s">
        <v>40</v>
      </c>
      <c r="G23" t="s">
        <v>52</v>
      </c>
      <c r="H23">
        <v>1</v>
      </c>
      <c r="I23">
        <v>3</v>
      </c>
      <c r="J23" t="s">
        <v>30</v>
      </c>
      <c r="K23">
        <v>169</v>
      </c>
      <c r="L23">
        <v>417</v>
      </c>
      <c r="M23">
        <v>483</v>
      </c>
      <c r="N23">
        <v>166</v>
      </c>
      <c r="O23">
        <v>41</v>
      </c>
      <c r="P23">
        <v>525</v>
      </c>
      <c r="Q23">
        <v>163</v>
      </c>
      <c r="R23">
        <v>388</v>
      </c>
      <c r="S23">
        <v>483</v>
      </c>
      <c r="T23" t="s">
        <v>197</v>
      </c>
      <c r="U23" t="s">
        <v>83</v>
      </c>
      <c r="V23" t="s">
        <v>84</v>
      </c>
      <c r="W23" t="s">
        <v>177</v>
      </c>
      <c r="X23" t="s">
        <v>129</v>
      </c>
      <c r="Y23" t="s">
        <v>150</v>
      </c>
    </row>
    <row r="24" spans="1:25">
      <c r="A24" t="s">
        <v>25</v>
      </c>
      <c r="B24" t="s">
        <v>26</v>
      </c>
      <c r="C24" t="s">
        <v>221</v>
      </c>
      <c r="D24" s="1">
        <v>45893</v>
      </c>
      <c r="E24" s="2">
        <v>0.66666666666666663</v>
      </c>
      <c r="F24" t="s">
        <v>39</v>
      </c>
      <c r="G24" t="s">
        <v>35</v>
      </c>
      <c r="H24">
        <v>1</v>
      </c>
      <c r="I24">
        <v>2</v>
      </c>
      <c r="J24" t="s">
        <v>30</v>
      </c>
      <c r="K24">
        <v>261</v>
      </c>
      <c r="L24">
        <v>356</v>
      </c>
      <c r="M24">
        <v>271</v>
      </c>
      <c r="N24">
        <v>27</v>
      </c>
      <c r="O24">
        <v>36</v>
      </c>
      <c r="P24">
        <v>265</v>
      </c>
      <c r="Q24">
        <v>256</v>
      </c>
      <c r="R24">
        <v>342</v>
      </c>
      <c r="S24">
        <v>252</v>
      </c>
      <c r="T24" t="s">
        <v>191</v>
      </c>
      <c r="U24" t="s">
        <v>80</v>
      </c>
      <c r="V24" t="s">
        <v>158</v>
      </c>
      <c r="W24" t="s">
        <v>225</v>
      </c>
      <c r="X24" t="s">
        <v>70</v>
      </c>
      <c r="Y24" t="s">
        <v>128</v>
      </c>
    </row>
    <row r="25" spans="1:25">
      <c r="A25" t="s">
        <v>25</v>
      </c>
      <c r="B25" t="s">
        <v>26</v>
      </c>
      <c r="C25" t="s">
        <v>221</v>
      </c>
      <c r="D25" s="1">
        <v>45899</v>
      </c>
      <c r="E25" s="2">
        <v>0.66666666666666663</v>
      </c>
      <c r="F25" t="s">
        <v>50</v>
      </c>
      <c r="G25" t="s">
        <v>38</v>
      </c>
      <c r="H25">
        <v>1</v>
      </c>
      <c r="I25">
        <v>3</v>
      </c>
      <c r="J25" t="s">
        <v>30</v>
      </c>
      <c r="K25">
        <v>2</v>
      </c>
      <c r="L25">
        <v>361</v>
      </c>
      <c r="M25">
        <v>387</v>
      </c>
      <c r="N25">
        <v>21</v>
      </c>
      <c r="O25">
        <v>365</v>
      </c>
      <c r="P25">
        <v>37</v>
      </c>
      <c r="Q25">
        <v>199</v>
      </c>
      <c r="R25">
        <v>348</v>
      </c>
      <c r="S25">
        <v>344</v>
      </c>
      <c r="T25" t="s">
        <v>166</v>
      </c>
      <c r="U25" t="s">
        <v>77</v>
      </c>
      <c r="V25" t="s">
        <v>125</v>
      </c>
      <c r="W25" t="s">
        <v>99</v>
      </c>
      <c r="X25" t="s">
        <v>86</v>
      </c>
      <c r="Y25" t="s">
        <v>114</v>
      </c>
    </row>
    <row r="26" spans="1:25">
      <c r="A26" t="s">
        <v>25</v>
      </c>
      <c r="B26" t="s">
        <v>26</v>
      </c>
      <c r="C26" t="s">
        <v>221</v>
      </c>
      <c r="D26" s="1">
        <v>45899</v>
      </c>
      <c r="E26" s="2">
        <v>0.66666666666666663</v>
      </c>
      <c r="F26" t="s">
        <v>29</v>
      </c>
      <c r="G26" t="s">
        <v>61</v>
      </c>
      <c r="H26">
        <v>2</v>
      </c>
      <c r="I26">
        <v>2</v>
      </c>
      <c r="J26" t="s">
        <v>41</v>
      </c>
      <c r="K26">
        <v>129</v>
      </c>
      <c r="L26">
        <v>587</v>
      </c>
      <c r="M26">
        <v>1088</v>
      </c>
      <c r="N26">
        <v>131</v>
      </c>
      <c r="O26">
        <v>58</v>
      </c>
      <c r="P26">
        <v>10</v>
      </c>
      <c r="Q26">
        <v>128</v>
      </c>
      <c r="R26">
        <v>544</v>
      </c>
      <c r="S26">
        <v>889</v>
      </c>
      <c r="T26" t="s">
        <v>218</v>
      </c>
      <c r="U26" t="s">
        <v>65</v>
      </c>
      <c r="V26" t="s">
        <v>233</v>
      </c>
      <c r="W26" t="s">
        <v>234</v>
      </c>
      <c r="X26" t="s">
        <v>232</v>
      </c>
      <c r="Y26" t="s">
        <v>235</v>
      </c>
    </row>
    <row r="27" spans="1:25">
      <c r="A27" t="s">
        <v>25</v>
      </c>
      <c r="B27" t="s">
        <v>26</v>
      </c>
      <c r="C27" t="s">
        <v>221</v>
      </c>
      <c r="D27" s="1">
        <v>45899</v>
      </c>
      <c r="E27" s="2">
        <v>0.77083333333333337</v>
      </c>
      <c r="F27" t="s">
        <v>63</v>
      </c>
      <c r="G27" t="s">
        <v>28</v>
      </c>
      <c r="H27">
        <v>0</v>
      </c>
      <c r="I27">
        <v>3</v>
      </c>
      <c r="J27" t="s">
        <v>30</v>
      </c>
      <c r="K27">
        <v>536</v>
      </c>
      <c r="L27">
        <v>425</v>
      </c>
      <c r="M27">
        <v>163</v>
      </c>
      <c r="N27">
        <v>525</v>
      </c>
      <c r="O27">
        <v>42</v>
      </c>
      <c r="P27">
        <v>165</v>
      </c>
      <c r="Q27">
        <v>482</v>
      </c>
      <c r="R27">
        <v>404</v>
      </c>
      <c r="S27">
        <v>16</v>
      </c>
      <c r="T27" t="s">
        <v>84</v>
      </c>
      <c r="U27" t="s">
        <v>69</v>
      </c>
      <c r="V27" t="s">
        <v>213</v>
      </c>
      <c r="W27" t="s">
        <v>150</v>
      </c>
      <c r="X27" t="s">
        <v>83</v>
      </c>
      <c r="Y27" t="s">
        <v>236</v>
      </c>
    </row>
    <row r="28" spans="1:25">
      <c r="A28" t="s">
        <v>25</v>
      </c>
      <c r="B28" t="s">
        <v>26</v>
      </c>
      <c r="C28" t="s">
        <v>221</v>
      </c>
      <c r="D28" s="1">
        <v>45900</v>
      </c>
      <c r="E28" s="2">
        <v>0.66666666666666663</v>
      </c>
      <c r="F28" t="s">
        <v>40</v>
      </c>
      <c r="G28" t="s">
        <v>45</v>
      </c>
      <c r="H28">
        <v>1</v>
      </c>
      <c r="I28">
        <v>0</v>
      </c>
      <c r="J28" t="s">
        <v>34</v>
      </c>
      <c r="K28">
        <v>207</v>
      </c>
      <c r="L28">
        <v>349</v>
      </c>
      <c r="M28">
        <v>378</v>
      </c>
      <c r="N28">
        <v>192</v>
      </c>
      <c r="O28">
        <v>36</v>
      </c>
      <c r="P28">
        <v>475</v>
      </c>
      <c r="Q28">
        <v>184</v>
      </c>
      <c r="R28">
        <v>346</v>
      </c>
      <c r="S28">
        <v>402</v>
      </c>
      <c r="T28" t="s">
        <v>198</v>
      </c>
      <c r="U28" t="s">
        <v>77</v>
      </c>
      <c r="V28" t="s">
        <v>115</v>
      </c>
      <c r="W28" t="s">
        <v>217</v>
      </c>
      <c r="X28" t="s">
        <v>144</v>
      </c>
      <c r="Y28" t="s">
        <v>227</v>
      </c>
    </row>
    <row r="29" spans="1:25">
      <c r="A29" t="s">
        <v>25</v>
      </c>
      <c r="B29" t="s">
        <v>26</v>
      </c>
      <c r="C29" t="s">
        <v>221</v>
      </c>
      <c r="D29" s="1">
        <v>45900</v>
      </c>
      <c r="E29" s="2">
        <v>0.66666666666666663</v>
      </c>
      <c r="F29" t="s">
        <v>52</v>
      </c>
      <c r="G29" t="s">
        <v>35</v>
      </c>
      <c r="H29">
        <v>0</v>
      </c>
      <c r="I29">
        <v>1</v>
      </c>
      <c r="J29" t="s">
        <v>30</v>
      </c>
      <c r="K29">
        <v>483</v>
      </c>
      <c r="L29">
        <v>405</v>
      </c>
      <c r="M29">
        <v>171</v>
      </c>
      <c r="N29">
        <v>42</v>
      </c>
      <c r="O29">
        <v>39</v>
      </c>
      <c r="P29">
        <v>187</v>
      </c>
      <c r="Q29">
        <v>396</v>
      </c>
      <c r="R29">
        <v>364</v>
      </c>
      <c r="S29">
        <v>18</v>
      </c>
      <c r="T29" t="s">
        <v>156</v>
      </c>
      <c r="U29" t="s">
        <v>92</v>
      </c>
      <c r="V29" t="s">
        <v>73</v>
      </c>
      <c r="W29" t="s">
        <v>75</v>
      </c>
      <c r="X29" t="s">
        <v>68</v>
      </c>
      <c r="Y29" t="s">
        <v>237</v>
      </c>
    </row>
    <row r="30" spans="1:25">
      <c r="A30" t="s">
        <v>25</v>
      </c>
      <c r="B30" t="s">
        <v>26</v>
      </c>
      <c r="C30" t="s">
        <v>221</v>
      </c>
      <c r="D30" s="1">
        <v>45900</v>
      </c>
      <c r="E30" s="2">
        <v>0.66666666666666663</v>
      </c>
      <c r="F30" t="s">
        <v>54</v>
      </c>
      <c r="G30" t="s">
        <v>39</v>
      </c>
      <c r="H30">
        <v>1</v>
      </c>
      <c r="I30">
        <v>1</v>
      </c>
      <c r="J30" t="s">
        <v>41</v>
      </c>
      <c r="K30">
        <v>301</v>
      </c>
      <c r="L30">
        <v>361</v>
      </c>
      <c r="M30">
        <v>236</v>
      </c>
      <c r="N30">
        <v>31</v>
      </c>
      <c r="O30">
        <v>365</v>
      </c>
      <c r="P30">
        <v>235</v>
      </c>
      <c r="Q30">
        <v>291</v>
      </c>
      <c r="R30">
        <v>341</v>
      </c>
      <c r="S30">
        <v>224</v>
      </c>
      <c r="T30" t="s">
        <v>110</v>
      </c>
      <c r="U30" t="s">
        <v>77</v>
      </c>
      <c r="V30" t="s">
        <v>238</v>
      </c>
      <c r="W30" t="s">
        <v>126</v>
      </c>
      <c r="X30" t="s">
        <v>144</v>
      </c>
      <c r="Y30" t="s">
        <v>91</v>
      </c>
    </row>
    <row r="31" spans="1:25">
      <c r="A31" t="s">
        <v>25</v>
      </c>
      <c r="B31" t="s">
        <v>26</v>
      </c>
      <c r="C31" t="s">
        <v>221</v>
      </c>
      <c r="D31" s="1">
        <v>45913</v>
      </c>
      <c r="E31" s="2">
        <v>0.66666666666666663</v>
      </c>
      <c r="F31" t="s">
        <v>45</v>
      </c>
      <c r="G31" t="s">
        <v>50</v>
      </c>
      <c r="H31">
        <v>1</v>
      </c>
      <c r="I31">
        <v>0</v>
      </c>
      <c r="J31" t="s">
        <v>34</v>
      </c>
      <c r="K31">
        <v>278</v>
      </c>
      <c r="L31">
        <v>332</v>
      </c>
      <c r="M31">
        <v>269</v>
      </c>
      <c r="N31">
        <v>238</v>
      </c>
      <c r="O31">
        <v>34</v>
      </c>
      <c r="P31">
        <v>33</v>
      </c>
      <c r="Q31">
        <v>225</v>
      </c>
      <c r="R31">
        <v>322</v>
      </c>
      <c r="S31">
        <v>306</v>
      </c>
      <c r="T31" t="s">
        <v>142</v>
      </c>
      <c r="U31" t="s">
        <v>93</v>
      </c>
      <c r="V31" t="s">
        <v>167</v>
      </c>
      <c r="W31" t="s">
        <v>239</v>
      </c>
      <c r="X31" t="s">
        <v>86</v>
      </c>
      <c r="Y31" t="s">
        <v>143</v>
      </c>
    </row>
    <row r="32" spans="1:25">
      <c r="A32" t="s">
        <v>25</v>
      </c>
      <c r="B32" t="s">
        <v>26</v>
      </c>
      <c r="C32" t="s">
        <v>221</v>
      </c>
      <c r="D32" s="1">
        <v>45913</v>
      </c>
      <c r="E32" s="2">
        <v>0.66666666666666663</v>
      </c>
      <c r="F32" t="s">
        <v>61</v>
      </c>
      <c r="G32" t="s">
        <v>63</v>
      </c>
      <c r="H32">
        <v>3</v>
      </c>
      <c r="I32">
        <v>0</v>
      </c>
      <c r="J32" t="s">
        <v>34</v>
      </c>
      <c r="K32">
        <v>236</v>
      </c>
      <c r="L32">
        <v>321</v>
      </c>
      <c r="M32">
        <v>336</v>
      </c>
      <c r="N32">
        <v>23</v>
      </c>
      <c r="O32">
        <v>34</v>
      </c>
      <c r="P32">
        <v>325</v>
      </c>
      <c r="Q32">
        <v>219</v>
      </c>
      <c r="R32">
        <v>321</v>
      </c>
      <c r="S32">
        <v>317</v>
      </c>
      <c r="T32" t="s">
        <v>238</v>
      </c>
      <c r="U32" t="s">
        <v>143</v>
      </c>
      <c r="V32" t="s">
        <v>70</v>
      </c>
      <c r="W32" t="s">
        <v>91</v>
      </c>
      <c r="X32" t="s">
        <v>86</v>
      </c>
      <c r="Y32" t="s">
        <v>103</v>
      </c>
    </row>
    <row r="33" spans="1:25">
      <c r="A33" t="s">
        <v>25</v>
      </c>
      <c r="B33" t="s">
        <v>26</v>
      </c>
      <c r="C33" t="s">
        <v>221</v>
      </c>
      <c r="D33" s="1">
        <v>45913</v>
      </c>
      <c r="E33" s="2">
        <v>0.66666666666666663</v>
      </c>
      <c r="F33" t="s">
        <v>39</v>
      </c>
      <c r="G33" t="s">
        <v>29</v>
      </c>
      <c r="H33">
        <v>3</v>
      </c>
      <c r="I33">
        <v>1</v>
      </c>
      <c r="J33" t="s">
        <v>34</v>
      </c>
      <c r="K33">
        <v>378</v>
      </c>
      <c r="L33">
        <v>405</v>
      </c>
      <c r="M33">
        <v>191</v>
      </c>
      <c r="N33">
        <v>41</v>
      </c>
      <c r="O33">
        <v>4</v>
      </c>
      <c r="P33">
        <v>186</v>
      </c>
      <c r="Q33">
        <v>385</v>
      </c>
      <c r="R33">
        <v>371</v>
      </c>
      <c r="S33">
        <v>18</v>
      </c>
      <c r="T33" t="s">
        <v>75</v>
      </c>
      <c r="U33" t="s">
        <v>129</v>
      </c>
      <c r="V33" t="s">
        <v>198</v>
      </c>
      <c r="W33" t="s">
        <v>92</v>
      </c>
      <c r="X33" t="s">
        <v>129</v>
      </c>
      <c r="Y33" t="s">
        <v>90</v>
      </c>
    </row>
    <row r="34" spans="1:25">
      <c r="A34" t="s">
        <v>25</v>
      </c>
      <c r="B34" t="s">
        <v>26</v>
      </c>
      <c r="C34" t="s">
        <v>221</v>
      </c>
      <c r="D34" s="1">
        <v>45914</v>
      </c>
      <c r="E34" s="2">
        <v>0.5625</v>
      </c>
      <c r="F34" t="s">
        <v>38</v>
      </c>
      <c r="G34" t="s">
        <v>52</v>
      </c>
      <c r="H34">
        <v>0</v>
      </c>
      <c r="I34">
        <v>2</v>
      </c>
      <c r="J34" t="s">
        <v>30</v>
      </c>
      <c r="K34">
        <v>219</v>
      </c>
      <c r="L34">
        <v>371</v>
      </c>
      <c r="M34">
        <v>286</v>
      </c>
      <c r="N34">
        <v>25</v>
      </c>
      <c r="O34">
        <v>42</v>
      </c>
      <c r="P34">
        <v>3</v>
      </c>
      <c r="Q34">
        <v>222</v>
      </c>
      <c r="R34">
        <v>361</v>
      </c>
      <c r="S34">
        <v>278</v>
      </c>
      <c r="T34" t="s">
        <v>85</v>
      </c>
      <c r="U34" t="s">
        <v>116</v>
      </c>
      <c r="V34" t="s">
        <v>79</v>
      </c>
      <c r="W34" t="s">
        <v>91</v>
      </c>
      <c r="X34" t="s">
        <v>114</v>
      </c>
      <c r="Y34" t="s">
        <v>199</v>
      </c>
    </row>
    <row r="35" spans="1:25">
      <c r="A35" t="s">
        <v>25</v>
      </c>
      <c r="B35" t="s">
        <v>26</v>
      </c>
      <c r="C35" t="s">
        <v>221</v>
      </c>
      <c r="D35" s="1">
        <v>45914</v>
      </c>
      <c r="E35" s="2">
        <v>0.5625</v>
      </c>
      <c r="F35" t="s">
        <v>35</v>
      </c>
      <c r="G35" t="s">
        <v>54</v>
      </c>
      <c r="H35">
        <v>4</v>
      </c>
      <c r="I35">
        <v>1</v>
      </c>
      <c r="J35" t="s">
        <v>34</v>
      </c>
      <c r="K35">
        <v>154</v>
      </c>
      <c r="L35">
        <v>465</v>
      </c>
      <c r="M35">
        <v>58</v>
      </c>
      <c r="N35">
        <v>153</v>
      </c>
      <c r="O35">
        <v>44</v>
      </c>
      <c r="P35">
        <v>575</v>
      </c>
      <c r="Q35">
        <v>15</v>
      </c>
      <c r="R35">
        <v>423</v>
      </c>
      <c r="S35">
        <v>533</v>
      </c>
      <c r="T35" t="s">
        <v>111</v>
      </c>
      <c r="U35" t="s">
        <v>95</v>
      </c>
      <c r="V35" t="s">
        <v>176</v>
      </c>
      <c r="W35" t="s">
        <v>149</v>
      </c>
      <c r="X35" t="s">
        <v>75</v>
      </c>
      <c r="Y35" t="s">
        <v>227</v>
      </c>
    </row>
    <row r="36" spans="1:25">
      <c r="A36" t="s">
        <v>25</v>
      </c>
      <c r="B36" t="s">
        <v>26</v>
      </c>
      <c r="C36" t="s">
        <v>221</v>
      </c>
      <c r="D36" s="1">
        <v>45914</v>
      </c>
      <c r="E36" s="2">
        <v>0.66666666666666663</v>
      </c>
      <c r="F36" t="s">
        <v>28</v>
      </c>
      <c r="G36" t="s">
        <v>40</v>
      </c>
      <c r="H36">
        <v>0</v>
      </c>
      <c r="I36">
        <v>1</v>
      </c>
      <c r="J36" t="s">
        <v>30</v>
      </c>
      <c r="K36">
        <v>249</v>
      </c>
      <c r="L36">
        <v>336</v>
      </c>
      <c r="M36">
        <v>3</v>
      </c>
      <c r="N36">
        <v>233</v>
      </c>
      <c r="O36">
        <v>345</v>
      </c>
      <c r="P36">
        <v>325</v>
      </c>
      <c r="Q36">
        <v>224</v>
      </c>
      <c r="R36">
        <v>331</v>
      </c>
      <c r="S36">
        <v>299</v>
      </c>
      <c r="T36" t="s">
        <v>122</v>
      </c>
      <c r="U36" t="s">
        <v>167</v>
      </c>
      <c r="V36" t="s">
        <v>144</v>
      </c>
      <c r="W36" t="s">
        <v>239</v>
      </c>
      <c r="X36" t="s">
        <v>143</v>
      </c>
      <c r="Y36" t="s">
        <v>86</v>
      </c>
    </row>
    <row r="37" spans="1:25">
      <c r="A37" t="s">
        <v>25</v>
      </c>
      <c r="B37" t="s">
        <v>26</v>
      </c>
      <c r="C37" t="s">
        <v>221</v>
      </c>
      <c r="D37" s="1">
        <v>45920</v>
      </c>
      <c r="E37" s="2">
        <v>0.66666666666666663</v>
      </c>
      <c r="F37" t="s">
        <v>40</v>
      </c>
      <c r="G37" t="s">
        <v>38</v>
      </c>
      <c r="H37">
        <v>3</v>
      </c>
      <c r="I37">
        <v>2</v>
      </c>
      <c r="J37" t="s">
        <v>34</v>
      </c>
      <c r="K37">
        <v>212</v>
      </c>
      <c r="L37">
        <v>354</v>
      </c>
      <c r="M37">
        <v>358</v>
      </c>
      <c r="N37">
        <v>225</v>
      </c>
      <c r="O37">
        <v>34</v>
      </c>
      <c r="P37">
        <v>325</v>
      </c>
      <c r="Q37">
        <v>217</v>
      </c>
      <c r="R37">
        <v>329</v>
      </c>
      <c r="S37">
        <v>314</v>
      </c>
      <c r="T37" t="s">
        <v>186</v>
      </c>
      <c r="U37" t="s">
        <v>144</v>
      </c>
      <c r="V37" t="s">
        <v>77</v>
      </c>
      <c r="W37" t="s">
        <v>91</v>
      </c>
      <c r="X37" t="s">
        <v>143</v>
      </c>
      <c r="Y37" t="s">
        <v>126</v>
      </c>
    </row>
    <row r="38" spans="1:25">
      <c r="A38" t="s">
        <v>25</v>
      </c>
      <c r="B38" t="s">
        <v>26</v>
      </c>
      <c r="C38" t="s">
        <v>221</v>
      </c>
      <c r="D38" s="1">
        <v>45920</v>
      </c>
      <c r="E38" s="2">
        <v>0.66666666666666663</v>
      </c>
      <c r="F38" t="s">
        <v>52</v>
      </c>
      <c r="G38" t="s">
        <v>39</v>
      </c>
      <c r="H38">
        <v>2</v>
      </c>
      <c r="I38">
        <v>2</v>
      </c>
      <c r="J38" t="s">
        <v>41</v>
      </c>
      <c r="K38">
        <v>395</v>
      </c>
      <c r="L38">
        <v>375</v>
      </c>
      <c r="M38">
        <v>194</v>
      </c>
      <c r="N38">
        <v>5</v>
      </c>
      <c r="O38">
        <v>37</v>
      </c>
      <c r="P38">
        <v>185</v>
      </c>
      <c r="Q38">
        <v>439</v>
      </c>
      <c r="R38">
        <v>341</v>
      </c>
      <c r="S38">
        <v>178</v>
      </c>
      <c r="T38" t="s">
        <v>169</v>
      </c>
      <c r="U38" t="s">
        <v>114</v>
      </c>
      <c r="V38" t="s">
        <v>117</v>
      </c>
      <c r="W38" t="s">
        <v>227</v>
      </c>
      <c r="X38" t="s">
        <v>114</v>
      </c>
      <c r="Y38" t="s">
        <v>197</v>
      </c>
    </row>
    <row r="39" spans="1:25">
      <c r="A39" t="s">
        <v>25</v>
      </c>
      <c r="B39" t="s">
        <v>26</v>
      </c>
      <c r="C39" t="s">
        <v>221</v>
      </c>
      <c r="D39" s="1">
        <v>45920</v>
      </c>
      <c r="E39" s="2">
        <v>0.66666666666666663</v>
      </c>
      <c r="F39" t="s">
        <v>29</v>
      </c>
      <c r="G39" t="s">
        <v>28</v>
      </c>
      <c r="H39">
        <v>0</v>
      </c>
      <c r="I39">
        <v>2</v>
      </c>
      <c r="J39" t="s">
        <v>30</v>
      </c>
      <c r="K39">
        <v>193</v>
      </c>
      <c r="L39">
        <v>397</v>
      </c>
      <c r="M39">
        <v>376</v>
      </c>
      <c r="N39">
        <v>193</v>
      </c>
      <c r="O39">
        <v>39</v>
      </c>
      <c r="P39">
        <v>37</v>
      </c>
      <c r="Q39">
        <v>187</v>
      </c>
      <c r="R39">
        <v>362</v>
      </c>
      <c r="S39">
        <v>356</v>
      </c>
      <c r="T39" t="s">
        <v>135</v>
      </c>
      <c r="U39" t="s">
        <v>129</v>
      </c>
      <c r="V39" t="s">
        <v>74</v>
      </c>
      <c r="W39" t="s">
        <v>117</v>
      </c>
      <c r="X39" t="s">
        <v>116</v>
      </c>
      <c r="Y39" t="s">
        <v>70</v>
      </c>
    </row>
    <row r="40" spans="1:25">
      <c r="A40" t="s">
        <v>25</v>
      </c>
      <c r="B40" t="s">
        <v>26</v>
      </c>
      <c r="C40" t="s">
        <v>221</v>
      </c>
      <c r="D40" s="1">
        <v>45921</v>
      </c>
      <c r="E40" s="2">
        <v>0.66666666666666663</v>
      </c>
      <c r="F40" t="s">
        <v>45</v>
      </c>
      <c r="G40" t="s">
        <v>54</v>
      </c>
      <c r="H40">
        <v>1</v>
      </c>
      <c r="I40">
        <v>1</v>
      </c>
      <c r="J40" t="s">
        <v>41</v>
      </c>
      <c r="K40">
        <v>206</v>
      </c>
      <c r="L40">
        <v>333</v>
      </c>
      <c r="M40">
        <v>403</v>
      </c>
      <c r="N40">
        <v>205</v>
      </c>
      <c r="O40">
        <v>34</v>
      </c>
      <c r="P40">
        <v>39</v>
      </c>
      <c r="Q40">
        <v>199</v>
      </c>
      <c r="R40">
        <v>329</v>
      </c>
      <c r="S40">
        <v>364</v>
      </c>
      <c r="T40" t="s">
        <v>99</v>
      </c>
      <c r="U40" t="s">
        <v>93</v>
      </c>
      <c r="V40" t="s">
        <v>83</v>
      </c>
      <c r="W40" t="s">
        <v>175</v>
      </c>
      <c r="X40" t="s">
        <v>143</v>
      </c>
      <c r="Y40" t="s">
        <v>71</v>
      </c>
    </row>
    <row r="41" spans="1:25">
      <c r="A41" t="s">
        <v>25</v>
      </c>
      <c r="B41" t="s">
        <v>26</v>
      </c>
      <c r="C41" t="s">
        <v>221</v>
      </c>
      <c r="D41" s="1">
        <v>45921</v>
      </c>
      <c r="E41" s="2">
        <v>0.5625</v>
      </c>
      <c r="F41" t="s">
        <v>50</v>
      </c>
      <c r="G41" t="s">
        <v>61</v>
      </c>
      <c r="H41">
        <v>2</v>
      </c>
      <c r="I41">
        <v>0</v>
      </c>
      <c r="J41" t="s">
        <v>34</v>
      </c>
      <c r="K41">
        <v>196</v>
      </c>
      <c r="L41">
        <v>369</v>
      </c>
      <c r="M41">
        <v>394</v>
      </c>
      <c r="N41">
        <v>193</v>
      </c>
      <c r="O41">
        <v>375</v>
      </c>
      <c r="P41">
        <v>41</v>
      </c>
      <c r="Q41">
        <v>185</v>
      </c>
      <c r="R41">
        <v>361</v>
      </c>
      <c r="S41">
        <v>375</v>
      </c>
      <c r="T41" t="s">
        <v>119</v>
      </c>
      <c r="U41" t="s">
        <v>92</v>
      </c>
      <c r="V41" t="s">
        <v>129</v>
      </c>
      <c r="W41" t="s">
        <v>171</v>
      </c>
      <c r="X41" t="s">
        <v>68</v>
      </c>
      <c r="Y41" t="s">
        <v>83</v>
      </c>
    </row>
    <row r="42" spans="1:25">
      <c r="A42" t="s">
        <v>25</v>
      </c>
      <c r="B42" t="s">
        <v>26</v>
      </c>
      <c r="C42" t="s">
        <v>221</v>
      </c>
      <c r="D42" s="1">
        <v>45921</v>
      </c>
      <c r="E42" s="2">
        <v>0.66666666666666663</v>
      </c>
      <c r="F42" t="s">
        <v>63</v>
      </c>
      <c r="G42" t="s">
        <v>35</v>
      </c>
      <c r="H42">
        <v>1</v>
      </c>
      <c r="I42">
        <v>1</v>
      </c>
      <c r="J42" t="s">
        <v>41</v>
      </c>
      <c r="K42">
        <v>519</v>
      </c>
      <c r="L42">
        <v>408</v>
      </c>
      <c r="M42">
        <v>167</v>
      </c>
      <c r="N42">
        <v>55</v>
      </c>
      <c r="O42">
        <v>4</v>
      </c>
      <c r="P42">
        <v>17</v>
      </c>
      <c r="Q42">
        <v>493</v>
      </c>
      <c r="R42">
        <v>381</v>
      </c>
      <c r="S42">
        <v>162</v>
      </c>
      <c r="T42" t="s">
        <v>201</v>
      </c>
      <c r="U42" t="s">
        <v>129</v>
      </c>
      <c r="V42" t="s">
        <v>82</v>
      </c>
      <c r="W42" t="s">
        <v>107</v>
      </c>
      <c r="X42" t="s">
        <v>129</v>
      </c>
      <c r="Y42" t="s">
        <v>111</v>
      </c>
    </row>
    <row r="43" spans="1:25">
      <c r="A43" t="s">
        <v>25</v>
      </c>
      <c r="B43" t="s">
        <v>26</v>
      </c>
      <c r="C43" t="s">
        <v>221</v>
      </c>
      <c r="D43" s="1">
        <v>45927</v>
      </c>
      <c r="E43" s="2">
        <v>0.66666666666666663</v>
      </c>
      <c r="F43" t="s">
        <v>61</v>
      </c>
      <c r="G43" t="s">
        <v>45</v>
      </c>
      <c r="H43">
        <v>1</v>
      </c>
      <c r="I43">
        <v>0</v>
      </c>
      <c r="J43" t="s">
        <v>34</v>
      </c>
      <c r="K43">
        <v>321</v>
      </c>
      <c r="L43">
        <v>325</v>
      </c>
      <c r="M43">
        <v>242</v>
      </c>
      <c r="N43">
        <v>32</v>
      </c>
      <c r="O43">
        <v>32</v>
      </c>
      <c r="P43">
        <v>238</v>
      </c>
      <c r="Q43">
        <v>305</v>
      </c>
      <c r="R43">
        <v>309</v>
      </c>
      <c r="S43">
        <v>231</v>
      </c>
      <c r="T43" t="s">
        <v>93</v>
      </c>
      <c r="U43" t="s">
        <v>86</v>
      </c>
      <c r="V43" t="s">
        <v>164</v>
      </c>
      <c r="W43" t="s">
        <v>126</v>
      </c>
      <c r="X43" t="s">
        <v>103</v>
      </c>
      <c r="Y43" t="s">
        <v>122</v>
      </c>
    </row>
    <row r="44" spans="1:25">
      <c r="A44" t="s">
        <v>25</v>
      </c>
      <c r="B44" t="s">
        <v>26</v>
      </c>
      <c r="C44" t="s">
        <v>221</v>
      </c>
      <c r="D44" s="1">
        <v>45927</v>
      </c>
      <c r="E44" s="2">
        <v>0.66666666666666663</v>
      </c>
      <c r="F44" t="s">
        <v>38</v>
      </c>
      <c r="G44" t="s">
        <v>63</v>
      </c>
      <c r="H44">
        <v>0</v>
      </c>
      <c r="I44">
        <v>0</v>
      </c>
      <c r="J44" t="s">
        <v>41</v>
      </c>
      <c r="K44">
        <v>195</v>
      </c>
      <c r="L44">
        <v>352</v>
      </c>
      <c r="M44">
        <v>419</v>
      </c>
      <c r="N44">
        <v>198</v>
      </c>
      <c r="O44">
        <v>35</v>
      </c>
      <c r="P44">
        <v>42</v>
      </c>
      <c r="Q44">
        <v>193</v>
      </c>
      <c r="R44">
        <v>337</v>
      </c>
      <c r="S44">
        <v>375</v>
      </c>
      <c r="T44" t="s">
        <v>101</v>
      </c>
      <c r="U44" t="s">
        <v>80</v>
      </c>
      <c r="V44" t="s">
        <v>100</v>
      </c>
      <c r="W44" t="s">
        <v>117</v>
      </c>
      <c r="X44" t="s">
        <v>144</v>
      </c>
      <c r="Y44" t="s">
        <v>75</v>
      </c>
    </row>
    <row r="45" spans="1:25">
      <c r="A45" t="s">
        <v>25</v>
      </c>
      <c r="B45" t="s">
        <v>26</v>
      </c>
      <c r="C45" t="s">
        <v>221</v>
      </c>
      <c r="D45" s="1">
        <v>45927</v>
      </c>
      <c r="E45" s="2">
        <v>0.66666666666666663</v>
      </c>
      <c r="F45" t="s">
        <v>39</v>
      </c>
      <c r="G45" t="s">
        <v>50</v>
      </c>
      <c r="H45">
        <v>1</v>
      </c>
      <c r="I45">
        <v>0</v>
      </c>
      <c r="J45" t="s">
        <v>34</v>
      </c>
      <c r="K45">
        <v>219</v>
      </c>
      <c r="L45">
        <v>353</v>
      </c>
      <c r="M45">
        <v>341</v>
      </c>
      <c r="N45">
        <v>22</v>
      </c>
      <c r="O45">
        <v>355</v>
      </c>
      <c r="P45">
        <v>333</v>
      </c>
      <c r="Q45">
        <v>21</v>
      </c>
      <c r="R45">
        <v>344</v>
      </c>
      <c r="S45">
        <v>315</v>
      </c>
      <c r="T45" t="s">
        <v>72</v>
      </c>
      <c r="U45" t="s">
        <v>68</v>
      </c>
      <c r="V45" t="s">
        <v>77</v>
      </c>
      <c r="W45" t="s">
        <v>239</v>
      </c>
      <c r="X45" t="s">
        <v>144</v>
      </c>
      <c r="Y45" t="s">
        <v>126</v>
      </c>
    </row>
    <row r="46" spans="1:25">
      <c r="A46" t="s">
        <v>25</v>
      </c>
      <c r="B46" t="s">
        <v>26</v>
      </c>
      <c r="C46" t="s">
        <v>221</v>
      </c>
      <c r="D46" s="1">
        <v>45928</v>
      </c>
      <c r="E46" s="2">
        <v>0.5625</v>
      </c>
      <c r="F46" t="s">
        <v>28</v>
      </c>
      <c r="G46" t="s">
        <v>52</v>
      </c>
      <c r="H46">
        <v>1</v>
      </c>
      <c r="I46">
        <v>0</v>
      </c>
      <c r="J46" t="s">
        <v>34</v>
      </c>
      <c r="K46">
        <v>172</v>
      </c>
      <c r="L46">
        <v>398</v>
      </c>
      <c r="M46">
        <v>492</v>
      </c>
      <c r="N46">
        <v>175</v>
      </c>
      <c r="O46">
        <v>4</v>
      </c>
      <c r="P46">
        <v>5</v>
      </c>
      <c r="Q46">
        <v>169</v>
      </c>
      <c r="R46">
        <v>381</v>
      </c>
      <c r="S46">
        <v>443</v>
      </c>
      <c r="T46" t="s">
        <v>237</v>
      </c>
      <c r="U46" t="s">
        <v>116</v>
      </c>
      <c r="V46" t="s">
        <v>169</v>
      </c>
      <c r="W46" t="s">
        <v>197</v>
      </c>
      <c r="X46" t="s">
        <v>116</v>
      </c>
      <c r="Y46" t="s">
        <v>230</v>
      </c>
    </row>
    <row r="47" spans="1:25">
      <c r="A47" t="s">
        <v>25</v>
      </c>
      <c r="B47" t="s">
        <v>26</v>
      </c>
      <c r="C47" t="s">
        <v>221</v>
      </c>
      <c r="D47" s="1">
        <v>45928</v>
      </c>
      <c r="E47" s="2">
        <v>0.5625</v>
      </c>
      <c r="F47" t="s">
        <v>54</v>
      </c>
      <c r="G47" t="s">
        <v>29</v>
      </c>
      <c r="H47">
        <v>1</v>
      </c>
      <c r="I47">
        <v>2</v>
      </c>
      <c r="J47" t="s">
        <v>30</v>
      </c>
      <c r="K47">
        <v>496</v>
      </c>
      <c r="L47">
        <v>443</v>
      </c>
      <c r="M47">
        <v>164</v>
      </c>
      <c r="N47">
        <v>525</v>
      </c>
      <c r="O47">
        <v>433</v>
      </c>
      <c r="P47">
        <v>162</v>
      </c>
      <c r="Q47">
        <v>477</v>
      </c>
      <c r="R47">
        <v>416</v>
      </c>
      <c r="S47">
        <v>158</v>
      </c>
      <c r="T47" t="s">
        <v>214</v>
      </c>
      <c r="U47" t="s">
        <v>69</v>
      </c>
      <c r="V47" t="s">
        <v>177</v>
      </c>
      <c r="W47" t="s">
        <v>227</v>
      </c>
      <c r="X47" t="s">
        <v>230</v>
      </c>
      <c r="Y47" t="s">
        <v>182</v>
      </c>
    </row>
    <row r="48" spans="1:25">
      <c r="A48" t="s">
        <v>25</v>
      </c>
      <c r="B48" t="s">
        <v>26</v>
      </c>
      <c r="C48" t="s">
        <v>221</v>
      </c>
      <c r="D48" s="1">
        <v>45928</v>
      </c>
      <c r="E48" s="2">
        <v>0.66666666666666663</v>
      </c>
      <c r="F48" t="s">
        <v>35</v>
      </c>
      <c r="G48" t="s">
        <v>40</v>
      </c>
      <c r="H48">
        <v>1</v>
      </c>
      <c r="I48">
        <v>3</v>
      </c>
      <c r="J48" t="s">
        <v>30</v>
      </c>
      <c r="K48">
        <v>194</v>
      </c>
      <c r="L48">
        <v>361</v>
      </c>
      <c r="M48">
        <v>41</v>
      </c>
      <c r="N48">
        <v>187</v>
      </c>
      <c r="O48">
        <v>37</v>
      </c>
      <c r="P48">
        <v>425</v>
      </c>
      <c r="Q48">
        <v>181</v>
      </c>
      <c r="R48">
        <v>353</v>
      </c>
      <c r="S48">
        <v>402</v>
      </c>
      <c r="T48" t="s">
        <v>240</v>
      </c>
      <c r="U48" t="s">
        <v>114</v>
      </c>
      <c r="V48" t="s">
        <v>154</v>
      </c>
      <c r="W48" t="s">
        <v>90</v>
      </c>
      <c r="X48" t="s">
        <v>114</v>
      </c>
      <c r="Y48" t="s">
        <v>83</v>
      </c>
    </row>
    <row r="49" spans="1:25">
      <c r="A49" t="s">
        <v>25</v>
      </c>
      <c r="B49" t="s">
        <v>26</v>
      </c>
      <c r="C49" t="s">
        <v>221</v>
      </c>
      <c r="D49" s="1">
        <v>45934</v>
      </c>
      <c r="E49" s="2">
        <v>0.66666666666666663</v>
      </c>
      <c r="F49" t="s">
        <v>40</v>
      </c>
      <c r="G49" t="s">
        <v>61</v>
      </c>
      <c r="H49">
        <v>0</v>
      </c>
      <c r="I49">
        <v>1</v>
      </c>
      <c r="J49" t="s">
        <v>30</v>
      </c>
      <c r="K49">
        <v>194</v>
      </c>
      <c r="L49">
        <v>365</v>
      </c>
      <c r="M49">
        <v>406</v>
      </c>
      <c r="N49">
        <v>2</v>
      </c>
      <c r="O49">
        <v>36</v>
      </c>
      <c r="P49">
        <v>4</v>
      </c>
      <c r="Q49">
        <v>189</v>
      </c>
      <c r="R49">
        <v>345</v>
      </c>
      <c r="S49">
        <v>379</v>
      </c>
      <c r="T49" t="s">
        <v>194</v>
      </c>
      <c r="U49" t="s">
        <v>114</v>
      </c>
      <c r="V49" t="s">
        <v>83</v>
      </c>
      <c r="W49" t="s">
        <v>73</v>
      </c>
      <c r="X49" t="s">
        <v>68</v>
      </c>
      <c r="Y49" t="s">
        <v>114</v>
      </c>
    </row>
    <row r="50" spans="1:25">
      <c r="A50" t="s">
        <v>25</v>
      </c>
      <c r="B50" t="s">
        <v>26</v>
      </c>
      <c r="C50" t="s">
        <v>221</v>
      </c>
      <c r="D50" s="1">
        <v>45934</v>
      </c>
      <c r="E50" s="2">
        <v>0.66666666666666663</v>
      </c>
      <c r="F50" t="s">
        <v>63</v>
      </c>
      <c r="G50" t="s">
        <v>39</v>
      </c>
      <c r="H50">
        <v>1</v>
      </c>
      <c r="I50">
        <v>3</v>
      </c>
      <c r="J50" t="s">
        <v>30</v>
      </c>
      <c r="K50">
        <v>418</v>
      </c>
      <c r="L50">
        <v>345</v>
      </c>
      <c r="M50">
        <v>198</v>
      </c>
      <c r="N50">
        <v>45</v>
      </c>
      <c r="O50">
        <v>36</v>
      </c>
      <c r="P50">
        <v>188</v>
      </c>
      <c r="Q50">
        <v>406</v>
      </c>
      <c r="R50">
        <v>344</v>
      </c>
      <c r="S50">
        <v>183</v>
      </c>
      <c r="T50" t="s">
        <v>89</v>
      </c>
      <c r="U50" t="s">
        <v>68</v>
      </c>
      <c r="V50" t="s">
        <v>240</v>
      </c>
      <c r="W50" t="s">
        <v>230</v>
      </c>
      <c r="X50" t="s">
        <v>70</v>
      </c>
      <c r="Y50" t="s">
        <v>237</v>
      </c>
    </row>
    <row r="51" spans="1:25">
      <c r="A51" t="s">
        <v>25</v>
      </c>
      <c r="B51" t="s">
        <v>26</v>
      </c>
      <c r="C51" t="s">
        <v>221</v>
      </c>
      <c r="D51" s="1">
        <v>45934</v>
      </c>
      <c r="E51" s="2">
        <v>0.66666666666666663</v>
      </c>
      <c r="F51" t="s">
        <v>38</v>
      </c>
      <c r="G51" t="s">
        <v>54</v>
      </c>
      <c r="H51">
        <v>2</v>
      </c>
      <c r="I51">
        <v>0</v>
      </c>
      <c r="J51" t="s">
        <v>34</v>
      </c>
      <c r="K51">
        <v>216</v>
      </c>
      <c r="L51">
        <v>332</v>
      </c>
      <c r="M51">
        <v>37</v>
      </c>
      <c r="N51">
        <v>212</v>
      </c>
      <c r="O51">
        <v>34</v>
      </c>
      <c r="P51">
        <v>35</v>
      </c>
      <c r="Q51">
        <v>207</v>
      </c>
      <c r="R51">
        <v>33</v>
      </c>
      <c r="S51">
        <v>333</v>
      </c>
      <c r="T51" t="s">
        <v>72</v>
      </c>
      <c r="U51" t="s">
        <v>167</v>
      </c>
      <c r="V51" t="s">
        <v>114</v>
      </c>
      <c r="W51" t="s">
        <v>99</v>
      </c>
      <c r="X51" t="s">
        <v>143</v>
      </c>
      <c r="Y51" t="s">
        <v>144</v>
      </c>
    </row>
    <row r="52" spans="1:25">
      <c r="A52" t="s">
        <v>25</v>
      </c>
      <c r="B52" t="s">
        <v>26</v>
      </c>
      <c r="C52" t="s">
        <v>221</v>
      </c>
      <c r="D52" s="1">
        <v>45935</v>
      </c>
      <c r="E52" s="2">
        <v>0.5625</v>
      </c>
      <c r="F52" t="s">
        <v>45</v>
      </c>
      <c r="G52" t="s">
        <v>28</v>
      </c>
      <c r="H52">
        <v>0</v>
      </c>
      <c r="I52">
        <v>2</v>
      </c>
      <c r="J52" t="s">
        <v>30</v>
      </c>
      <c r="K52">
        <v>308</v>
      </c>
      <c r="L52">
        <v>333</v>
      </c>
      <c r="M52">
        <v>229</v>
      </c>
      <c r="N52">
        <v>3</v>
      </c>
      <c r="O52">
        <v>34</v>
      </c>
      <c r="P52">
        <v>242</v>
      </c>
      <c r="Q52">
        <v>292</v>
      </c>
      <c r="R52">
        <v>323</v>
      </c>
      <c r="S52">
        <v>23</v>
      </c>
      <c r="T52" t="s">
        <v>126</v>
      </c>
      <c r="U52" t="s">
        <v>167</v>
      </c>
      <c r="V52" t="s">
        <v>128</v>
      </c>
      <c r="W52" t="s">
        <v>104</v>
      </c>
      <c r="X52" t="s">
        <v>144</v>
      </c>
      <c r="Y52" t="s">
        <v>241</v>
      </c>
    </row>
    <row r="53" spans="1:25">
      <c r="A53" t="s">
        <v>25</v>
      </c>
      <c r="B53" t="s">
        <v>26</v>
      </c>
      <c r="C53" t="s">
        <v>221</v>
      </c>
      <c r="D53" s="1">
        <v>45935</v>
      </c>
      <c r="E53" s="2">
        <v>0.5625</v>
      </c>
      <c r="F53" t="s">
        <v>50</v>
      </c>
      <c r="G53" t="s">
        <v>52</v>
      </c>
      <c r="H53">
        <v>3</v>
      </c>
      <c r="I53">
        <v>3</v>
      </c>
      <c r="J53" t="s">
        <v>41</v>
      </c>
      <c r="K53">
        <v>195</v>
      </c>
      <c r="L53">
        <v>37</v>
      </c>
      <c r="M53">
        <v>398</v>
      </c>
      <c r="N53">
        <v>187</v>
      </c>
      <c r="O53">
        <v>38</v>
      </c>
      <c r="P53">
        <v>42</v>
      </c>
      <c r="Q53">
        <v>18</v>
      </c>
      <c r="R53">
        <v>365</v>
      </c>
      <c r="S53">
        <v>396</v>
      </c>
      <c r="T53" t="s">
        <v>117</v>
      </c>
      <c r="U53" t="s">
        <v>74</v>
      </c>
      <c r="V53" t="s">
        <v>115</v>
      </c>
      <c r="W53" t="s">
        <v>90</v>
      </c>
      <c r="X53" t="s">
        <v>92</v>
      </c>
      <c r="Y53" t="s">
        <v>75</v>
      </c>
    </row>
    <row r="54" spans="1:25">
      <c r="A54" t="s">
        <v>25</v>
      </c>
      <c r="B54" t="s">
        <v>26</v>
      </c>
      <c r="C54" t="s">
        <v>221</v>
      </c>
      <c r="D54" s="1">
        <v>45935</v>
      </c>
      <c r="E54" s="2">
        <v>0.66666666666666663</v>
      </c>
      <c r="F54" t="s">
        <v>29</v>
      </c>
      <c r="G54" t="s">
        <v>35</v>
      </c>
      <c r="H54">
        <v>2</v>
      </c>
      <c r="I54">
        <v>1</v>
      </c>
      <c r="J54" t="s">
        <v>34</v>
      </c>
      <c r="K54">
        <v>196</v>
      </c>
      <c r="L54">
        <v>402</v>
      </c>
      <c r="M54">
        <v>361</v>
      </c>
      <c r="N54">
        <v>208</v>
      </c>
      <c r="O54">
        <v>4</v>
      </c>
      <c r="P54">
        <v>34</v>
      </c>
      <c r="Q54">
        <v>199</v>
      </c>
      <c r="R54">
        <v>367</v>
      </c>
      <c r="S54">
        <v>323</v>
      </c>
      <c r="T54" t="s">
        <v>212</v>
      </c>
      <c r="U54" t="s">
        <v>116</v>
      </c>
      <c r="V54" t="s">
        <v>70</v>
      </c>
      <c r="W54" t="s">
        <v>242</v>
      </c>
      <c r="X54" t="s">
        <v>129</v>
      </c>
      <c r="Y54" t="s">
        <v>126</v>
      </c>
    </row>
    <row r="55" spans="1:25">
      <c r="A55" t="s">
        <v>25</v>
      </c>
      <c r="B55" t="s">
        <v>26</v>
      </c>
      <c r="C55" t="s">
        <v>221</v>
      </c>
      <c r="D55" s="1">
        <v>45948</v>
      </c>
      <c r="E55" s="2">
        <v>0.66666666666666663</v>
      </c>
      <c r="F55" t="s">
        <v>63</v>
      </c>
      <c r="G55" t="s">
        <v>52</v>
      </c>
      <c r="H55">
        <v>0</v>
      </c>
      <c r="I55">
        <v>0</v>
      </c>
      <c r="J55" t="s">
        <v>41</v>
      </c>
      <c r="K55">
        <v>325</v>
      </c>
      <c r="L55">
        <v>316</v>
      </c>
      <c r="M55">
        <v>245</v>
      </c>
      <c r="N55">
        <v>31</v>
      </c>
      <c r="O55">
        <v>33</v>
      </c>
      <c r="P55">
        <v>255</v>
      </c>
      <c r="Q55">
        <v>285</v>
      </c>
      <c r="R55">
        <v>314</v>
      </c>
      <c r="S55">
        <v>242</v>
      </c>
      <c r="T55" t="s">
        <v>243</v>
      </c>
      <c r="U55" t="s">
        <v>143</v>
      </c>
      <c r="V55" t="s">
        <v>190</v>
      </c>
      <c r="W55" t="s">
        <v>231</v>
      </c>
      <c r="X55" t="s">
        <v>163</v>
      </c>
      <c r="Y55" t="s">
        <v>229</v>
      </c>
    </row>
    <row r="56" spans="1:25">
      <c r="A56" t="s">
        <v>25</v>
      </c>
      <c r="B56" t="s">
        <v>26</v>
      </c>
      <c r="C56" t="s">
        <v>221</v>
      </c>
      <c r="D56" s="1">
        <v>45948</v>
      </c>
      <c r="E56" s="2">
        <v>0.66666666666666663</v>
      </c>
      <c r="F56" t="s">
        <v>54</v>
      </c>
      <c r="G56" t="s">
        <v>40</v>
      </c>
      <c r="H56">
        <v>2</v>
      </c>
      <c r="I56">
        <v>3</v>
      </c>
      <c r="J56" t="s">
        <v>30</v>
      </c>
      <c r="K56">
        <v>376</v>
      </c>
      <c r="L56">
        <v>341</v>
      </c>
      <c r="M56">
        <v>211</v>
      </c>
      <c r="N56">
        <v>4</v>
      </c>
      <c r="O56">
        <v>35</v>
      </c>
      <c r="P56">
        <v>21</v>
      </c>
      <c r="Q56">
        <v>355</v>
      </c>
      <c r="R56">
        <v>33</v>
      </c>
      <c r="S56">
        <v>2</v>
      </c>
      <c r="T56" t="s">
        <v>92</v>
      </c>
      <c r="U56" t="s">
        <v>70</v>
      </c>
      <c r="V56" t="s">
        <v>212</v>
      </c>
      <c r="W56" t="s">
        <v>70</v>
      </c>
      <c r="X56" t="s">
        <v>86</v>
      </c>
      <c r="Y56" t="s">
        <v>244</v>
      </c>
    </row>
    <row r="57" spans="1:25">
      <c r="A57" t="s">
        <v>25</v>
      </c>
      <c r="B57" t="s">
        <v>26</v>
      </c>
      <c r="C57" t="s">
        <v>221</v>
      </c>
      <c r="D57" s="1">
        <v>45948</v>
      </c>
      <c r="E57" s="2">
        <v>0.66666666666666663</v>
      </c>
      <c r="F57" t="s">
        <v>39</v>
      </c>
      <c r="G57" t="s">
        <v>38</v>
      </c>
      <c r="H57">
        <v>1</v>
      </c>
      <c r="I57">
        <v>2</v>
      </c>
      <c r="J57" t="s">
        <v>30</v>
      </c>
      <c r="K57">
        <v>206</v>
      </c>
      <c r="L57">
        <v>334</v>
      </c>
      <c r="M57">
        <v>4</v>
      </c>
      <c r="N57">
        <v>205</v>
      </c>
      <c r="O57">
        <v>34</v>
      </c>
      <c r="P57">
        <v>375</v>
      </c>
      <c r="Q57">
        <v>2</v>
      </c>
      <c r="R57">
        <v>326</v>
      </c>
      <c r="S57">
        <v>364</v>
      </c>
      <c r="T57" t="s">
        <v>166</v>
      </c>
      <c r="U57" t="s">
        <v>144</v>
      </c>
      <c r="V57" t="s">
        <v>75</v>
      </c>
      <c r="W57" t="s">
        <v>244</v>
      </c>
      <c r="X57" t="s">
        <v>143</v>
      </c>
      <c r="Y57" t="s">
        <v>70</v>
      </c>
    </row>
    <row r="58" spans="1:25">
      <c r="A58" t="s">
        <v>25</v>
      </c>
      <c r="B58" t="s">
        <v>26</v>
      </c>
      <c r="C58" t="s">
        <v>221</v>
      </c>
      <c r="D58" s="1">
        <v>45949</v>
      </c>
      <c r="E58" s="2">
        <v>0.5625</v>
      </c>
      <c r="F58" t="s">
        <v>61</v>
      </c>
      <c r="G58" t="s">
        <v>28</v>
      </c>
      <c r="H58">
        <v>3</v>
      </c>
      <c r="I58">
        <v>4</v>
      </c>
      <c r="J58" t="s">
        <v>30</v>
      </c>
      <c r="K58">
        <v>444</v>
      </c>
      <c r="L58">
        <v>364</v>
      </c>
      <c r="M58">
        <v>187</v>
      </c>
      <c r="N58">
        <v>433</v>
      </c>
      <c r="O58">
        <v>37</v>
      </c>
      <c r="P58">
        <v>185</v>
      </c>
      <c r="Q58">
        <v>408</v>
      </c>
      <c r="R58">
        <v>355</v>
      </c>
      <c r="S58">
        <v>18</v>
      </c>
      <c r="T58" t="s">
        <v>95</v>
      </c>
      <c r="U58" t="s">
        <v>71</v>
      </c>
      <c r="V58" t="s">
        <v>159</v>
      </c>
      <c r="W58" t="s">
        <v>230</v>
      </c>
      <c r="X58" t="s">
        <v>70</v>
      </c>
      <c r="Y58" t="s">
        <v>237</v>
      </c>
    </row>
    <row r="59" spans="1:25">
      <c r="A59" t="s">
        <v>25</v>
      </c>
      <c r="B59" t="s">
        <v>26</v>
      </c>
      <c r="C59" t="s">
        <v>221</v>
      </c>
      <c r="D59" s="1">
        <v>45949</v>
      </c>
      <c r="E59" s="2">
        <v>0.5625</v>
      </c>
      <c r="F59" t="s">
        <v>29</v>
      </c>
      <c r="G59" t="s">
        <v>45</v>
      </c>
      <c r="H59">
        <v>2</v>
      </c>
      <c r="I59">
        <v>2</v>
      </c>
      <c r="J59" t="s">
        <v>41</v>
      </c>
      <c r="K59">
        <v>171</v>
      </c>
      <c r="L59">
        <v>429</v>
      </c>
      <c r="M59">
        <v>457</v>
      </c>
      <c r="N59">
        <v>17</v>
      </c>
      <c r="O59">
        <v>42</v>
      </c>
      <c r="P59">
        <v>48</v>
      </c>
      <c r="Q59">
        <v>165</v>
      </c>
      <c r="R59">
        <v>39</v>
      </c>
      <c r="S59">
        <v>448</v>
      </c>
      <c r="T59" t="s">
        <v>245</v>
      </c>
      <c r="U59" t="s">
        <v>75</v>
      </c>
      <c r="V59" t="s">
        <v>169</v>
      </c>
      <c r="W59" t="s">
        <v>236</v>
      </c>
      <c r="X59" t="s">
        <v>75</v>
      </c>
      <c r="Y59" t="s">
        <v>230</v>
      </c>
    </row>
    <row r="60" spans="1:25">
      <c r="A60" t="s">
        <v>25</v>
      </c>
      <c r="B60" t="s">
        <v>26</v>
      </c>
      <c r="C60" t="s">
        <v>221</v>
      </c>
      <c r="D60" s="1">
        <v>45949</v>
      </c>
      <c r="E60" s="2">
        <v>0.66666666666666663</v>
      </c>
      <c r="F60" t="s">
        <v>35</v>
      </c>
      <c r="G60" t="s">
        <v>50</v>
      </c>
      <c r="H60">
        <v>0</v>
      </c>
      <c r="I60">
        <v>2</v>
      </c>
      <c r="J60" t="s">
        <v>30</v>
      </c>
      <c r="K60">
        <v>187</v>
      </c>
      <c r="L60">
        <v>4</v>
      </c>
      <c r="M60">
        <v>398</v>
      </c>
      <c r="N60">
        <v>185</v>
      </c>
      <c r="O60">
        <v>395</v>
      </c>
      <c r="P60">
        <v>433</v>
      </c>
      <c r="Q60">
        <v>18</v>
      </c>
      <c r="R60">
        <v>377</v>
      </c>
      <c r="S60">
        <v>38</v>
      </c>
      <c r="T60" t="s">
        <v>215</v>
      </c>
      <c r="U60" t="s">
        <v>83</v>
      </c>
      <c r="V60" t="s">
        <v>100</v>
      </c>
      <c r="W60" t="s">
        <v>90</v>
      </c>
      <c r="X60" t="s">
        <v>70</v>
      </c>
      <c r="Y60" t="s">
        <v>230</v>
      </c>
    </row>
    <row r="61" spans="1:25">
      <c r="A61" t="s">
        <v>25</v>
      </c>
      <c r="B61" t="s">
        <v>26</v>
      </c>
      <c r="C61" t="s">
        <v>221</v>
      </c>
      <c r="D61" s="1">
        <v>45955</v>
      </c>
      <c r="E61" s="2">
        <v>0.66666666666666663</v>
      </c>
      <c r="F61" t="s">
        <v>45</v>
      </c>
      <c r="G61" t="s">
        <v>52</v>
      </c>
      <c r="H61">
        <v>2</v>
      </c>
      <c r="I61">
        <v>2</v>
      </c>
      <c r="J61" t="s">
        <v>41</v>
      </c>
      <c r="K61">
        <v>209</v>
      </c>
      <c r="L61">
        <v>32</v>
      </c>
      <c r="M61">
        <v>385</v>
      </c>
      <c r="N61">
        <v>22</v>
      </c>
      <c r="O61">
        <v>325</v>
      </c>
      <c r="P61">
        <v>39</v>
      </c>
      <c r="Q61">
        <v>207</v>
      </c>
      <c r="R61">
        <v>312</v>
      </c>
      <c r="S61">
        <v>361</v>
      </c>
      <c r="T61" t="s">
        <v>186</v>
      </c>
      <c r="U61" t="s">
        <v>110</v>
      </c>
      <c r="V61" t="s">
        <v>116</v>
      </c>
      <c r="W61" t="s">
        <v>99</v>
      </c>
      <c r="X61" t="s">
        <v>103</v>
      </c>
      <c r="Y61" t="s">
        <v>70</v>
      </c>
    </row>
    <row r="62" spans="1:25">
      <c r="A62" t="s">
        <v>25</v>
      </c>
      <c r="B62" t="s">
        <v>26</v>
      </c>
      <c r="C62" t="s">
        <v>221</v>
      </c>
      <c r="D62" s="1">
        <v>45955</v>
      </c>
      <c r="E62" s="2">
        <v>0.66666666666666663</v>
      </c>
      <c r="F62" t="s">
        <v>50</v>
      </c>
      <c r="G62" t="s">
        <v>63</v>
      </c>
      <c r="H62">
        <v>1</v>
      </c>
      <c r="I62">
        <v>0</v>
      </c>
      <c r="J62" t="s">
        <v>34</v>
      </c>
      <c r="K62">
        <v>16</v>
      </c>
      <c r="L62">
        <v>418</v>
      </c>
      <c r="M62">
        <v>519</v>
      </c>
      <c r="N62">
        <v>162</v>
      </c>
      <c r="O62">
        <v>4</v>
      </c>
      <c r="P62">
        <v>6</v>
      </c>
      <c r="Q62">
        <v>16</v>
      </c>
      <c r="R62">
        <v>378</v>
      </c>
      <c r="S62">
        <v>52</v>
      </c>
      <c r="T62" t="s">
        <v>146</v>
      </c>
      <c r="U62" t="s">
        <v>129</v>
      </c>
      <c r="V62" t="s">
        <v>65</v>
      </c>
      <c r="W62" t="s">
        <v>111</v>
      </c>
      <c r="X62" t="s">
        <v>114</v>
      </c>
      <c r="Y62" t="s">
        <v>65</v>
      </c>
    </row>
    <row r="63" spans="1:25">
      <c r="A63" t="s">
        <v>25</v>
      </c>
      <c r="B63" t="s">
        <v>26</v>
      </c>
      <c r="C63" t="s">
        <v>221</v>
      </c>
      <c r="D63" s="1">
        <v>45955</v>
      </c>
      <c r="E63" s="2">
        <v>0.66666666666666663</v>
      </c>
      <c r="F63" t="s">
        <v>54</v>
      </c>
      <c r="G63" t="s">
        <v>61</v>
      </c>
      <c r="H63">
        <v>2</v>
      </c>
      <c r="I63">
        <v>0</v>
      </c>
      <c r="J63" t="s">
        <v>34</v>
      </c>
      <c r="K63">
        <v>266</v>
      </c>
      <c r="L63">
        <v>324</v>
      </c>
      <c r="M63">
        <v>274</v>
      </c>
      <c r="N63">
        <v>314</v>
      </c>
      <c r="O63">
        <v>33</v>
      </c>
      <c r="P63">
        <v>238</v>
      </c>
      <c r="Q63">
        <v>295</v>
      </c>
      <c r="R63">
        <v>319</v>
      </c>
      <c r="S63">
        <v>233</v>
      </c>
      <c r="T63" t="s">
        <v>86</v>
      </c>
      <c r="U63" t="s">
        <v>143</v>
      </c>
      <c r="V63" t="s">
        <v>102</v>
      </c>
      <c r="W63" t="s">
        <v>246</v>
      </c>
      <c r="X63" t="s">
        <v>86</v>
      </c>
      <c r="Y63" t="s">
        <v>241</v>
      </c>
    </row>
    <row r="64" spans="1:25">
      <c r="A64" t="s">
        <v>25</v>
      </c>
      <c r="B64" t="s">
        <v>26</v>
      </c>
      <c r="C64" t="s">
        <v>221</v>
      </c>
      <c r="D64" s="1">
        <v>45956</v>
      </c>
      <c r="E64" s="2">
        <v>0.5625</v>
      </c>
      <c r="F64" t="s">
        <v>38</v>
      </c>
      <c r="G64" t="s">
        <v>35</v>
      </c>
      <c r="H64">
        <v>0</v>
      </c>
      <c r="I64">
        <v>2</v>
      </c>
      <c r="J64" t="s">
        <v>30</v>
      </c>
      <c r="K64">
        <v>341</v>
      </c>
      <c r="L64">
        <v>34</v>
      </c>
      <c r="M64">
        <v>216</v>
      </c>
      <c r="N64">
        <v>285</v>
      </c>
      <c r="O64">
        <v>34</v>
      </c>
      <c r="P64">
        <v>257</v>
      </c>
      <c r="Q64">
        <v>271</v>
      </c>
      <c r="R64">
        <v>327</v>
      </c>
      <c r="S64">
        <v>245</v>
      </c>
      <c r="T64" t="s">
        <v>133</v>
      </c>
      <c r="U64" t="s">
        <v>167</v>
      </c>
      <c r="V64" t="s">
        <v>118</v>
      </c>
      <c r="W64" t="s">
        <v>247</v>
      </c>
      <c r="X64" t="s">
        <v>103</v>
      </c>
      <c r="Y64" t="s">
        <v>248</v>
      </c>
    </row>
    <row r="65" spans="1:25">
      <c r="A65" t="s">
        <v>25</v>
      </c>
      <c r="B65" t="s">
        <v>26</v>
      </c>
      <c r="C65" t="s">
        <v>221</v>
      </c>
      <c r="D65" s="1">
        <v>45956</v>
      </c>
      <c r="E65" s="2">
        <v>0.5625</v>
      </c>
      <c r="F65" t="s">
        <v>28</v>
      </c>
      <c r="G65" t="s">
        <v>39</v>
      </c>
      <c r="H65">
        <v>1</v>
      </c>
      <c r="I65">
        <v>3</v>
      </c>
      <c r="J65" t="s">
        <v>30</v>
      </c>
      <c r="K65">
        <v>211</v>
      </c>
      <c r="L65">
        <v>347</v>
      </c>
      <c r="M65">
        <v>346</v>
      </c>
      <c r="N65">
        <v>24</v>
      </c>
      <c r="O65">
        <v>34</v>
      </c>
      <c r="P65">
        <v>3</v>
      </c>
      <c r="Q65">
        <v>232</v>
      </c>
      <c r="R65">
        <v>327</v>
      </c>
      <c r="S65">
        <v>288</v>
      </c>
      <c r="T65" t="s">
        <v>134</v>
      </c>
      <c r="U65" t="s">
        <v>144</v>
      </c>
      <c r="V65" t="s">
        <v>103</v>
      </c>
      <c r="W65" t="s">
        <v>109</v>
      </c>
      <c r="X65" t="s">
        <v>103</v>
      </c>
      <c r="Y65" t="s">
        <v>104</v>
      </c>
    </row>
    <row r="66" spans="1:25">
      <c r="A66" t="s">
        <v>25</v>
      </c>
      <c r="B66" t="s">
        <v>26</v>
      </c>
      <c r="C66" t="s">
        <v>221</v>
      </c>
      <c r="D66" s="1">
        <v>45956</v>
      </c>
      <c r="E66" s="2">
        <v>0.66666666666666663</v>
      </c>
      <c r="F66" t="s">
        <v>40</v>
      </c>
      <c r="G66" t="s">
        <v>29</v>
      </c>
      <c r="H66">
        <v>0</v>
      </c>
      <c r="I66">
        <v>3</v>
      </c>
      <c r="J66" t="s">
        <v>30</v>
      </c>
      <c r="K66">
        <v>313</v>
      </c>
      <c r="L66">
        <v>371</v>
      </c>
      <c r="M66">
        <v>217</v>
      </c>
      <c r="N66">
        <v>285</v>
      </c>
      <c r="O66">
        <v>36</v>
      </c>
      <c r="P66">
        <v>245</v>
      </c>
      <c r="Q66">
        <v>269</v>
      </c>
      <c r="R66">
        <v>35</v>
      </c>
      <c r="S66">
        <v>235</v>
      </c>
      <c r="T66" t="s">
        <v>78</v>
      </c>
      <c r="U66" t="s">
        <v>71</v>
      </c>
      <c r="V66" t="s">
        <v>181</v>
      </c>
      <c r="W66" t="s">
        <v>199</v>
      </c>
      <c r="X66" t="s">
        <v>144</v>
      </c>
      <c r="Y66" t="s">
        <v>241</v>
      </c>
    </row>
    <row r="67" spans="1:25">
      <c r="A67" t="s">
        <v>25</v>
      </c>
      <c r="B67" t="s">
        <v>26</v>
      </c>
      <c r="C67" t="s">
        <v>221</v>
      </c>
      <c r="D67" s="1">
        <v>45962</v>
      </c>
      <c r="E67" s="2">
        <v>0.66666666666666663</v>
      </c>
      <c r="F67" t="s">
        <v>61</v>
      </c>
      <c r="G67" t="s">
        <v>50</v>
      </c>
      <c r="H67">
        <v>0</v>
      </c>
      <c r="I67">
        <v>1</v>
      </c>
      <c r="J67" t="s">
        <v>30</v>
      </c>
      <c r="N67">
        <v>37</v>
      </c>
      <c r="O67">
        <v>35</v>
      </c>
      <c r="P67">
        <v>21</v>
      </c>
      <c r="Q67">
        <v>343</v>
      </c>
      <c r="R67">
        <v>334</v>
      </c>
      <c r="S67">
        <v>204</v>
      </c>
      <c r="T67" t="s">
        <v>129</v>
      </c>
      <c r="U67" t="s">
        <v>80</v>
      </c>
      <c r="V67" t="s">
        <v>189</v>
      </c>
      <c r="W67" t="s">
        <v>70</v>
      </c>
      <c r="X67" t="s">
        <v>70</v>
      </c>
      <c r="Y67" t="s">
        <v>242</v>
      </c>
    </row>
    <row r="68" spans="1:25">
      <c r="A68" t="s">
        <v>25</v>
      </c>
      <c r="B68" t="s">
        <v>26</v>
      </c>
      <c r="C68" t="s">
        <v>221</v>
      </c>
      <c r="D68" s="1">
        <v>45962</v>
      </c>
      <c r="E68" s="2">
        <v>0.66666666666666663</v>
      </c>
      <c r="F68" t="s">
        <v>63</v>
      </c>
      <c r="G68" t="s">
        <v>45</v>
      </c>
      <c r="H68">
        <v>3</v>
      </c>
      <c r="I68">
        <v>1</v>
      </c>
      <c r="J68" t="s">
        <v>34</v>
      </c>
      <c r="N68">
        <v>35</v>
      </c>
      <c r="O68">
        <v>325</v>
      </c>
      <c r="P68">
        <v>225</v>
      </c>
      <c r="Q68">
        <v>336</v>
      </c>
      <c r="R68">
        <v>298</v>
      </c>
      <c r="S68">
        <v>222</v>
      </c>
      <c r="T68" t="s">
        <v>114</v>
      </c>
      <c r="U68" t="s">
        <v>126</v>
      </c>
      <c r="V68" t="s">
        <v>109</v>
      </c>
      <c r="W68" t="s">
        <v>143</v>
      </c>
      <c r="X68" t="s">
        <v>86</v>
      </c>
      <c r="Y68" t="s">
        <v>239</v>
      </c>
    </row>
    <row r="69" spans="1:25">
      <c r="A69" t="s">
        <v>25</v>
      </c>
      <c r="B69" t="s">
        <v>26</v>
      </c>
      <c r="C69" t="s">
        <v>221</v>
      </c>
      <c r="D69" s="1">
        <v>45962</v>
      </c>
      <c r="E69" s="2">
        <v>0.66666666666666663</v>
      </c>
      <c r="F69" t="s">
        <v>52</v>
      </c>
      <c r="G69" t="s">
        <v>40</v>
      </c>
      <c r="H69">
        <v>2</v>
      </c>
      <c r="I69">
        <v>1</v>
      </c>
      <c r="J69" t="s">
        <v>34</v>
      </c>
      <c r="N69">
        <v>39</v>
      </c>
      <c r="O69">
        <v>35</v>
      </c>
      <c r="P69">
        <v>205</v>
      </c>
      <c r="Q69">
        <v>356</v>
      </c>
      <c r="R69">
        <v>337</v>
      </c>
      <c r="S69">
        <v>197</v>
      </c>
      <c r="T69" t="s">
        <v>129</v>
      </c>
      <c r="U69" t="s">
        <v>68</v>
      </c>
      <c r="V69" t="s">
        <v>166</v>
      </c>
      <c r="W69" t="s">
        <v>116</v>
      </c>
      <c r="X69" t="s">
        <v>144</v>
      </c>
      <c r="Y69" t="s">
        <v>73</v>
      </c>
    </row>
    <row r="70" spans="1:25">
      <c r="A70" t="s">
        <v>25</v>
      </c>
      <c r="B70" t="s">
        <v>26</v>
      </c>
      <c r="C70" t="s">
        <v>221</v>
      </c>
      <c r="D70" s="1">
        <v>45963</v>
      </c>
      <c r="E70" s="2">
        <v>0.5625</v>
      </c>
      <c r="F70" t="s">
        <v>29</v>
      </c>
      <c r="G70" t="s">
        <v>38</v>
      </c>
      <c r="H70">
        <v>4</v>
      </c>
      <c r="I70">
        <v>1</v>
      </c>
      <c r="J70" t="s">
        <v>34</v>
      </c>
      <c r="N70">
        <v>2</v>
      </c>
      <c r="O70">
        <v>38</v>
      </c>
      <c r="P70">
        <v>4</v>
      </c>
      <c r="Q70">
        <v>192</v>
      </c>
      <c r="R70">
        <v>355</v>
      </c>
      <c r="S70">
        <v>354</v>
      </c>
      <c r="T70" t="s">
        <v>101</v>
      </c>
      <c r="U70" t="s">
        <v>71</v>
      </c>
      <c r="V70" t="s">
        <v>129</v>
      </c>
      <c r="W70" t="s">
        <v>175</v>
      </c>
      <c r="X70" t="s">
        <v>92</v>
      </c>
      <c r="Y70" t="s">
        <v>143</v>
      </c>
    </row>
    <row r="71" spans="1:25">
      <c r="A71" t="s">
        <v>25</v>
      </c>
      <c r="B71" t="s">
        <v>26</v>
      </c>
      <c r="C71" t="s">
        <v>221</v>
      </c>
      <c r="D71" s="1">
        <v>45963</v>
      </c>
      <c r="E71" s="2">
        <v>0.5625</v>
      </c>
      <c r="F71" t="s">
        <v>39</v>
      </c>
      <c r="G71" t="s">
        <v>54</v>
      </c>
      <c r="H71">
        <v>0</v>
      </c>
      <c r="I71">
        <v>0</v>
      </c>
      <c r="J71" t="s">
        <v>41</v>
      </c>
      <c r="N71">
        <v>17</v>
      </c>
      <c r="O71">
        <v>395</v>
      </c>
      <c r="P71">
        <v>533</v>
      </c>
      <c r="Q71">
        <v>164</v>
      </c>
      <c r="R71">
        <v>372</v>
      </c>
      <c r="S71">
        <v>482</v>
      </c>
      <c r="T71" t="s">
        <v>249</v>
      </c>
      <c r="U71" t="s">
        <v>116</v>
      </c>
      <c r="V71" t="s">
        <v>214</v>
      </c>
      <c r="W71" t="s">
        <v>236</v>
      </c>
      <c r="X71" t="s">
        <v>92</v>
      </c>
      <c r="Y71" t="s">
        <v>227</v>
      </c>
    </row>
    <row r="72" spans="1:25">
      <c r="A72" t="s">
        <v>25</v>
      </c>
      <c r="B72" t="s">
        <v>26</v>
      </c>
      <c r="C72" t="s">
        <v>221</v>
      </c>
      <c r="D72" s="1">
        <v>45963</v>
      </c>
      <c r="E72" s="2">
        <v>0.66666666666666663</v>
      </c>
      <c r="F72" t="s">
        <v>35</v>
      </c>
      <c r="G72" t="s">
        <v>28</v>
      </c>
      <c r="H72">
        <v>2</v>
      </c>
      <c r="I72">
        <v>1</v>
      </c>
      <c r="J72" t="s">
        <v>34</v>
      </c>
      <c r="N72">
        <v>26</v>
      </c>
      <c r="O72">
        <v>36</v>
      </c>
      <c r="P72">
        <v>265</v>
      </c>
      <c r="Q72">
        <v>25</v>
      </c>
      <c r="R72">
        <v>342</v>
      </c>
      <c r="S72">
        <v>255</v>
      </c>
      <c r="T72" t="s">
        <v>224</v>
      </c>
      <c r="U72" t="s">
        <v>68</v>
      </c>
      <c r="V72" t="s">
        <v>250</v>
      </c>
      <c r="W72" t="s">
        <v>229</v>
      </c>
      <c r="X72" t="s">
        <v>70</v>
      </c>
      <c r="Y72" t="s">
        <v>128</v>
      </c>
    </row>
    <row r="73" spans="1:25">
      <c r="A73" t="s">
        <v>25</v>
      </c>
      <c r="B73" t="s">
        <v>26</v>
      </c>
      <c r="C73" t="s">
        <v>221</v>
      </c>
      <c r="D73" s="1">
        <v>45969</v>
      </c>
      <c r="E73" s="2">
        <v>0.66666666666666663</v>
      </c>
      <c r="F73" t="s">
        <v>40</v>
      </c>
      <c r="G73" t="s">
        <v>63</v>
      </c>
      <c r="H73">
        <v>2</v>
      </c>
      <c r="I73">
        <v>1</v>
      </c>
      <c r="J73" t="s">
        <v>34</v>
      </c>
      <c r="N73">
        <v>175</v>
      </c>
      <c r="O73">
        <v>36</v>
      </c>
      <c r="P73">
        <v>55</v>
      </c>
      <c r="Q73">
        <v>17</v>
      </c>
      <c r="R73">
        <v>343</v>
      </c>
      <c r="S73">
        <v>494</v>
      </c>
      <c r="T73" t="s">
        <v>249</v>
      </c>
      <c r="U73" t="s">
        <v>71</v>
      </c>
      <c r="V73" t="s">
        <v>201</v>
      </c>
      <c r="W73" t="s">
        <v>216</v>
      </c>
      <c r="X73" t="s">
        <v>70</v>
      </c>
      <c r="Y73" t="s">
        <v>107</v>
      </c>
    </row>
    <row r="74" spans="1:25">
      <c r="A74" t="s">
        <v>25</v>
      </c>
      <c r="B74" t="s">
        <v>26</v>
      </c>
      <c r="C74" t="s">
        <v>221</v>
      </c>
      <c r="D74" s="1">
        <v>45969</v>
      </c>
      <c r="E74" s="2">
        <v>0.66666666666666663</v>
      </c>
      <c r="F74" t="s">
        <v>38</v>
      </c>
      <c r="G74" t="s">
        <v>61</v>
      </c>
      <c r="H74">
        <v>2</v>
      </c>
      <c r="I74">
        <v>1</v>
      </c>
      <c r="J74" t="s">
        <v>34</v>
      </c>
      <c r="N74">
        <v>215</v>
      </c>
      <c r="O74">
        <v>33</v>
      </c>
      <c r="P74">
        <v>36</v>
      </c>
      <c r="Q74">
        <v>207</v>
      </c>
      <c r="R74">
        <v>32</v>
      </c>
      <c r="S74">
        <v>347</v>
      </c>
      <c r="T74" t="s">
        <v>124</v>
      </c>
      <c r="U74" t="s">
        <v>143</v>
      </c>
      <c r="V74" t="s">
        <v>77</v>
      </c>
      <c r="W74" t="s">
        <v>99</v>
      </c>
      <c r="X74" t="s">
        <v>86</v>
      </c>
      <c r="Y74" t="s">
        <v>70</v>
      </c>
    </row>
    <row r="75" spans="1:25">
      <c r="A75" t="s">
        <v>25</v>
      </c>
      <c r="B75" t="s">
        <v>26</v>
      </c>
      <c r="C75" t="s">
        <v>221</v>
      </c>
      <c r="D75" s="1">
        <v>45969</v>
      </c>
      <c r="E75" s="2">
        <v>0.66666666666666663</v>
      </c>
      <c r="F75" t="s">
        <v>39</v>
      </c>
      <c r="G75" t="s">
        <v>52</v>
      </c>
      <c r="H75">
        <v>1</v>
      </c>
      <c r="I75">
        <v>2</v>
      </c>
      <c r="J75" t="s">
        <v>30</v>
      </c>
      <c r="N75">
        <v>191</v>
      </c>
      <c r="O75">
        <v>36</v>
      </c>
      <c r="P75">
        <v>42</v>
      </c>
      <c r="Q75">
        <v>184</v>
      </c>
      <c r="R75">
        <v>347</v>
      </c>
      <c r="S75">
        <v>396</v>
      </c>
      <c r="T75" t="s">
        <v>165</v>
      </c>
      <c r="U75" t="s">
        <v>71</v>
      </c>
      <c r="V75" t="s">
        <v>69</v>
      </c>
      <c r="W75" t="s">
        <v>171</v>
      </c>
      <c r="X75" t="s">
        <v>70</v>
      </c>
      <c r="Y75" t="s">
        <v>75</v>
      </c>
    </row>
    <row r="76" spans="1:25">
      <c r="A76" t="s">
        <v>25</v>
      </c>
      <c r="B76" t="s">
        <v>26</v>
      </c>
      <c r="C76" t="s">
        <v>221</v>
      </c>
      <c r="D76" s="1">
        <v>45970</v>
      </c>
      <c r="E76" s="2">
        <v>0.5625</v>
      </c>
      <c r="F76" t="s">
        <v>50</v>
      </c>
      <c r="G76" t="s">
        <v>45</v>
      </c>
      <c r="H76">
        <v>1</v>
      </c>
      <c r="I76">
        <v>0</v>
      </c>
      <c r="J76" t="s">
        <v>34</v>
      </c>
      <c r="N76">
        <v>187</v>
      </c>
      <c r="O76">
        <v>35</v>
      </c>
      <c r="P76">
        <v>475</v>
      </c>
      <c r="Q76">
        <v>182</v>
      </c>
      <c r="R76">
        <v>336</v>
      </c>
      <c r="S76">
        <v>419</v>
      </c>
      <c r="T76" t="s">
        <v>240</v>
      </c>
      <c r="U76" t="s">
        <v>80</v>
      </c>
      <c r="V76" t="s">
        <v>89</v>
      </c>
      <c r="W76" t="s">
        <v>171</v>
      </c>
      <c r="X76" t="s">
        <v>70</v>
      </c>
      <c r="Y76" t="s">
        <v>83</v>
      </c>
    </row>
    <row r="77" spans="1:25">
      <c r="A77" t="s">
        <v>25</v>
      </c>
      <c r="B77" t="s">
        <v>26</v>
      </c>
      <c r="C77" t="s">
        <v>221</v>
      </c>
      <c r="D77" s="1">
        <v>45970</v>
      </c>
      <c r="E77" s="2">
        <v>0.5625</v>
      </c>
      <c r="F77" t="s">
        <v>54</v>
      </c>
      <c r="G77" t="s">
        <v>35</v>
      </c>
      <c r="H77">
        <v>1</v>
      </c>
      <c r="I77">
        <v>1</v>
      </c>
      <c r="J77" t="s">
        <v>41</v>
      </c>
      <c r="N77">
        <v>36</v>
      </c>
      <c r="O77">
        <v>35</v>
      </c>
      <c r="P77">
        <v>223</v>
      </c>
      <c r="Q77">
        <v>331</v>
      </c>
      <c r="R77">
        <v>333</v>
      </c>
      <c r="S77">
        <v>208</v>
      </c>
      <c r="T77" t="s">
        <v>114</v>
      </c>
      <c r="U77" t="s">
        <v>70</v>
      </c>
      <c r="V77" t="s">
        <v>72</v>
      </c>
      <c r="W77" t="s">
        <v>144</v>
      </c>
      <c r="X77" t="s">
        <v>144</v>
      </c>
      <c r="Y77" t="s">
        <v>244</v>
      </c>
    </row>
    <row r="78" spans="1:25">
      <c r="A78" t="s">
        <v>25</v>
      </c>
      <c r="B78" t="s">
        <v>26</v>
      </c>
      <c r="C78" t="s">
        <v>221</v>
      </c>
      <c r="D78" s="1">
        <v>45970</v>
      </c>
      <c r="E78" s="2">
        <v>0.66666666666666663</v>
      </c>
      <c r="F78" t="s">
        <v>28</v>
      </c>
      <c r="G78" t="s">
        <v>29</v>
      </c>
      <c r="H78">
        <v>1</v>
      </c>
      <c r="I78">
        <v>1</v>
      </c>
      <c r="J78" t="s">
        <v>41</v>
      </c>
      <c r="N78">
        <v>238</v>
      </c>
      <c r="O78">
        <v>36</v>
      </c>
      <c r="P78">
        <v>29</v>
      </c>
      <c r="Q78">
        <v>23</v>
      </c>
      <c r="R78">
        <v>349</v>
      </c>
      <c r="S78">
        <v>277</v>
      </c>
      <c r="T78" t="s">
        <v>128</v>
      </c>
      <c r="U78" t="s">
        <v>68</v>
      </c>
      <c r="V78" t="s">
        <v>79</v>
      </c>
      <c r="W78" t="s">
        <v>122</v>
      </c>
      <c r="X78" t="s">
        <v>68</v>
      </c>
      <c r="Y78" t="s">
        <v>231</v>
      </c>
    </row>
    <row r="79" spans="1:25">
      <c r="A79" t="s">
        <v>25</v>
      </c>
      <c r="B79" t="s">
        <v>26</v>
      </c>
      <c r="C79" t="s">
        <v>221</v>
      </c>
      <c r="D79" s="1">
        <v>45983</v>
      </c>
      <c r="E79" s="2">
        <v>0.66666666666666663</v>
      </c>
      <c r="F79" t="s">
        <v>45</v>
      </c>
      <c r="G79" t="s">
        <v>39</v>
      </c>
      <c r="H79">
        <v>3</v>
      </c>
      <c r="I79">
        <v>1</v>
      </c>
      <c r="J79" t="s">
        <v>34</v>
      </c>
      <c r="N79">
        <v>32</v>
      </c>
      <c r="O79">
        <v>325</v>
      </c>
      <c r="P79">
        <v>245</v>
      </c>
      <c r="Q79">
        <v>297</v>
      </c>
      <c r="R79">
        <v>313</v>
      </c>
      <c r="S79">
        <v>234</v>
      </c>
      <c r="T79" t="s">
        <v>93</v>
      </c>
      <c r="U79" t="s">
        <v>86</v>
      </c>
      <c r="V79" t="s">
        <v>127</v>
      </c>
      <c r="W79" t="s">
        <v>103</v>
      </c>
      <c r="X79" t="s">
        <v>86</v>
      </c>
      <c r="Y79" t="s">
        <v>251</v>
      </c>
    </row>
    <row r="80" spans="1:25">
      <c r="A80" t="s">
        <v>25</v>
      </c>
      <c r="B80" t="s">
        <v>26</v>
      </c>
      <c r="C80" t="s">
        <v>221</v>
      </c>
      <c r="D80" s="1">
        <v>45983</v>
      </c>
      <c r="E80" s="2">
        <v>0.66666666666666663</v>
      </c>
      <c r="F80" t="s">
        <v>61</v>
      </c>
      <c r="G80" t="s">
        <v>40</v>
      </c>
      <c r="H80">
        <v>2</v>
      </c>
      <c r="I80">
        <v>3</v>
      </c>
      <c r="J80" t="s">
        <v>30</v>
      </c>
      <c r="N80">
        <v>37</v>
      </c>
      <c r="O80">
        <v>313</v>
      </c>
      <c r="P80">
        <v>223</v>
      </c>
      <c r="Q80">
        <v>343</v>
      </c>
      <c r="R80">
        <v>301</v>
      </c>
      <c r="S80">
        <v>216</v>
      </c>
      <c r="T80" t="s">
        <v>116</v>
      </c>
      <c r="U80" t="s">
        <v>86</v>
      </c>
      <c r="V80" t="s">
        <v>186</v>
      </c>
      <c r="W80" t="s">
        <v>114</v>
      </c>
      <c r="X80" t="s">
        <v>252</v>
      </c>
      <c r="Y80" t="s">
        <v>99</v>
      </c>
    </row>
    <row r="81" spans="1:25">
      <c r="A81" t="s">
        <v>25</v>
      </c>
      <c r="B81" t="s">
        <v>26</v>
      </c>
      <c r="C81" t="s">
        <v>221</v>
      </c>
      <c r="D81" s="1">
        <v>45983</v>
      </c>
      <c r="E81" s="2">
        <v>0.66666666666666663</v>
      </c>
      <c r="F81" t="s">
        <v>52</v>
      </c>
      <c r="G81" t="s">
        <v>38</v>
      </c>
      <c r="H81">
        <v>2</v>
      </c>
      <c r="I81">
        <v>0</v>
      </c>
      <c r="J81" t="s">
        <v>34</v>
      </c>
      <c r="N81">
        <v>325</v>
      </c>
      <c r="O81">
        <v>325</v>
      </c>
      <c r="P81">
        <v>245</v>
      </c>
      <c r="Q81">
        <v>301</v>
      </c>
      <c r="R81">
        <v>31</v>
      </c>
      <c r="S81">
        <v>233</v>
      </c>
      <c r="T81" t="s">
        <v>93</v>
      </c>
      <c r="U81" t="s">
        <v>86</v>
      </c>
      <c r="V81" t="s">
        <v>128</v>
      </c>
      <c r="W81" t="s">
        <v>103</v>
      </c>
      <c r="X81" t="s">
        <v>86</v>
      </c>
      <c r="Y81" t="s">
        <v>91</v>
      </c>
    </row>
    <row r="82" spans="1:25">
      <c r="A82" t="s">
        <v>25</v>
      </c>
      <c r="B82" t="s">
        <v>26</v>
      </c>
      <c r="C82" t="s">
        <v>221</v>
      </c>
      <c r="D82" s="1">
        <v>45984</v>
      </c>
      <c r="E82" s="2">
        <v>0.5625</v>
      </c>
      <c r="F82" t="s">
        <v>29</v>
      </c>
      <c r="G82" t="s">
        <v>54</v>
      </c>
      <c r="H82">
        <v>2</v>
      </c>
      <c r="I82">
        <v>3</v>
      </c>
      <c r="J82" t="s">
        <v>30</v>
      </c>
      <c r="N82">
        <v>148</v>
      </c>
      <c r="O82">
        <v>475</v>
      </c>
      <c r="P82">
        <v>725</v>
      </c>
      <c r="Q82">
        <v>143</v>
      </c>
      <c r="R82">
        <v>44</v>
      </c>
      <c r="S82">
        <v>631</v>
      </c>
      <c r="T82" t="s">
        <v>168</v>
      </c>
      <c r="U82" t="s">
        <v>150</v>
      </c>
      <c r="V82" t="s">
        <v>96</v>
      </c>
      <c r="W82" t="s">
        <v>253</v>
      </c>
      <c r="X82" t="s">
        <v>156</v>
      </c>
      <c r="Y82" t="s">
        <v>226</v>
      </c>
    </row>
    <row r="83" spans="1:25">
      <c r="A83" t="s">
        <v>25</v>
      </c>
      <c r="B83" t="s">
        <v>26</v>
      </c>
      <c r="C83" t="s">
        <v>221</v>
      </c>
      <c r="D83" s="1">
        <v>45984</v>
      </c>
      <c r="E83" s="2">
        <v>0.5625</v>
      </c>
      <c r="F83" t="s">
        <v>28</v>
      </c>
      <c r="G83" t="s">
        <v>50</v>
      </c>
      <c r="H83">
        <v>1</v>
      </c>
      <c r="I83">
        <v>3</v>
      </c>
      <c r="J83" t="s">
        <v>30</v>
      </c>
      <c r="N83">
        <v>2</v>
      </c>
      <c r="O83">
        <v>37</v>
      </c>
      <c r="P83">
        <v>36</v>
      </c>
      <c r="Q83">
        <v>194</v>
      </c>
      <c r="R83">
        <v>352</v>
      </c>
      <c r="S83">
        <v>347</v>
      </c>
      <c r="T83" t="s">
        <v>166</v>
      </c>
      <c r="U83" t="s">
        <v>92</v>
      </c>
      <c r="V83" t="s">
        <v>116</v>
      </c>
      <c r="W83" t="s">
        <v>73</v>
      </c>
      <c r="X83" t="s">
        <v>114</v>
      </c>
      <c r="Y83" t="s">
        <v>68</v>
      </c>
    </row>
    <row r="84" spans="1:25">
      <c r="A84" t="s">
        <v>25</v>
      </c>
      <c r="B84" t="s">
        <v>26</v>
      </c>
      <c r="C84" t="s">
        <v>221</v>
      </c>
      <c r="D84" s="1">
        <v>45984</v>
      </c>
      <c r="E84" s="2">
        <v>0.66666666666666663</v>
      </c>
      <c r="F84" t="s">
        <v>35</v>
      </c>
      <c r="G84" t="s">
        <v>63</v>
      </c>
      <c r="H84">
        <v>1</v>
      </c>
      <c r="I84">
        <v>2</v>
      </c>
      <c r="J84" t="s">
        <v>30</v>
      </c>
      <c r="N84">
        <v>173</v>
      </c>
      <c r="O84">
        <v>37</v>
      </c>
      <c r="P84">
        <v>55</v>
      </c>
      <c r="Q84">
        <v>164</v>
      </c>
      <c r="R84">
        <v>359</v>
      </c>
      <c r="S84">
        <v>509</v>
      </c>
      <c r="T84" t="s">
        <v>245</v>
      </c>
      <c r="U84" t="s">
        <v>116</v>
      </c>
      <c r="V84" t="s">
        <v>178</v>
      </c>
      <c r="W84" t="s">
        <v>197</v>
      </c>
      <c r="X84" t="s">
        <v>68</v>
      </c>
      <c r="Y84" t="s">
        <v>150</v>
      </c>
    </row>
    <row r="85" spans="1:25">
      <c r="A85" t="s">
        <v>25</v>
      </c>
      <c r="B85" t="s">
        <v>26</v>
      </c>
      <c r="C85" t="s">
        <v>221</v>
      </c>
      <c r="D85" s="1">
        <v>45990</v>
      </c>
      <c r="E85" s="2">
        <v>0.66666666666666663</v>
      </c>
      <c r="F85" t="s">
        <v>40</v>
      </c>
      <c r="G85" t="s">
        <v>54</v>
      </c>
      <c r="H85">
        <v>0</v>
      </c>
      <c r="I85">
        <v>0</v>
      </c>
      <c r="J85" t="s">
        <v>41</v>
      </c>
      <c r="N85">
        <v>185</v>
      </c>
      <c r="O85">
        <v>36</v>
      </c>
      <c r="P85">
        <v>45</v>
      </c>
      <c r="Q85">
        <v>179</v>
      </c>
      <c r="R85">
        <v>349</v>
      </c>
      <c r="S85">
        <v>423</v>
      </c>
      <c r="T85" t="s">
        <v>240</v>
      </c>
      <c r="U85" t="s">
        <v>71</v>
      </c>
      <c r="V85" t="s">
        <v>115</v>
      </c>
      <c r="W85" t="s">
        <v>171</v>
      </c>
      <c r="X85" t="s">
        <v>70</v>
      </c>
      <c r="Y85" t="s">
        <v>83</v>
      </c>
    </row>
    <row r="86" spans="1:25">
      <c r="A86" t="s">
        <v>25</v>
      </c>
      <c r="B86" t="s">
        <v>26</v>
      </c>
      <c r="C86" t="s">
        <v>221</v>
      </c>
      <c r="D86" s="1">
        <v>45990</v>
      </c>
      <c r="E86" s="2">
        <v>0.66666666666666663</v>
      </c>
      <c r="F86" t="s">
        <v>63</v>
      </c>
      <c r="G86" t="s">
        <v>61</v>
      </c>
      <c r="H86">
        <v>3</v>
      </c>
      <c r="I86">
        <v>1</v>
      </c>
      <c r="J86" t="s">
        <v>34</v>
      </c>
      <c r="N86">
        <v>275</v>
      </c>
      <c r="O86">
        <v>295</v>
      </c>
      <c r="P86">
        <v>3</v>
      </c>
      <c r="Q86">
        <v>263</v>
      </c>
      <c r="R86">
        <v>284</v>
      </c>
      <c r="S86">
        <v>284</v>
      </c>
      <c r="T86" t="s">
        <v>211</v>
      </c>
      <c r="U86" t="s">
        <v>254</v>
      </c>
      <c r="V86" t="s">
        <v>86</v>
      </c>
      <c r="W86" t="s">
        <v>128</v>
      </c>
      <c r="X86" t="s">
        <v>252</v>
      </c>
      <c r="Y86" t="s">
        <v>252</v>
      </c>
    </row>
    <row r="87" spans="1:25">
      <c r="A87" t="s">
        <v>25</v>
      </c>
      <c r="B87" t="s">
        <v>26</v>
      </c>
      <c r="C87" t="s">
        <v>221</v>
      </c>
      <c r="D87" s="1">
        <v>45990</v>
      </c>
      <c r="E87" s="2">
        <v>0.66666666666666663</v>
      </c>
      <c r="F87" t="s">
        <v>38</v>
      </c>
      <c r="G87" t="s">
        <v>39</v>
      </c>
      <c r="H87">
        <v>1</v>
      </c>
      <c r="I87">
        <v>0</v>
      </c>
      <c r="J87" t="s">
        <v>34</v>
      </c>
      <c r="N87">
        <v>266</v>
      </c>
      <c r="O87">
        <v>33</v>
      </c>
      <c r="P87">
        <v>28</v>
      </c>
      <c r="Q87">
        <v>256</v>
      </c>
      <c r="R87">
        <v>318</v>
      </c>
      <c r="S87">
        <v>264</v>
      </c>
      <c r="T87" t="s">
        <v>211</v>
      </c>
      <c r="U87" t="s">
        <v>143</v>
      </c>
      <c r="V87" t="s">
        <v>78</v>
      </c>
      <c r="W87" t="s">
        <v>248</v>
      </c>
      <c r="X87" t="s">
        <v>103</v>
      </c>
      <c r="Y87" t="s">
        <v>248</v>
      </c>
    </row>
    <row r="88" spans="1:25">
      <c r="A88" t="s">
        <v>25</v>
      </c>
      <c r="B88" t="s">
        <v>26</v>
      </c>
      <c r="C88" t="s">
        <v>221</v>
      </c>
      <c r="D88" s="1">
        <v>45991</v>
      </c>
      <c r="E88" s="2">
        <v>0.5625</v>
      </c>
      <c r="F88" t="s">
        <v>45</v>
      </c>
      <c r="G88" t="s">
        <v>29</v>
      </c>
      <c r="H88">
        <v>1</v>
      </c>
      <c r="I88">
        <v>1</v>
      </c>
      <c r="J88" t="s">
        <v>41</v>
      </c>
      <c r="N88">
        <v>33</v>
      </c>
      <c r="O88">
        <v>35</v>
      </c>
      <c r="P88">
        <v>23</v>
      </c>
      <c r="Q88">
        <v>306</v>
      </c>
      <c r="R88">
        <v>333</v>
      </c>
      <c r="S88">
        <v>219</v>
      </c>
      <c r="T88" t="s">
        <v>144</v>
      </c>
      <c r="U88" t="s">
        <v>144</v>
      </c>
      <c r="V88" t="s">
        <v>85</v>
      </c>
      <c r="W88" t="s">
        <v>163</v>
      </c>
      <c r="X88" t="s">
        <v>86</v>
      </c>
      <c r="Y88" t="s">
        <v>251</v>
      </c>
    </row>
    <row r="89" spans="1:25">
      <c r="A89" t="s">
        <v>25</v>
      </c>
      <c r="B89" t="s">
        <v>26</v>
      </c>
      <c r="C89" t="s">
        <v>221</v>
      </c>
      <c r="D89" s="1">
        <v>45991</v>
      </c>
      <c r="E89" s="2">
        <v>0.5625</v>
      </c>
      <c r="F89" t="s">
        <v>52</v>
      </c>
      <c r="G89" t="s">
        <v>28</v>
      </c>
      <c r="H89">
        <v>0</v>
      </c>
      <c r="I89">
        <v>1</v>
      </c>
      <c r="J89" t="s">
        <v>30</v>
      </c>
      <c r="N89">
        <v>42</v>
      </c>
      <c r="O89">
        <v>37</v>
      </c>
      <c r="P89">
        <v>205</v>
      </c>
      <c r="Q89">
        <v>368</v>
      </c>
      <c r="R89">
        <v>349</v>
      </c>
      <c r="S89">
        <v>191</v>
      </c>
      <c r="T89" t="s">
        <v>83</v>
      </c>
      <c r="U89" t="s">
        <v>80</v>
      </c>
      <c r="V89" t="s">
        <v>166</v>
      </c>
      <c r="W89" t="s">
        <v>143</v>
      </c>
      <c r="X89" t="s">
        <v>114</v>
      </c>
      <c r="Y89" t="s">
        <v>175</v>
      </c>
    </row>
    <row r="90" spans="1:25">
      <c r="A90" t="s">
        <v>25</v>
      </c>
      <c r="B90" t="s">
        <v>26</v>
      </c>
      <c r="C90" t="s">
        <v>221</v>
      </c>
      <c r="D90" s="1">
        <v>45991</v>
      </c>
      <c r="E90" s="2">
        <v>0.66666666666666663</v>
      </c>
      <c r="F90" t="s">
        <v>50</v>
      </c>
      <c r="G90" t="s">
        <v>35</v>
      </c>
      <c r="H90">
        <v>3</v>
      </c>
      <c r="I90">
        <v>0</v>
      </c>
      <c r="J90" t="s">
        <v>34</v>
      </c>
      <c r="N90">
        <v>22</v>
      </c>
      <c r="O90">
        <v>35</v>
      </c>
      <c r="P90">
        <v>34</v>
      </c>
      <c r="Q90">
        <v>21</v>
      </c>
      <c r="R90">
        <v>338</v>
      </c>
      <c r="S90">
        <v>319</v>
      </c>
      <c r="T90" t="s">
        <v>124</v>
      </c>
      <c r="U90" t="s">
        <v>68</v>
      </c>
      <c r="V90" t="s">
        <v>80</v>
      </c>
      <c r="W90" t="s">
        <v>99</v>
      </c>
      <c r="X90" t="s">
        <v>70</v>
      </c>
      <c r="Y90" t="s">
        <v>103</v>
      </c>
    </row>
    <row r="91" spans="1:25">
      <c r="A91" t="s">
        <v>25</v>
      </c>
      <c r="B91" t="s">
        <v>26</v>
      </c>
      <c r="C91" t="s">
        <v>221</v>
      </c>
      <c r="D91" s="1">
        <v>45994</v>
      </c>
      <c r="E91" s="2">
        <v>0.8125</v>
      </c>
      <c r="F91" t="s">
        <v>28</v>
      </c>
      <c r="G91" t="s">
        <v>54</v>
      </c>
      <c r="H91">
        <v>1</v>
      </c>
      <c r="I91">
        <v>3</v>
      </c>
      <c r="J91" t="s">
        <v>30</v>
      </c>
      <c r="N91">
        <v>173</v>
      </c>
      <c r="O91">
        <v>385</v>
      </c>
      <c r="P91">
        <v>52</v>
      </c>
      <c r="Q91">
        <v>165</v>
      </c>
      <c r="R91">
        <v>369</v>
      </c>
      <c r="S91">
        <v>487</v>
      </c>
      <c r="T91" t="s">
        <v>132</v>
      </c>
      <c r="U91" t="s">
        <v>74</v>
      </c>
      <c r="V91" t="s">
        <v>214</v>
      </c>
      <c r="W91" t="s">
        <v>216</v>
      </c>
      <c r="X91" t="s">
        <v>68</v>
      </c>
      <c r="Y91" t="s">
        <v>150</v>
      </c>
    </row>
    <row r="92" spans="1:25">
      <c r="A92" t="s">
        <v>25</v>
      </c>
      <c r="B92" t="s">
        <v>26</v>
      </c>
      <c r="C92" t="s">
        <v>221</v>
      </c>
      <c r="D92" s="1">
        <v>45997</v>
      </c>
      <c r="E92" s="2">
        <v>0.66666666666666663</v>
      </c>
      <c r="F92" t="s">
        <v>61</v>
      </c>
      <c r="G92" t="s">
        <v>29</v>
      </c>
      <c r="H92">
        <v>0</v>
      </c>
      <c r="I92">
        <v>2</v>
      </c>
      <c r="J92" t="s">
        <v>30</v>
      </c>
      <c r="N92">
        <v>46</v>
      </c>
      <c r="O92">
        <v>375</v>
      </c>
      <c r="P92">
        <v>183</v>
      </c>
      <c r="Q92">
        <v>421</v>
      </c>
      <c r="R92">
        <v>363</v>
      </c>
      <c r="S92">
        <v>175</v>
      </c>
      <c r="T92" t="s">
        <v>89</v>
      </c>
      <c r="U92" t="s">
        <v>74</v>
      </c>
      <c r="V92" t="s">
        <v>145</v>
      </c>
      <c r="W92" t="s">
        <v>230</v>
      </c>
      <c r="X92" t="s">
        <v>71</v>
      </c>
      <c r="Y92" t="s">
        <v>217</v>
      </c>
    </row>
    <row r="93" spans="1:25">
      <c r="A93" t="s">
        <v>25</v>
      </c>
      <c r="B93" t="s">
        <v>26</v>
      </c>
      <c r="C93" t="s">
        <v>221</v>
      </c>
      <c r="D93" s="1">
        <v>45997</v>
      </c>
      <c r="E93" s="2">
        <v>0.66666666666666663</v>
      </c>
      <c r="F93" t="s">
        <v>52</v>
      </c>
      <c r="G93" t="s">
        <v>50</v>
      </c>
      <c r="H93">
        <v>2</v>
      </c>
      <c r="I93">
        <v>2</v>
      </c>
      <c r="J93" t="s">
        <v>41</v>
      </c>
      <c r="N93">
        <v>37</v>
      </c>
      <c r="O93">
        <v>36</v>
      </c>
      <c r="P93">
        <v>205</v>
      </c>
      <c r="Q93">
        <v>354</v>
      </c>
      <c r="R93">
        <v>335</v>
      </c>
      <c r="S93">
        <v>199</v>
      </c>
      <c r="T93" t="s">
        <v>129</v>
      </c>
      <c r="U93" t="s">
        <v>68</v>
      </c>
      <c r="V93" t="s">
        <v>166</v>
      </c>
      <c r="W93" t="s">
        <v>70</v>
      </c>
      <c r="X93" t="s">
        <v>68</v>
      </c>
      <c r="Y93" t="s">
        <v>175</v>
      </c>
    </row>
    <row r="94" spans="1:25">
      <c r="A94" t="s">
        <v>25</v>
      </c>
      <c r="B94" t="s">
        <v>26</v>
      </c>
      <c r="C94" t="s">
        <v>221</v>
      </c>
      <c r="D94" s="1">
        <v>45997</v>
      </c>
      <c r="E94" s="2">
        <v>0.66666666666666663</v>
      </c>
      <c r="F94" t="s">
        <v>35</v>
      </c>
      <c r="G94" t="s">
        <v>38</v>
      </c>
      <c r="H94">
        <v>1</v>
      </c>
      <c r="I94">
        <v>2</v>
      </c>
      <c r="J94" t="s">
        <v>30</v>
      </c>
      <c r="N94">
        <v>215</v>
      </c>
      <c r="O94">
        <v>36</v>
      </c>
      <c r="P94">
        <v>37</v>
      </c>
      <c r="Q94">
        <v>198</v>
      </c>
      <c r="R94">
        <v>341</v>
      </c>
      <c r="S94">
        <v>349</v>
      </c>
      <c r="T94" t="s">
        <v>123</v>
      </c>
      <c r="U94" t="s">
        <v>71</v>
      </c>
      <c r="V94" t="s">
        <v>116</v>
      </c>
      <c r="W94" t="s">
        <v>73</v>
      </c>
      <c r="X94" t="s">
        <v>70</v>
      </c>
      <c r="Y94" t="s">
        <v>114</v>
      </c>
    </row>
    <row r="95" spans="1:25">
      <c r="A95" t="s">
        <v>25</v>
      </c>
      <c r="B95" t="s">
        <v>26</v>
      </c>
      <c r="C95" t="s">
        <v>221</v>
      </c>
      <c r="D95" s="1">
        <v>45998</v>
      </c>
      <c r="E95" s="2">
        <v>0.5625</v>
      </c>
      <c r="F95" t="s">
        <v>54</v>
      </c>
      <c r="G95" t="s">
        <v>45</v>
      </c>
      <c r="H95">
        <v>0</v>
      </c>
      <c r="I95">
        <v>3</v>
      </c>
      <c r="J95" t="s">
        <v>30</v>
      </c>
      <c r="N95">
        <v>28</v>
      </c>
      <c r="O95">
        <v>32</v>
      </c>
      <c r="P95">
        <v>263</v>
      </c>
      <c r="Q95">
        <v>271</v>
      </c>
      <c r="R95">
        <v>307</v>
      </c>
      <c r="S95">
        <v>257</v>
      </c>
      <c r="T95" t="s">
        <v>210</v>
      </c>
      <c r="U95" t="s">
        <v>93</v>
      </c>
      <c r="V95" t="s">
        <v>224</v>
      </c>
      <c r="W95" t="s">
        <v>231</v>
      </c>
      <c r="X95" t="s">
        <v>103</v>
      </c>
      <c r="Y95" t="s">
        <v>128</v>
      </c>
    </row>
    <row r="96" spans="1:25">
      <c r="A96" t="s">
        <v>25</v>
      </c>
      <c r="B96" t="s">
        <v>26</v>
      </c>
      <c r="C96" t="s">
        <v>221</v>
      </c>
      <c r="D96" s="1">
        <v>45998</v>
      </c>
      <c r="E96" s="2">
        <v>0.5625</v>
      </c>
      <c r="F96" t="s">
        <v>39</v>
      </c>
      <c r="G96" t="s">
        <v>40</v>
      </c>
      <c r="H96">
        <v>2</v>
      </c>
      <c r="I96">
        <v>1</v>
      </c>
      <c r="J96" t="s">
        <v>34</v>
      </c>
      <c r="N96">
        <v>26</v>
      </c>
      <c r="O96">
        <v>33</v>
      </c>
      <c r="P96">
        <v>285</v>
      </c>
      <c r="Q96">
        <v>249</v>
      </c>
      <c r="R96">
        <v>314</v>
      </c>
      <c r="S96">
        <v>274</v>
      </c>
      <c r="T96" t="s">
        <v>118</v>
      </c>
      <c r="U96" t="s">
        <v>93</v>
      </c>
      <c r="V96" t="s">
        <v>254</v>
      </c>
      <c r="W96" t="s">
        <v>128</v>
      </c>
      <c r="X96" t="s">
        <v>103</v>
      </c>
      <c r="Y96" t="s">
        <v>231</v>
      </c>
    </row>
    <row r="97" spans="1:25">
      <c r="A97" t="s">
        <v>25</v>
      </c>
      <c r="B97" t="s">
        <v>26</v>
      </c>
      <c r="C97" t="s">
        <v>221</v>
      </c>
      <c r="D97" s="1">
        <v>45998</v>
      </c>
      <c r="E97" s="2">
        <v>0.66666666666666663</v>
      </c>
      <c r="F97" t="s">
        <v>28</v>
      </c>
      <c r="G97" t="s">
        <v>63</v>
      </c>
      <c r="H97">
        <v>2</v>
      </c>
      <c r="I97">
        <v>1</v>
      </c>
      <c r="J97" t="s">
        <v>34</v>
      </c>
      <c r="N97">
        <v>19</v>
      </c>
      <c r="O97">
        <v>34</v>
      </c>
      <c r="P97">
        <v>48</v>
      </c>
      <c r="Q97">
        <v>181</v>
      </c>
      <c r="R97">
        <v>333</v>
      </c>
      <c r="S97">
        <v>437</v>
      </c>
      <c r="T97" t="s">
        <v>159</v>
      </c>
      <c r="U97" t="s">
        <v>80</v>
      </c>
      <c r="V97" t="s">
        <v>150</v>
      </c>
      <c r="W97" t="s">
        <v>237</v>
      </c>
      <c r="X97" t="s">
        <v>144</v>
      </c>
      <c r="Y97" t="s">
        <v>156</v>
      </c>
    </row>
    <row r="98" spans="1:25">
      <c r="A98" t="s">
        <v>25</v>
      </c>
      <c r="B98" t="s">
        <v>26</v>
      </c>
      <c r="C98" t="s">
        <v>221</v>
      </c>
      <c r="D98" s="1">
        <v>46004</v>
      </c>
      <c r="E98" s="2">
        <v>0.66666666666666663</v>
      </c>
      <c r="F98" t="s">
        <v>63</v>
      </c>
      <c r="G98" t="s">
        <v>50</v>
      </c>
      <c r="H98">
        <v>1</v>
      </c>
      <c r="I98">
        <v>2</v>
      </c>
      <c r="J98" t="s">
        <v>30</v>
      </c>
      <c r="N98">
        <v>375</v>
      </c>
      <c r="O98">
        <v>34</v>
      </c>
      <c r="P98">
        <v>21</v>
      </c>
      <c r="Q98">
        <v>353</v>
      </c>
      <c r="R98">
        <v>323</v>
      </c>
      <c r="S98">
        <v>204</v>
      </c>
      <c r="T98" t="s">
        <v>92</v>
      </c>
      <c r="U98" t="s">
        <v>70</v>
      </c>
      <c r="V98" t="s">
        <v>91</v>
      </c>
      <c r="W98" t="s">
        <v>71</v>
      </c>
      <c r="X98" t="s">
        <v>103</v>
      </c>
      <c r="Y98" t="s">
        <v>244</v>
      </c>
    </row>
    <row r="99" spans="1:25">
      <c r="A99" t="s">
        <v>25</v>
      </c>
      <c r="B99" t="s">
        <v>26</v>
      </c>
      <c r="C99" t="s">
        <v>221</v>
      </c>
      <c r="D99" s="1">
        <v>46004</v>
      </c>
      <c r="E99" s="2">
        <v>0.66666666666666663</v>
      </c>
      <c r="F99" t="s">
        <v>52</v>
      </c>
      <c r="G99" t="s">
        <v>54</v>
      </c>
      <c r="H99">
        <v>2</v>
      </c>
      <c r="I99">
        <v>1</v>
      </c>
      <c r="J99" t="s">
        <v>34</v>
      </c>
      <c r="N99">
        <v>283</v>
      </c>
      <c r="O99">
        <v>35</v>
      </c>
      <c r="P99">
        <v>27</v>
      </c>
      <c r="Q99">
        <v>267</v>
      </c>
      <c r="R99">
        <v>323</v>
      </c>
      <c r="S99">
        <v>249</v>
      </c>
      <c r="T99" t="s">
        <v>79</v>
      </c>
      <c r="U99" t="s">
        <v>80</v>
      </c>
      <c r="V99" t="s">
        <v>81</v>
      </c>
      <c r="W99" t="s">
        <v>199</v>
      </c>
      <c r="X99" t="s">
        <v>70</v>
      </c>
      <c r="Y99" t="s">
        <v>241</v>
      </c>
    </row>
    <row r="100" spans="1:25">
      <c r="A100" t="s">
        <v>25</v>
      </c>
      <c r="B100" t="s">
        <v>26</v>
      </c>
      <c r="C100" t="s">
        <v>221</v>
      </c>
      <c r="D100" s="1">
        <v>46004</v>
      </c>
      <c r="E100" s="2">
        <v>0.66666666666666663</v>
      </c>
      <c r="F100" t="s">
        <v>38</v>
      </c>
      <c r="G100" t="s">
        <v>45</v>
      </c>
      <c r="H100">
        <v>3</v>
      </c>
      <c r="I100">
        <v>0</v>
      </c>
      <c r="J100" t="s">
        <v>34</v>
      </c>
      <c r="N100">
        <v>245</v>
      </c>
      <c r="O100">
        <v>32</v>
      </c>
      <c r="P100">
        <v>32</v>
      </c>
      <c r="Q100">
        <v>235</v>
      </c>
      <c r="R100">
        <v>305</v>
      </c>
      <c r="S100">
        <v>302</v>
      </c>
      <c r="T100" t="s">
        <v>208</v>
      </c>
      <c r="U100" t="s">
        <v>110</v>
      </c>
      <c r="V100" t="s">
        <v>110</v>
      </c>
      <c r="W100" t="s">
        <v>109</v>
      </c>
      <c r="X100" t="s">
        <v>163</v>
      </c>
      <c r="Y100" t="s">
        <v>163</v>
      </c>
    </row>
    <row r="101" spans="1:25">
      <c r="A101" t="s">
        <v>25</v>
      </c>
      <c r="B101" t="s">
        <v>26</v>
      </c>
      <c r="C101" t="s">
        <v>221</v>
      </c>
      <c r="D101" s="1">
        <v>46005</v>
      </c>
      <c r="E101" s="2">
        <v>0.5625</v>
      </c>
      <c r="F101" t="s">
        <v>61</v>
      </c>
      <c r="G101" t="s">
        <v>35</v>
      </c>
      <c r="H101">
        <v>1</v>
      </c>
      <c r="I101">
        <v>1</v>
      </c>
      <c r="J101" t="s">
        <v>41</v>
      </c>
      <c r="N101">
        <v>36</v>
      </c>
      <c r="O101">
        <v>34</v>
      </c>
      <c r="P101">
        <v>223</v>
      </c>
      <c r="Q101">
        <v>333</v>
      </c>
      <c r="R101">
        <v>324</v>
      </c>
      <c r="S101">
        <v>21</v>
      </c>
      <c r="T101" t="s">
        <v>77</v>
      </c>
      <c r="U101" t="s">
        <v>70</v>
      </c>
      <c r="V101" t="s">
        <v>222</v>
      </c>
      <c r="W101" t="s">
        <v>70</v>
      </c>
      <c r="X101" t="s">
        <v>86</v>
      </c>
      <c r="Y101" t="s">
        <v>244</v>
      </c>
    </row>
    <row r="102" spans="1:25">
      <c r="A102" t="s">
        <v>25</v>
      </c>
      <c r="B102" t="s">
        <v>26</v>
      </c>
      <c r="C102" t="s">
        <v>221</v>
      </c>
      <c r="D102" s="1">
        <v>46005</v>
      </c>
      <c r="E102" s="2">
        <v>0.5625</v>
      </c>
      <c r="F102" t="s">
        <v>29</v>
      </c>
      <c r="G102" t="s">
        <v>39</v>
      </c>
      <c r="H102">
        <v>2</v>
      </c>
      <c r="I102">
        <v>1</v>
      </c>
      <c r="J102" t="s">
        <v>34</v>
      </c>
      <c r="N102">
        <v>178</v>
      </c>
      <c r="O102">
        <v>433</v>
      </c>
      <c r="P102">
        <v>475</v>
      </c>
      <c r="Q102">
        <v>166</v>
      </c>
      <c r="R102">
        <v>396</v>
      </c>
      <c r="S102">
        <v>434</v>
      </c>
      <c r="T102" t="s">
        <v>217</v>
      </c>
      <c r="U102" t="s">
        <v>69</v>
      </c>
      <c r="V102" t="s">
        <v>89</v>
      </c>
      <c r="W102" t="s">
        <v>94</v>
      </c>
      <c r="X102" t="s">
        <v>230</v>
      </c>
      <c r="Y102" t="s">
        <v>156</v>
      </c>
    </row>
    <row r="103" spans="1:25">
      <c r="A103" t="s">
        <v>25</v>
      </c>
      <c r="B103" t="s">
        <v>26</v>
      </c>
      <c r="C103" t="s">
        <v>221</v>
      </c>
      <c r="D103" s="1">
        <v>46005</v>
      </c>
      <c r="E103" s="2">
        <v>0.66666666666666663</v>
      </c>
      <c r="F103" t="s">
        <v>40</v>
      </c>
      <c r="G103" t="s">
        <v>28</v>
      </c>
      <c r="H103">
        <v>3</v>
      </c>
      <c r="I103">
        <v>1</v>
      </c>
      <c r="J103" t="s">
        <v>34</v>
      </c>
      <c r="N103">
        <v>28</v>
      </c>
      <c r="O103">
        <v>33</v>
      </c>
      <c r="P103">
        <v>28</v>
      </c>
      <c r="Q103">
        <v>265</v>
      </c>
      <c r="R103">
        <v>319</v>
      </c>
      <c r="S103">
        <v>254</v>
      </c>
      <c r="T103" t="s">
        <v>205</v>
      </c>
      <c r="U103" t="s">
        <v>144</v>
      </c>
      <c r="V103" t="s">
        <v>211</v>
      </c>
      <c r="W103" t="s">
        <v>231</v>
      </c>
      <c r="X103" t="s">
        <v>143</v>
      </c>
      <c r="Y103" t="s">
        <v>109</v>
      </c>
    </row>
    <row r="104" spans="1:25">
      <c r="A104" t="s">
        <v>25</v>
      </c>
      <c r="B104" t="s">
        <v>26</v>
      </c>
      <c r="C104" t="s">
        <v>221</v>
      </c>
      <c r="D104" s="1">
        <v>46059</v>
      </c>
      <c r="E104" s="2">
        <v>0.8125</v>
      </c>
      <c r="F104" t="s">
        <v>29</v>
      </c>
      <c r="G104" t="s">
        <v>40</v>
      </c>
      <c r="H104">
        <v>0</v>
      </c>
      <c r="I104">
        <v>2</v>
      </c>
      <c r="J104" t="s">
        <v>30</v>
      </c>
      <c r="N104">
        <v>16</v>
      </c>
      <c r="O104">
        <v>433</v>
      </c>
      <c r="P104">
        <v>525</v>
      </c>
      <c r="Q104">
        <v>158</v>
      </c>
      <c r="R104">
        <v>41</v>
      </c>
      <c r="S104">
        <v>489</v>
      </c>
      <c r="T104" t="s">
        <v>177</v>
      </c>
      <c r="U104" t="s">
        <v>156</v>
      </c>
      <c r="V104" t="s">
        <v>84</v>
      </c>
      <c r="W104" t="s">
        <v>182</v>
      </c>
      <c r="X104" t="s">
        <v>230</v>
      </c>
      <c r="Y104" t="s">
        <v>150</v>
      </c>
    </row>
    <row r="105" spans="1:25">
      <c r="A105" t="s">
        <v>25</v>
      </c>
      <c r="B105" t="s">
        <v>26</v>
      </c>
      <c r="C105" t="s">
        <v>221</v>
      </c>
      <c r="D105" s="1">
        <v>46060</v>
      </c>
      <c r="E105" s="2">
        <v>0.66666666666666663</v>
      </c>
      <c r="F105" t="s">
        <v>50</v>
      </c>
      <c r="G105" t="s">
        <v>54</v>
      </c>
      <c r="H105">
        <v>1</v>
      </c>
      <c r="I105">
        <v>0</v>
      </c>
      <c r="J105" t="s">
        <v>34</v>
      </c>
      <c r="N105">
        <v>171</v>
      </c>
      <c r="O105">
        <v>4</v>
      </c>
      <c r="P105">
        <v>55</v>
      </c>
      <c r="Q105">
        <v>163</v>
      </c>
      <c r="R105">
        <v>375</v>
      </c>
      <c r="S105">
        <v>508</v>
      </c>
      <c r="T105" t="s">
        <v>255</v>
      </c>
      <c r="U105" t="s">
        <v>129</v>
      </c>
      <c r="V105" t="s">
        <v>65</v>
      </c>
      <c r="W105" t="s">
        <v>153</v>
      </c>
      <c r="X105" t="s">
        <v>116</v>
      </c>
      <c r="Y105" t="s">
        <v>107</v>
      </c>
    </row>
    <row r="106" spans="1:25">
      <c r="A106" t="s">
        <v>25</v>
      </c>
      <c r="B106" t="s">
        <v>26</v>
      </c>
      <c r="C106" t="s">
        <v>221</v>
      </c>
      <c r="D106" s="1">
        <v>46060</v>
      </c>
      <c r="E106" s="2">
        <v>0.66666666666666663</v>
      </c>
      <c r="F106" t="s">
        <v>35</v>
      </c>
      <c r="G106" t="s">
        <v>52</v>
      </c>
      <c r="H106">
        <v>1</v>
      </c>
      <c r="I106">
        <v>1</v>
      </c>
      <c r="J106" t="s">
        <v>41</v>
      </c>
      <c r="N106">
        <v>191</v>
      </c>
      <c r="O106">
        <v>36</v>
      </c>
      <c r="P106">
        <v>425</v>
      </c>
      <c r="Q106">
        <v>185</v>
      </c>
      <c r="R106">
        <v>341</v>
      </c>
      <c r="S106">
        <v>41</v>
      </c>
      <c r="T106" t="s">
        <v>175</v>
      </c>
      <c r="U106" t="s">
        <v>80</v>
      </c>
      <c r="V106" t="s">
        <v>95</v>
      </c>
      <c r="W106" t="s">
        <v>117</v>
      </c>
      <c r="X106" t="s">
        <v>144</v>
      </c>
      <c r="Y106" t="s">
        <v>75</v>
      </c>
    </row>
    <row r="107" spans="1:25">
      <c r="A107" t="s">
        <v>25</v>
      </c>
      <c r="B107" t="s">
        <v>26</v>
      </c>
      <c r="C107" t="s">
        <v>221</v>
      </c>
      <c r="D107" s="1">
        <v>46061</v>
      </c>
      <c r="E107" s="2">
        <v>0.5625</v>
      </c>
      <c r="F107" t="s">
        <v>45</v>
      </c>
      <c r="G107" t="s">
        <v>61</v>
      </c>
      <c r="H107">
        <v>1</v>
      </c>
      <c r="I107">
        <v>0</v>
      </c>
      <c r="J107" t="s">
        <v>34</v>
      </c>
      <c r="N107">
        <v>215</v>
      </c>
      <c r="O107">
        <v>315</v>
      </c>
      <c r="P107">
        <v>375</v>
      </c>
      <c r="Q107">
        <v>209</v>
      </c>
      <c r="R107">
        <v>307</v>
      </c>
      <c r="S107">
        <v>361</v>
      </c>
      <c r="T107" t="s">
        <v>256</v>
      </c>
      <c r="U107" t="s">
        <v>103</v>
      </c>
      <c r="V107" t="s">
        <v>92</v>
      </c>
      <c r="W107" t="s">
        <v>239</v>
      </c>
      <c r="X107" t="s">
        <v>126</v>
      </c>
      <c r="Y107" t="s">
        <v>68</v>
      </c>
    </row>
    <row r="108" spans="1:25">
      <c r="A108" t="s">
        <v>25</v>
      </c>
      <c r="B108" t="s">
        <v>26</v>
      </c>
      <c r="C108" t="s">
        <v>221</v>
      </c>
      <c r="D108" s="1">
        <v>46061</v>
      </c>
      <c r="E108" s="2">
        <v>0.5625</v>
      </c>
      <c r="F108" t="s">
        <v>39</v>
      </c>
      <c r="G108" t="s">
        <v>63</v>
      </c>
      <c r="H108">
        <v>2</v>
      </c>
      <c r="I108">
        <v>2</v>
      </c>
      <c r="J108" t="s">
        <v>41</v>
      </c>
      <c r="N108">
        <v>23</v>
      </c>
      <c r="O108">
        <v>33</v>
      </c>
      <c r="P108">
        <v>335</v>
      </c>
      <c r="Q108">
        <v>223</v>
      </c>
      <c r="R108">
        <v>318</v>
      </c>
      <c r="S108">
        <v>315</v>
      </c>
      <c r="T108" t="s">
        <v>204</v>
      </c>
      <c r="U108" t="s">
        <v>144</v>
      </c>
      <c r="V108" t="s">
        <v>143</v>
      </c>
      <c r="W108" t="s">
        <v>91</v>
      </c>
      <c r="X108" t="s">
        <v>103</v>
      </c>
      <c r="Y108" t="s">
        <v>103</v>
      </c>
    </row>
    <row r="109" spans="1:25">
      <c r="A109" t="s">
        <v>25</v>
      </c>
      <c r="B109" t="s">
        <v>26</v>
      </c>
      <c r="C109" t="s">
        <v>221</v>
      </c>
      <c r="D109" s="1">
        <v>46061</v>
      </c>
      <c r="E109" s="2">
        <v>0.66666666666666663</v>
      </c>
      <c r="F109" t="s">
        <v>28</v>
      </c>
      <c r="G109" t="s">
        <v>38</v>
      </c>
      <c r="H109">
        <v>1</v>
      </c>
      <c r="I109">
        <v>0</v>
      </c>
      <c r="J109" t="s">
        <v>34</v>
      </c>
      <c r="N109">
        <v>25</v>
      </c>
      <c r="O109">
        <v>33</v>
      </c>
      <c r="P109">
        <v>305</v>
      </c>
      <c r="Q109">
        <v>239</v>
      </c>
      <c r="R109">
        <v>321</v>
      </c>
      <c r="S109">
        <v>286</v>
      </c>
      <c r="T109" t="s">
        <v>81</v>
      </c>
      <c r="U109" t="s">
        <v>144</v>
      </c>
      <c r="V109" t="s">
        <v>126</v>
      </c>
      <c r="W109" t="s">
        <v>109</v>
      </c>
      <c r="X109" t="s">
        <v>103</v>
      </c>
      <c r="Y109" t="s">
        <v>104</v>
      </c>
    </row>
    <row r="110" spans="1:25">
      <c r="A110" t="s">
        <v>25</v>
      </c>
      <c r="B110" t="s">
        <v>26</v>
      </c>
      <c r="C110" t="s">
        <v>221</v>
      </c>
      <c r="D110" s="1">
        <v>46067</v>
      </c>
      <c r="E110" s="2">
        <v>0.66666666666666663</v>
      </c>
      <c r="F110" t="s">
        <v>52</v>
      </c>
      <c r="G110" t="s">
        <v>45</v>
      </c>
      <c r="H110">
        <v>0</v>
      </c>
      <c r="I110">
        <v>0</v>
      </c>
      <c r="J110" t="s">
        <v>41</v>
      </c>
      <c r="N110">
        <v>255</v>
      </c>
      <c r="O110">
        <v>31</v>
      </c>
      <c r="P110">
        <v>31</v>
      </c>
      <c r="Q110">
        <v>244</v>
      </c>
      <c r="R110">
        <v>3</v>
      </c>
      <c r="S110">
        <v>297</v>
      </c>
      <c r="T110" t="s">
        <v>190</v>
      </c>
      <c r="U110" t="s">
        <v>110</v>
      </c>
      <c r="V110" t="s">
        <v>110</v>
      </c>
      <c r="W110" t="s">
        <v>109</v>
      </c>
      <c r="X110" t="s">
        <v>126</v>
      </c>
      <c r="Y110" t="s">
        <v>126</v>
      </c>
    </row>
    <row r="111" spans="1:25">
      <c r="A111" t="s">
        <v>25</v>
      </c>
      <c r="B111" t="s">
        <v>26</v>
      </c>
      <c r="C111" t="s">
        <v>221</v>
      </c>
      <c r="D111" s="1">
        <v>46067</v>
      </c>
      <c r="E111" s="2">
        <v>0.66666666666666663</v>
      </c>
      <c r="F111" t="s">
        <v>38</v>
      </c>
      <c r="G111" t="s">
        <v>50</v>
      </c>
      <c r="H111">
        <v>1</v>
      </c>
      <c r="I111">
        <v>1</v>
      </c>
      <c r="J111" t="s">
        <v>41</v>
      </c>
      <c r="N111">
        <v>25</v>
      </c>
      <c r="O111">
        <v>325</v>
      </c>
      <c r="P111">
        <v>3</v>
      </c>
      <c r="Q111">
        <v>242</v>
      </c>
      <c r="R111">
        <v>315</v>
      </c>
      <c r="S111">
        <v>287</v>
      </c>
      <c r="T111" t="s">
        <v>105</v>
      </c>
      <c r="U111" t="s">
        <v>86</v>
      </c>
      <c r="V111" t="s">
        <v>110</v>
      </c>
      <c r="W111" t="s">
        <v>251</v>
      </c>
      <c r="X111" t="s">
        <v>86</v>
      </c>
      <c r="Y111" t="s">
        <v>79</v>
      </c>
    </row>
    <row r="112" spans="1:25">
      <c r="A112" t="s">
        <v>25</v>
      </c>
      <c r="B112" t="s">
        <v>26</v>
      </c>
      <c r="C112" t="s">
        <v>221</v>
      </c>
      <c r="D112" s="1">
        <v>46067</v>
      </c>
      <c r="E112" s="2">
        <v>0.66666666666666663</v>
      </c>
      <c r="F112" t="s">
        <v>54</v>
      </c>
      <c r="G112" t="s">
        <v>28</v>
      </c>
      <c r="H112">
        <v>1</v>
      </c>
      <c r="I112">
        <v>0</v>
      </c>
      <c r="J112" t="s">
        <v>34</v>
      </c>
      <c r="N112">
        <v>315</v>
      </c>
      <c r="O112">
        <v>335</v>
      </c>
      <c r="P112">
        <v>25</v>
      </c>
      <c r="Q112">
        <v>293</v>
      </c>
      <c r="R112">
        <v>315</v>
      </c>
      <c r="S112">
        <v>238</v>
      </c>
      <c r="T112" t="s">
        <v>126</v>
      </c>
      <c r="U112" t="s">
        <v>86</v>
      </c>
      <c r="V112" t="s">
        <v>76</v>
      </c>
      <c r="W112" t="s">
        <v>104</v>
      </c>
      <c r="X112" t="s">
        <v>103</v>
      </c>
      <c r="Y112" t="s">
        <v>257</v>
      </c>
    </row>
    <row r="113" spans="1:25">
      <c r="A113" t="s">
        <v>25</v>
      </c>
      <c r="B113" t="s">
        <v>26</v>
      </c>
      <c r="C113" t="s">
        <v>221</v>
      </c>
      <c r="D113" s="1">
        <v>46068</v>
      </c>
      <c r="E113" s="2">
        <v>0.5625</v>
      </c>
      <c r="F113" t="s">
        <v>61</v>
      </c>
      <c r="G113" t="s">
        <v>39</v>
      </c>
      <c r="H113">
        <v>2</v>
      </c>
      <c r="I113">
        <v>1</v>
      </c>
      <c r="J113" t="s">
        <v>34</v>
      </c>
      <c r="N113">
        <v>28</v>
      </c>
      <c r="O113">
        <v>34</v>
      </c>
      <c r="P113">
        <v>255</v>
      </c>
      <c r="Q113">
        <v>274</v>
      </c>
      <c r="R113">
        <v>326</v>
      </c>
      <c r="S113">
        <v>245</v>
      </c>
      <c r="T113" t="s">
        <v>254</v>
      </c>
      <c r="U113" t="s">
        <v>167</v>
      </c>
      <c r="V113" t="s">
        <v>118</v>
      </c>
      <c r="W113" t="s">
        <v>199</v>
      </c>
      <c r="X113" t="s">
        <v>144</v>
      </c>
      <c r="Y113" t="s">
        <v>257</v>
      </c>
    </row>
    <row r="114" spans="1:25">
      <c r="A114" t="s">
        <v>25</v>
      </c>
      <c r="B114" t="s">
        <v>26</v>
      </c>
      <c r="C114" t="s">
        <v>221</v>
      </c>
      <c r="D114" s="1">
        <v>46068</v>
      </c>
      <c r="E114" s="2">
        <v>0.5625</v>
      </c>
      <c r="F114" t="s">
        <v>63</v>
      </c>
      <c r="G114" t="s">
        <v>29</v>
      </c>
      <c r="H114">
        <v>1</v>
      </c>
      <c r="I114">
        <v>1</v>
      </c>
      <c r="J114" t="s">
        <v>41</v>
      </c>
      <c r="N114">
        <v>5</v>
      </c>
      <c r="O114">
        <v>4</v>
      </c>
      <c r="P114">
        <v>173</v>
      </c>
      <c r="Q114">
        <v>465</v>
      </c>
      <c r="R114">
        <v>373</v>
      </c>
      <c r="S114">
        <v>168</v>
      </c>
      <c r="T114" t="s">
        <v>214</v>
      </c>
      <c r="U114" t="s">
        <v>125</v>
      </c>
      <c r="V114" t="s">
        <v>90</v>
      </c>
      <c r="W114" t="s">
        <v>156</v>
      </c>
      <c r="X114" t="s">
        <v>92</v>
      </c>
      <c r="Y114" t="s">
        <v>216</v>
      </c>
    </row>
    <row r="115" spans="1:25">
      <c r="A115" t="s">
        <v>25</v>
      </c>
      <c r="B115" t="s">
        <v>26</v>
      </c>
      <c r="C115" t="s">
        <v>221</v>
      </c>
      <c r="D115" s="1">
        <v>46068</v>
      </c>
      <c r="E115" s="2">
        <v>0.66666666666666663</v>
      </c>
      <c r="F115" t="s">
        <v>40</v>
      </c>
      <c r="G115" t="s">
        <v>35</v>
      </c>
      <c r="H115">
        <v>2</v>
      </c>
      <c r="I115">
        <v>0</v>
      </c>
      <c r="J115" t="s">
        <v>34</v>
      </c>
      <c r="N115">
        <v>27</v>
      </c>
      <c r="O115">
        <v>33</v>
      </c>
      <c r="P115">
        <v>29</v>
      </c>
      <c r="Q115">
        <v>257</v>
      </c>
      <c r="R115">
        <v>305</v>
      </c>
      <c r="S115">
        <v>276</v>
      </c>
      <c r="T115" t="s">
        <v>191</v>
      </c>
      <c r="U115" t="s">
        <v>110</v>
      </c>
      <c r="V115" t="s">
        <v>163</v>
      </c>
      <c r="W115" t="s">
        <v>128</v>
      </c>
      <c r="X115" t="s">
        <v>143</v>
      </c>
      <c r="Y115" t="s">
        <v>247</v>
      </c>
    </row>
    <row r="116" spans="1:25">
      <c r="A116" t="s">
        <v>25</v>
      </c>
      <c r="B116" t="s">
        <v>26</v>
      </c>
      <c r="C116" t="s">
        <v>221</v>
      </c>
      <c r="D116" s="1">
        <v>46074</v>
      </c>
      <c r="E116" s="2">
        <v>0.66666666666666663</v>
      </c>
      <c r="F116" t="s">
        <v>45</v>
      </c>
      <c r="G116" t="s">
        <v>40</v>
      </c>
      <c r="H116">
        <v>2</v>
      </c>
      <c r="I116">
        <v>1</v>
      </c>
      <c r="J116" t="s">
        <v>34</v>
      </c>
      <c r="N116">
        <v>3</v>
      </c>
      <c r="O116">
        <v>31</v>
      </c>
      <c r="P116">
        <v>263</v>
      </c>
      <c r="Q116">
        <v>284</v>
      </c>
      <c r="R116">
        <v>293</v>
      </c>
      <c r="S116">
        <v>255</v>
      </c>
      <c r="T116" t="s">
        <v>126</v>
      </c>
      <c r="U116" t="s">
        <v>79</v>
      </c>
      <c r="V116" t="s">
        <v>104</v>
      </c>
      <c r="W116" t="s">
        <v>104</v>
      </c>
      <c r="X116" t="s">
        <v>126</v>
      </c>
      <c r="Y116" t="s">
        <v>229</v>
      </c>
    </row>
    <row r="117" spans="1:25">
      <c r="A117" t="s">
        <v>25</v>
      </c>
      <c r="B117" t="s">
        <v>26</v>
      </c>
      <c r="C117" t="s">
        <v>221</v>
      </c>
      <c r="D117" s="1">
        <v>46074</v>
      </c>
      <c r="E117" s="2">
        <v>0.66666666666666663</v>
      </c>
      <c r="F117" t="s">
        <v>52</v>
      </c>
      <c r="G117" t="s">
        <v>63</v>
      </c>
      <c r="H117">
        <v>1</v>
      </c>
      <c r="I117">
        <v>0</v>
      </c>
      <c r="J117" t="s">
        <v>34</v>
      </c>
      <c r="N117">
        <v>265</v>
      </c>
      <c r="O117">
        <v>32</v>
      </c>
      <c r="P117">
        <v>3</v>
      </c>
      <c r="Q117">
        <v>252</v>
      </c>
      <c r="R117">
        <v>3</v>
      </c>
      <c r="S117">
        <v>281</v>
      </c>
      <c r="T117" t="s">
        <v>224</v>
      </c>
      <c r="U117" t="s">
        <v>110</v>
      </c>
      <c r="V117" t="s">
        <v>163</v>
      </c>
      <c r="W117" t="s">
        <v>248</v>
      </c>
      <c r="X117" t="s">
        <v>103</v>
      </c>
      <c r="Y117" t="s">
        <v>247</v>
      </c>
    </row>
    <row r="118" spans="1:25">
      <c r="A118" t="s">
        <v>25</v>
      </c>
      <c r="B118" t="s">
        <v>26</v>
      </c>
      <c r="C118" t="s">
        <v>221</v>
      </c>
      <c r="D118" s="1">
        <v>46074</v>
      </c>
      <c r="E118" s="2">
        <v>0.66666666666666663</v>
      </c>
      <c r="F118" t="s">
        <v>35</v>
      </c>
      <c r="G118" t="s">
        <v>39</v>
      </c>
      <c r="H118">
        <v>2</v>
      </c>
      <c r="I118">
        <v>0</v>
      </c>
      <c r="J118" t="s">
        <v>34</v>
      </c>
      <c r="N118">
        <v>21</v>
      </c>
      <c r="O118">
        <v>35</v>
      </c>
      <c r="P118">
        <v>37</v>
      </c>
      <c r="Q118">
        <v>201</v>
      </c>
      <c r="R118">
        <v>338</v>
      </c>
      <c r="S118">
        <v>34</v>
      </c>
      <c r="T118" t="s">
        <v>212</v>
      </c>
      <c r="U118" t="s">
        <v>68</v>
      </c>
      <c r="V118" t="s">
        <v>71</v>
      </c>
      <c r="W118" t="s">
        <v>244</v>
      </c>
      <c r="X118" t="s">
        <v>70</v>
      </c>
      <c r="Y118" t="s">
        <v>143</v>
      </c>
    </row>
    <row r="119" spans="1:25">
      <c r="A119" t="s">
        <v>25</v>
      </c>
      <c r="B119" t="s">
        <v>26</v>
      </c>
      <c r="C119" t="s">
        <v>221</v>
      </c>
      <c r="D119" s="1">
        <v>46075</v>
      </c>
      <c r="E119" s="2">
        <v>0.5625</v>
      </c>
      <c r="F119" t="s">
        <v>28</v>
      </c>
      <c r="G119" t="s">
        <v>61</v>
      </c>
      <c r="H119">
        <v>1</v>
      </c>
      <c r="I119">
        <v>0</v>
      </c>
      <c r="J119" t="s">
        <v>34</v>
      </c>
      <c r="N119">
        <v>235</v>
      </c>
      <c r="O119">
        <v>325</v>
      </c>
      <c r="P119">
        <v>41</v>
      </c>
      <c r="Q119">
        <v>221</v>
      </c>
      <c r="R119">
        <v>314</v>
      </c>
      <c r="S119">
        <v>322</v>
      </c>
      <c r="T119" t="s">
        <v>102</v>
      </c>
      <c r="U119" t="s">
        <v>86</v>
      </c>
      <c r="V119" t="s">
        <v>144</v>
      </c>
      <c r="W119" t="s">
        <v>251</v>
      </c>
      <c r="X119" t="s">
        <v>103</v>
      </c>
      <c r="Y119" t="s">
        <v>103</v>
      </c>
    </row>
    <row r="120" spans="1:25">
      <c r="A120" t="s">
        <v>25</v>
      </c>
      <c r="B120" t="s">
        <v>26</v>
      </c>
      <c r="C120" t="s">
        <v>221</v>
      </c>
      <c r="D120" s="1">
        <v>46075</v>
      </c>
      <c r="E120" s="2">
        <v>0.5625</v>
      </c>
      <c r="F120" t="s">
        <v>54</v>
      </c>
      <c r="G120" t="s">
        <v>38</v>
      </c>
      <c r="H120">
        <v>1</v>
      </c>
      <c r="I120">
        <v>1</v>
      </c>
      <c r="J120" t="s">
        <v>41</v>
      </c>
      <c r="N120">
        <v>335</v>
      </c>
      <c r="O120">
        <v>33</v>
      </c>
      <c r="P120">
        <v>24</v>
      </c>
      <c r="Q120">
        <v>309</v>
      </c>
      <c r="R120">
        <v>309</v>
      </c>
      <c r="S120">
        <v>227</v>
      </c>
      <c r="T120" t="s">
        <v>80</v>
      </c>
      <c r="U120" t="s">
        <v>103</v>
      </c>
      <c r="V120" t="s">
        <v>109</v>
      </c>
      <c r="W120" t="s">
        <v>86</v>
      </c>
      <c r="X120" t="s">
        <v>143</v>
      </c>
      <c r="Y120" t="s">
        <v>239</v>
      </c>
    </row>
    <row r="121" spans="1:25">
      <c r="A121" t="s">
        <v>25</v>
      </c>
      <c r="B121" t="s">
        <v>26</v>
      </c>
      <c r="C121" t="s">
        <v>221</v>
      </c>
      <c r="D121" s="1">
        <v>46075</v>
      </c>
      <c r="E121" s="2">
        <v>0.66666666666666663</v>
      </c>
      <c r="F121" t="s">
        <v>50</v>
      </c>
      <c r="G121" t="s">
        <v>29</v>
      </c>
      <c r="H121">
        <v>1</v>
      </c>
      <c r="I121">
        <v>5</v>
      </c>
      <c r="J121" t="s">
        <v>30</v>
      </c>
      <c r="N121">
        <v>271</v>
      </c>
      <c r="O121">
        <v>36</v>
      </c>
      <c r="P121">
        <v>25</v>
      </c>
      <c r="Q121">
        <v>26</v>
      </c>
      <c r="R121">
        <v>342</v>
      </c>
      <c r="S121">
        <v>244</v>
      </c>
      <c r="T121" t="s">
        <v>254</v>
      </c>
      <c r="U121" t="s">
        <v>77</v>
      </c>
      <c r="V121" t="s">
        <v>105</v>
      </c>
      <c r="W121" t="s">
        <v>247</v>
      </c>
      <c r="X121" t="s">
        <v>70</v>
      </c>
      <c r="Y121" t="s">
        <v>257</v>
      </c>
    </row>
    <row r="122" spans="1:25">
      <c r="A122" t="s">
        <v>25</v>
      </c>
      <c r="B122" t="s">
        <v>26</v>
      </c>
      <c r="C122" t="s">
        <v>221</v>
      </c>
      <c r="D122" s="1">
        <v>46082</v>
      </c>
      <c r="E122" s="2">
        <v>0.66666666666666663</v>
      </c>
      <c r="F122" t="s">
        <v>45</v>
      </c>
      <c r="G122" t="s">
        <v>35</v>
      </c>
      <c r="H122">
        <v>1</v>
      </c>
      <c r="I122">
        <v>1</v>
      </c>
      <c r="J122" t="s">
        <v>41</v>
      </c>
      <c r="N122">
        <v>28</v>
      </c>
      <c r="O122">
        <v>31</v>
      </c>
      <c r="P122">
        <v>28</v>
      </c>
      <c r="Q122">
        <v>274</v>
      </c>
      <c r="R122">
        <v>294</v>
      </c>
      <c r="S122">
        <v>264</v>
      </c>
      <c r="T122" t="s">
        <v>243</v>
      </c>
      <c r="U122" t="s">
        <v>163</v>
      </c>
      <c r="V122" t="s">
        <v>133</v>
      </c>
      <c r="W122" t="s">
        <v>231</v>
      </c>
      <c r="X122" t="s">
        <v>79</v>
      </c>
      <c r="Y122" t="s">
        <v>247</v>
      </c>
    </row>
    <row r="123" spans="1:25">
      <c r="A123" t="s">
        <v>25</v>
      </c>
      <c r="B123" t="s">
        <v>26</v>
      </c>
      <c r="C123" t="s">
        <v>221</v>
      </c>
      <c r="D123" s="1">
        <v>46082</v>
      </c>
      <c r="E123" s="2">
        <v>0.66666666666666663</v>
      </c>
      <c r="F123" t="s">
        <v>40</v>
      </c>
      <c r="G123" t="s">
        <v>50</v>
      </c>
      <c r="H123">
        <v>2</v>
      </c>
      <c r="I123">
        <v>2</v>
      </c>
      <c r="J123" t="s">
        <v>41</v>
      </c>
      <c r="N123">
        <v>29</v>
      </c>
      <c r="O123">
        <v>31</v>
      </c>
      <c r="P123">
        <v>275</v>
      </c>
      <c r="Q123">
        <v>276</v>
      </c>
      <c r="R123">
        <v>294</v>
      </c>
      <c r="S123">
        <v>263</v>
      </c>
      <c r="T123" t="s">
        <v>79</v>
      </c>
      <c r="U123" t="s">
        <v>126</v>
      </c>
      <c r="V123" t="s">
        <v>180</v>
      </c>
      <c r="W123" t="s">
        <v>231</v>
      </c>
      <c r="X123" t="s">
        <v>79</v>
      </c>
      <c r="Y123" t="s">
        <v>247</v>
      </c>
    </row>
    <row r="124" spans="1:25">
      <c r="A124" t="s">
        <v>25</v>
      </c>
      <c r="B124" t="s">
        <v>26</v>
      </c>
      <c r="C124" t="s">
        <v>221</v>
      </c>
      <c r="D124" s="1">
        <v>46082</v>
      </c>
      <c r="E124" s="2">
        <v>0.66666666666666663</v>
      </c>
      <c r="F124" t="s">
        <v>61</v>
      </c>
      <c r="G124" t="s">
        <v>54</v>
      </c>
      <c r="H124">
        <v>2</v>
      </c>
      <c r="I124">
        <v>3</v>
      </c>
      <c r="J124" t="s">
        <v>30</v>
      </c>
      <c r="N124">
        <v>233</v>
      </c>
      <c r="O124">
        <v>34</v>
      </c>
      <c r="P124">
        <v>35</v>
      </c>
      <c r="Q124">
        <v>218</v>
      </c>
      <c r="R124">
        <v>315</v>
      </c>
      <c r="S124">
        <v>325</v>
      </c>
      <c r="T124" t="s">
        <v>124</v>
      </c>
      <c r="U124" t="s">
        <v>143</v>
      </c>
      <c r="V124" t="s">
        <v>92</v>
      </c>
      <c r="W124" t="s">
        <v>239</v>
      </c>
      <c r="X124" t="s">
        <v>144</v>
      </c>
      <c r="Y124" t="s">
        <v>86</v>
      </c>
    </row>
    <row r="125" spans="1:25">
      <c r="A125" t="s">
        <v>25</v>
      </c>
      <c r="B125" t="s">
        <v>26</v>
      </c>
      <c r="C125" t="s">
        <v>221</v>
      </c>
      <c r="D125" s="1">
        <v>46082</v>
      </c>
      <c r="E125" s="2">
        <v>0.66666666666666663</v>
      </c>
      <c r="F125" t="s">
        <v>63</v>
      </c>
      <c r="G125" t="s">
        <v>38</v>
      </c>
      <c r="H125">
        <v>2</v>
      </c>
      <c r="I125">
        <v>1</v>
      </c>
      <c r="J125" t="s">
        <v>34</v>
      </c>
      <c r="N125">
        <v>325</v>
      </c>
      <c r="O125">
        <v>34</v>
      </c>
      <c r="P125">
        <v>233</v>
      </c>
      <c r="Q125">
        <v>31</v>
      </c>
      <c r="R125">
        <v>313</v>
      </c>
      <c r="S125">
        <v>227</v>
      </c>
      <c r="T125" t="s">
        <v>144</v>
      </c>
      <c r="U125" t="s">
        <v>143</v>
      </c>
      <c r="V125" t="s">
        <v>127</v>
      </c>
      <c r="W125" t="s">
        <v>79</v>
      </c>
      <c r="X125" t="s">
        <v>144</v>
      </c>
      <c r="Y125" t="s">
        <v>91</v>
      </c>
    </row>
    <row r="126" spans="1:25">
      <c r="A126" t="s">
        <v>25</v>
      </c>
      <c r="B126" t="s">
        <v>26</v>
      </c>
      <c r="C126" t="s">
        <v>221</v>
      </c>
      <c r="D126" s="1">
        <v>46082</v>
      </c>
      <c r="E126" s="2">
        <v>0.66666666666666663</v>
      </c>
      <c r="F126" t="s">
        <v>29</v>
      </c>
      <c r="G126" t="s">
        <v>52</v>
      </c>
      <c r="H126">
        <v>0</v>
      </c>
      <c r="I126">
        <v>0</v>
      </c>
      <c r="J126" t="s">
        <v>41</v>
      </c>
      <c r="N126">
        <v>148</v>
      </c>
      <c r="O126">
        <v>475</v>
      </c>
      <c r="P126">
        <v>7</v>
      </c>
      <c r="Q126">
        <v>143</v>
      </c>
      <c r="R126">
        <v>441</v>
      </c>
      <c r="S126">
        <v>627</v>
      </c>
      <c r="T126" t="s">
        <v>258</v>
      </c>
      <c r="U126" t="s">
        <v>115</v>
      </c>
      <c r="V126" t="s">
        <v>161</v>
      </c>
      <c r="W126" t="s">
        <v>98</v>
      </c>
      <c r="X126" t="s">
        <v>227</v>
      </c>
      <c r="Y126" t="s">
        <v>65</v>
      </c>
    </row>
    <row r="127" spans="1:25">
      <c r="A127" t="s">
        <v>25</v>
      </c>
      <c r="B127" t="s">
        <v>26</v>
      </c>
      <c r="C127" t="s">
        <v>221</v>
      </c>
      <c r="D127" s="1">
        <v>46082</v>
      </c>
      <c r="E127" s="2">
        <v>0.66666666666666663</v>
      </c>
      <c r="F127" t="s">
        <v>39</v>
      </c>
      <c r="G127" t="s">
        <v>28</v>
      </c>
      <c r="H127">
        <v>2</v>
      </c>
      <c r="I127">
        <v>2</v>
      </c>
      <c r="J127" t="s">
        <v>41</v>
      </c>
      <c r="N127">
        <v>26</v>
      </c>
      <c r="O127">
        <v>34</v>
      </c>
      <c r="P127">
        <v>27</v>
      </c>
      <c r="Q127">
        <v>252</v>
      </c>
      <c r="R127">
        <v>326</v>
      </c>
      <c r="S127">
        <v>262</v>
      </c>
      <c r="T127" t="s">
        <v>224</v>
      </c>
      <c r="U127" t="s">
        <v>144</v>
      </c>
      <c r="V127" t="s">
        <v>207</v>
      </c>
      <c r="W127" t="s">
        <v>229</v>
      </c>
      <c r="X127" t="s">
        <v>143</v>
      </c>
      <c r="Y127" t="s">
        <v>229</v>
      </c>
    </row>
    <row r="128" spans="1:25">
      <c r="A128" t="s">
        <v>25</v>
      </c>
      <c r="B128" t="s">
        <v>26</v>
      </c>
      <c r="C128" t="s">
        <v>221</v>
      </c>
      <c r="D128" s="1">
        <v>46089</v>
      </c>
      <c r="E128" s="2">
        <v>0.66666666666666663</v>
      </c>
      <c r="F128" t="s">
        <v>52</v>
      </c>
      <c r="G128" t="s">
        <v>61</v>
      </c>
      <c r="H128">
        <v>1</v>
      </c>
      <c r="I128">
        <v>1</v>
      </c>
      <c r="J128" t="s">
        <v>41</v>
      </c>
      <c r="N128">
        <v>255</v>
      </c>
      <c r="O128">
        <v>325</v>
      </c>
      <c r="P128">
        <v>3</v>
      </c>
      <c r="Q128">
        <v>244</v>
      </c>
      <c r="R128">
        <v>312</v>
      </c>
      <c r="S128">
        <v>28</v>
      </c>
      <c r="T128" t="s">
        <v>118</v>
      </c>
      <c r="U128" t="s">
        <v>86</v>
      </c>
      <c r="V128" t="s">
        <v>163</v>
      </c>
      <c r="W128" t="s">
        <v>257</v>
      </c>
      <c r="X128" t="s">
        <v>103</v>
      </c>
      <c r="Y128" t="s">
        <v>231</v>
      </c>
    </row>
    <row r="129" spans="1:25">
      <c r="A129" t="s">
        <v>25</v>
      </c>
      <c r="B129" t="s">
        <v>26</v>
      </c>
      <c r="C129" t="s">
        <v>221</v>
      </c>
      <c r="D129" s="1">
        <v>46089</v>
      </c>
      <c r="E129" s="2">
        <v>0.66666666666666663</v>
      </c>
      <c r="F129" t="s">
        <v>50</v>
      </c>
      <c r="G129" t="s">
        <v>39</v>
      </c>
      <c r="H129">
        <v>3</v>
      </c>
      <c r="I129">
        <v>1</v>
      </c>
      <c r="J129" t="s">
        <v>34</v>
      </c>
      <c r="N129">
        <v>178</v>
      </c>
      <c r="O129">
        <v>4</v>
      </c>
      <c r="P129">
        <v>42</v>
      </c>
      <c r="Q129">
        <v>175</v>
      </c>
      <c r="R129">
        <v>378</v>
      </c>
      <c r="S129">
        <v>398</v>
      </c>
      <c r="T129" t="s">
        <v>187</v>
      </c>
      <c r="U129" t="s">
        <v>83</v>
      </c>
      <c r="V129" t="s">
        <v>95</v>
      </c>
      <c r="W129" t="s">
        <v>217</v>
      </c>
      <c r="X129" t="s">
        <v>129</v>
      </c>
      <c r="Y129" t="s">
        <v>83</v>
      </c>
    </row>
    <row r="130" spans="1:25">
      <c r="A130" t="s">
        <v>25</v>
      </c>
      <c r="B130" t="s">
        <v>26</v>
      </c>
      <c r="C130" t="s">
        <v>221</v>
      </c>
      <c r="D130" s="1">
        <v>46089</v>
      </c>
      <c r="E130" s="2">
        <v>0.66666666666666663</v>
      </c>
      <c r="F130" t="s">
        <v>38</v>
      </c>
      <c r="G130" t="s">
        <v>40</v>
      </c>
      <c r="H130">
        <v>0</v>
      </c>
      <c r="I130">
        <v>2</v>
      </c>
      <c r="J130" t="s">
        <v>30</v>
      </c>
      <c r="N130">
        <v>237</v>
      </c>
      <c r="O130">
        <v>32</v>
      </c>
      <c r="P130">
        <v>31</v>
      </c>
      <c r="Q130">
        <v>23</v>
      </c>
      <c r="R130">
        <v>311</v>
      </c>
      <c r="S130">
        <v>297</v>
      </c>
      <c r="T130" t="s">
        <v>134</v>
      </c>
      <c r="U130" t="s">
        <v>93</v>
      </c>
      <c r="V130" t="s">
        <v>86</v>
      </c>
      <c r="W130" t="s">
        <v>142</v>
      </c>
      <c r="X130" t="s">
        <v>103</v>
      </c>
      <c r="Y130" t="s">
        <v>79</v>
      </c>
    </row>
    <row r="131" spans="1:25">
      <c r="A131" t="s">
        <v>25</v>
      </c>
      <c r="B131" t="s">
        <v>26</v>
      </c>
      <c r="C131" t="s">
        <v>221</v>
      </c>
      <c r="D131" s="1">
        <v>46089</v>
      </c>
      <c r="E131" s="2">
        <v>0.66666666666666663</v>
      </c>
      <c r="F131" t="s">
        <v>35</v>
      </c>
      <c r="G131" t="s">
        <v>29</v>
      </c>
      <c r="H131">
        <v>1</v>
      </c>
      <c r="I131">
        <v>0</v>
      </c>
      <c r="J131" t="s">
        <v>34</v>
      </c>
      <c r="N131">
        <v>38</v>
      </c>
      <c r="O131">
        <v>37</v>
      </c>
      <c r="P131">
        <v>2</v>
      </c>
      <c r="Q131">
        <v>352</v>
      </c>
      <c r="R131">
        <v>353</v>
      </c>
      <c r="S131">
        <v>191</v>
      </c>
      <c r="T131" t="s">
        <v>129</v>
      </c>
      <c r="U131" t="s">
        <v>92</v>
      </c>
      <c r="V131" t="s">
        <v>135</v>
      </c>
      <c r="W131" t="s">
        <v>92</v>
      </c>
      <c r="X131" t="s">
        <v>68</v>
      </c>
      <c r="Y131" t="s">
        <v>117</v>
      </c>
    </row>
    <row r="132" spans="1:25">
      <c r="A132" t="s">
        <v>25</v>
      </c>
      <c r="B132" t="s">
        <v>26</v>
      </c>
      <c r="C132" t="s">
        <v>221</v>
      </c>
      <c r="D132" s="1">
        <v>46089</v>
      </c>
      <c r="E132" s="2">
        <v>0.66666666666666663</v>
      </c>
      <c r="F132" t="s">
        <v>28</v>
      </c>
      <c r="G132" t="s">
        <v>45</v>
      </c>
      <c r="H132">
        <v>2</v>
      </c>
      <c r="I132">
        <v>0</v>
      </c>
      <c r="J132" t="s">
        <v>34</v>
      </c>
      <c r="N132">
        <v>238</v>
      </c>
      <c r="O132">
        <v>32</v>
      </c>
      <c r="P132">
        <v>335</v>
      </c>
      <c r="Q132">
        <v>224</v>
      </c>
      <c r="R132">
        <v>308</v>
      </c>
      <c r="S132">
        <v>314</v>
      </c>
      <c r="T132" t="s">
        <v>128</v>
      </c>
      <c r="U132" t="s">
        <v>103</v>
      </c>
      <c r="V132" t="s">
        <v>144</v>
      </c>
      <c r="W132" t="s">
        <v>122</v>
      </c>
      <c r="X132" t="s">
        <v>126</v>
      </c>
      <c r="Y132" t="s">
        <v>79</v>
      </c>
    </row>
    <row r="133" spans="1:25">
      <c r="A133" t="s">
        <v>25</v>
      </c>
      <c r="B133" t="s">
        <v>26</v>
      </c>
      <c r="C133" t="s">
        <v>221</v>
      </c>
      <c r="D133" s="1">
        <v>46089</v>
      </c>
      <c r="E133" s="2">
        <v>0.66666666666666663</v>
      </c>
      <c r="F133" t="s">
        <v>54</v>
      </c>
      <c r="G133" t="s">
        <v>63</v>
      </c>
      <c r="H133">
        <v>2</v>
      </c>
      <c r="I133">
        <v>0</v>
      </c>
      <c r="J133" t="s">
        <v>34</v>
      </c>
      <c r="N133">
        <v>242</v>
      </c>
      <c r="O133">
        <v>33</v>
      </c>
      <c r="P133">
        <v>31</v>
      </c>
      <c r="Q133">
        <v>234</v>
      </c>
      <c r="R133">
        <v>314</v>
      </c>
      <c r="S133">
        <v>291</v>
      </c>
      <c r="T133" t="s">
        <v>181</v>
      </c>
      <c r="U133" t="s">
        <v>93</v>
      </c>
      <c r="V133" t="s">
        <v>110</v>
      </c>
      <c r="W133" t="s">
        <v>241</v>
      </c>
      <c r="X133" t="s">
        <v>86</v>
      </c>
      <c r="Y133" t="s">
        <v>246</v>
      </c>
    </row>
    <row r="134" spans="1:25">
      <c r="A134" t="s">
        <v>25</v>
      </c>
      <c r="B134" t="s">
        <v>26</v>
      </c>
      <c r="C134" t="s">
        <v>221</v>
      </c>
      <c r="D134" s="1">
        <v>46094</v>
      </c>
      <c r="E134" s="2">
        <v>0.77083333333333337</v>
      </c>
      <c r="F134" t="s">
        <v>50</v>
      </c>
      <c r="G134" t="s">
        <v>52</v>
      </c>
      <c r="H134">
        <v>0</v>
      </c>
      <c r="I134">
        <v>0</v>
      </c>
      <c r="J134" t="s">
        <v>41</v>
      </c>
      <c r="N134">
        <v>165</v>
      </c>
      <c r="O134">
        <v>4</v>
      </c>
      <c r="P134">
        <v>575</v>
      </c>
      <c r="Q134">
        <v>161</v>
      </c>
      <c r="R134">
        <v>38</v>
      </c>
      <c r="S134">
        <v>514</v>
      </c>
      <c r="T134" t="s">
        <v>146</v>
      </c>
      <c r="U134" t="s">
        <v>83</v>
      </c>
      <c r="V134" t="s">
        <v>65</v>
      </c>
      <c r="W134" t="s">
        <v>111</v>
      </c>
      <c r="X134" t="s">
        <v>116</v>
      </c>
      <c r="Y134" t="s">
        <v>259</v>
      </c>
    </row>
    <row r="135" spans="1:25">
      <c r="A135" t="s">
        <v>25</v>
      </c>
      <c r="B135" t="s">
        <v>26</v>
      </c>
      <c r="C135" t="s">
        <v>221</v>
      </c>
      <c r="D135" s="1">
        <v>46095</v>
      </c>
      <c r="E135" s="2">
        <v>0.66666666666666663</v>
      </c>
      <c r="F135" t="s">
        <v>45</v>
      </c>
      <c r="G135" t="s">
        <v>61</v>
      </c>
      <c r="H135">
        <v>3</v>
      </c>
      <c r="I135">
        <v>1</v>
      </c>
      <c r="J135" t="s">
        <v>34</v>
      </c>
      <c r="N135">
        <v>238</v>
      </c>
      <c r="O135">
        <v>31</v>
      </c>
      <c r="P135">
        <v>325</v>
      </c>
      <c r="Q135">
        <v>23</v>
      </c>
      <c r="R135">
        <v>299</v>
      </c>
      <c r="S135">
        <v>317</v>
      </c>
      <c r="T135" t="s">
        <v>128</v>
      </c>
      <c r="U135" t="s">
        <v>126</v>
      </c>
      <c r="V135" t="s">
        <v>167</v>
      </c>
      <c r="W135" t="s">
        <v>241</v>
      </c>
      <c r="X135" t="s">
        <v>79</v>
      </c>
      <c r="Y135" t="s">
        <v>103</v>
      </c>
    </row>
    <row r="136" spans="1:25">
      <c r="A136" t="s">
        <v>25</v>
      </c>
      <c r="B136" t="s">
        <v>26</v>
      </c>
      <c r="C136" t="s">
        <v>221</v>
      </c>
      <c r="D136" s="1">
        <v>46095</v>
      </c>
      <c r="E136" s="2">
        <v>0.66666666666666663</v>
      </c>
      <c r="F136" t="s">
        <v>63</v>
      </c>
      <c r="G136" t="s">
        <v>39</v>
      </c>
      <c r="H136">
        <v>2</v>
      </c>
      <c r="I136">
        <v>0</v>
      </c>
      <c r="J136" t="s">
        <v>34</v>
      </c>
      <c r="N136">
        <v>271</v>
      </c>
      <c r="O136">
        <v>32</v>
      </c>
      <c r="P136">
        <v>275</v>
      </c>
      <c r="Q136">
        <v>263</v>
      </c>
      <c r="R136">
        <v>311</v>
      </c>
      <c r="S136">
        <v>261</v>
      </c>
      <c r="T136" t="s">
        <v>207</v>
      </c>
      <c r="U136" t="s">
        <v>86</v>
      </c>
      <c r="V136" t="s">
        <v>205</v>
      </c>
      <c r="W136" t="s">
        <v>247</v>
      </c>
      <c r="X136" t="s">
        <v>126</v>
      </c>
      <c r="Y136" t="s">
        <v>247</v>
      </c>
    </row>
    <row r="137" spans="1:25">
      <c r="A137" t="s">
        <v>25</v>
      </c>
      <c r="B137" t="s">
        <v>26</v>
      </c>
      <c r="C137" t="s">
        <v>221</v>
      </c>
      <c r="D137" s="1">
        <v>46095</v>
      </c>
      <c r="E137" s="2">
        <v>0.66666666666666663</v>
      </c>
      <c r="F137" t="s">
        <v>38</v>
      </c>
      <c r="G137" t="s">
        <v>54</v>
      </c>
      <c r="H137">
        <v>2</v>
      </c>
      <c r="I137">
        <v>1</v>
      </c>
      <c r="J137" t="s">
        <v>34</v>
      </c>
      <c r="N137">
        <v>2</v>
      </c>
      <c r="O137">
        <v>34</v>
      </c>
      <c r="P137">
        <v>41</v>
      </c>
      <c r="Q137">
        <v>194</v>
      </c>
      <c r="R137">
        <v>328</v>
      </c>
      <c r="S137">
        <v>382</v>
      </c>
      <c r="T137" t="s">
        <v>123</v>
      </c>
      <c r="U137" t="s">
        <v>167</v>
      </c>
      <c r="V137" t="s">
        <v>75</v>
      </c>
      <c r="W137" t="s">
        <v>73</v>
      </c>
      <c r="X137" t="s">
        <v>144</v>
      </c>
      <c r="Y137" t="s">
        <v>129</v>
      </c>
    </row>
    <row r="138" spans="1:25">
      <c r="A138" t="s">
        <v>25</v>
      </c>
      <c r="B138" t="s">
        <v>26</v>
      </c>
      <c r="C138" t="s">
        <v>221</v>
      </c>
      <c r="D138" s="1">
        <v>46096</v>
      </c>
      <c r="E138" s="2">
        <v>0.5625</v>
      </c>
      <c r="F138" t="s">
        <v>29</v>
      </c>
      <c r="G138" t="s">
        <v>35</v>
      </c>
      <c r="H138">
        <v>0</v>
      </c>
      <c r="I138">
        <v>1</v>
      </c>
      <c r="J138" t="s">
        <v>30</v>
      </c>
      <c r="N138">
        <v>173</v>
      </c>
      <c r="O138">
        <v>39</v>
      </c>
      <c r="P138">
        <v>475</v>
      </c>
      <c r="Q138">
        <v>167</v>
      </c>
      <c r="R138">
        <v>374</v>
      </c>
      <c r="S138">
        <v>458</v>
      </c>
      <c r="T138" t="s">
        <v>209</v>
      </c>
      <c r="U138" t="s">
        <v>129</v>
      </c>
      <c r="V138" t="s">
        <v>89</v>
      </c>
      <c r="W138" t="s">
        <v>216</v>
      </c>
      <c r="X138" t="s">
        <v>92</v>
      </c>
      <c r="Y138" t="s">
        <v>156</v>
      </c>
    </row>
    <row r="139" spans="1:25">
      <c r="A139" t="s">
        <v>25</v>
      </c>
      <c r="B139" t="s">
        <v>26</v>
      </c>
      <c r="C139" t="s">
        <v>221</v>
      </c>
      <c r="D139" s="1">
        <v>46096</v>
      </c>
      <c r="E139" s="2">
        <v>0.66666666666666663</v>
      </c>
      <c r="F139" t="s">
        <v>40</v>
      </c>
      <c r="G139" t="s">
        <v>28</v>
      </c>
      <c r="H139">
        <v>2</v>
      </c>
      <c r="I139">
        <v>5</v>
      </c>
      <c r="J139" t="s">
        <v>30</v>
      </c>
      <c r="N139">
        <v>263</v>
      </c>
      <c r="O139">
        <v>32</v>
      </c>
      <c r="P139">
        <v>29</v>
      </c>
      <c r="Q139">
        <v>251</v>
      </c>
      <c r="R139">
        <v>31</v>
      </c>
      <c r="S139">
        <v>276</v>
      </c>
      <c r="T139" t="s">
        <v>250</v>
      </c>
      <c r="U139" t="s">
        <v>103</v>
      </c>
      <c r="V139" t="s">
        <v>79</v>
      </c>
      <c r="W139" t="s">
        <v>248</v>
      </c>
      <c r="X139" t="s">
        <v>126</v>
      </c>
      <c r="Y139" t="s">
        <v>199</v>
      </c>
    </row>
    <row r="140" spans="1:25">
      <c r="A140" t="s">
        <v>25</v>
      </c>
      <c r="B140" t="s">
        <v>26</v>
      </c>
      <c r="C140" t="s">
        <v>221</v>
      </c>
      <c r="D140" s="1">
        <v>46101</v>
      </c>
      <c r="E140" s="2">
        <v>0.77083333333333337</v>
      </c>
      <c r="F140" t="s">
        <v>28</v>
      </c>
      <c r="G140" t="s">
        <v>29</v>
      </c>
      <c r="H140">
        <v>1</v>
      </c>
      <c r="I140">
        <v>1</v>
      </c>
      <c r="J140" t="s">
        <v>41</v>
      </c>
      <c r="N140">
        <v>366</v>
      </c>
      <c r="O140">
        <v>365</v>
      </c>
      <c r="P140">
        <v>21</v>
      </c>
      <c r="Q140">
        <v>337</v>
      </c>
      <c r="R140">
        <v>35</v>
      </c>
      <c r="S140">
        <v>2</v>
      </c>
      <c r="T140" t="s">
        <v>71</v>
      </c>
      <c r="U140" t="s">
        <v>77</v>
      </c>
      <c r="V140" t="s">
        <v>99</v>
      </c>
      <c r="W140" t="s">
        <v>70</v>
      </c>
      <c r="X140" t="s">
        <v>68</v>
      </c>
      <c r="Y140" t="s">
        <v>175</v>
      </c>
    </row>
    <row r="141" spans="1:25">
      <c r="A141" t="s">
        <v>25</v>
      </c>
      <c r="B141" t="s">
        <v>26</v>
      </c>
      <c r="C141" t="s">
        <v>221</v>
      </c>
      <c r="D141" s="1">
        <v>46102</v>
      </c>
      <c r="E141" s="2">
        <v>0.66666666666666663</v>
      </c>
      <c r="F141" t="s">
        <v>61</v>
      </c>
      <c r="G141" t="s">
        <v>38</v>
      </c>
      <c r="H141">
        <v>3</v>
      </c>
      <c r="I141">
        <v>2</v>
      </c>
      <c r="J141" t="s">
        <v>34</v>
      </c>
      <c r="N141">
        <v>24</v>
      </c>
      <c r="O141">
        <v>325</v>
      </c>
      <c r="P141">
        <v>31</v>
      </c>
      <c r="Q141">
        <v>236</v>
      </c>
      <c r="R141">
        <v>313</v>
      </c>
      <c r="S141">
        <v>295</v>
      </c>
      <c r="T141" t="s">
        <v>181</v>
      </c>
      <c r="U141" t="s">
        <v>86</v>
      </c>
      <c r="V141" t="s">
        <v>86</v>
      </c>
      <c r="W141" t="s">
        <v>241</v>
      </c>
      <c r="X141" t="s">
        <v>103</v>
      </c>
      <c r="Y141" t="s">
        <v>79</v>
      </c>
    </row>
    <row r="142" spans="1:25">
      <c r="A142" t="s">
        <v>25</v>
      </c>
      <c r="B142" t="s">
        <v>26</v>
      </c>
      <c r="C142" t="s">
        <v>221</v>
      </c>
      <c r="D142" s="1">
        <v>46102</v>
      </c>
      <c r="E142" s="2">
        <v>0.66666666666666663</v>
      </c>
      <c r="F142" t="s">
        <v>54</v>
      </c>
      <c r="G142" t="s">
        <v>63</v>
      </c>
      <c r="H142">
        <v>1</v>
      </c>
      <c r="I142">
        <v>5</v>
      </c>
      <c r="J142" t="s">
        <v>30</v>
      </c>
      <c r="N142">
        <v>255</v>
      </c>
      <c r="O142">
        <v>315</v>
      </c>
      <c r="P142">
        <v>31</v>
      </c>
      <c r="Q142">
        <v>243</v>
      </c>
      <c r="R142">
        <v>308</v>
      </c>
      <c r="S142">
        <v>29</v>
      </c>
      <c r="T142" t="s">
        <v>118</v>
      </c>
      <c r="U142" t="s">
        <v>126</v>
      </c>
      <c r="V142" t="s">
        <v>110</v>
      </c>
      <c r="W142" t="s">
        <v>109</v>
      </c>
      <c r="X142" t="s">
        <v>79</v>
      </c>
      <c r="Y142" t="s">
        <v>126</v>
      </c>
    </row>
    <row r="143" spans="1:25">
      <c r="A143" t="s">
        <v>25</v>
      </c>
      <c r="B143" t="s">
        <v>26</v>
      </c>
      <c r="C143" t="s">
        <v>221</v>
      </c>
      <c r="D143" s="1">
        <v>46102</v>
      </c>
      <c r="E143" s="2">
        <v>0.66666666666666663</v>
      </c>
      <c r="F143" t="s">
        <v>39</v>
      </c>
      <c r="G143" t="s">
        <v>45</v>
      </c>
      <c r="H143">
        <v>1</v>
      </c>
      <c r="I143">
        <v>1</v>
      </c>
      <c r="J143" t="s">
        <v>41</v>
      </c>
      <c r="N143">
        <v>228</v>
      </c>
      <c r="O143">
        <v>33</v>
      </c>
      <c r="P143">
        <v>33</v>
      </c>
      <c r="Q143">
        <v>221</v>
      </c>
      <c r="R143">
        <v>317</v>
      </c>
      <c r="S143">
        <v>318</v>
      </c>
      <c r="T143" t="s">
        <v>142</v>
      </c>
      <c r="U143" t="s">
        <v>143</v>
      </c>
      <c r="V143" t="s">
        <v>70</v>
      </c>
      <c r="W143" t="s">
        <v>239</v>
      </c>
      <c r="X143" t="s">
        <v>103</v>
      </c>
      <c r="Y143" t="s">
        <v>143</v>
      </c>
    </row>
    <row r="144" spans="1:25">
      <c r="A144" t="s">
        <v>25</v>
      </c>
      <c r="B144" t="s">
        <v>26</v>
      </c>
      <c r="C144" t="s">
        <v>221</v>
      </c>
      <c r="D144" s="1">
        <v>46103</v>
      </c>
      <c r="E144" s="2">
        <v>0.5625</v>
      </c>
      <c r="F144" t="s">
        <v>52</v>
      </c>
      <c r="G144" t="s">
        <v>40</v>
      </c>
      <c r="H144">
        <v>0</v>
      </c>
      <c r="I144">
        <v>1</v>
      </c>
      <c r="J144" t="s">
        <v>30</v>
      </c>
      <c r="N144">
        <v>33</v>
      </c>
      <c r="O144">
        <v>33</v>
      </c>
      <c r="P144">
        <v>225</v>
      </c>
      <c r="Q144">
        <v>318</v>
      </c>
      <c r="R144">
        <v>32</v>
      </c>
      <c r="S144">
        <v>22</v>
      </c>
      <c r="T144" t="s">
        <v>70</v>
      </c>
      <c r="U144" t="s">
        <v>86</v>
      </c>
      <c r="V144" t="s">
        <v>109</v>
      </c>
      <c r="W144" t="s">
        <v>143</v>
      </c>
      <c r="X144" t="s">
        <v>103</v>
      </c>
      <c r="Y144" t="s">
        <v>91</v>
      </c>
    </row>
    <row r="145" spans="1:25">
      <c r="A145" t="s">
        <v>25</v>
      </c>
      <c r="B145" t="s">
        <v>26</v>
      </c>
      <c r="C145" t="s">
        <v>221</v>
      </c>
      <c r="D145" s="1">
        <v>46103</v>
      </c>
      <c r="E145" s="2">
        <v>0.66666666666666663</v>
      </c>
      <c r="F145" t="s">
        <v>35</v>
      </c>
      <c r="G145" t="s">
        <v>50</v>
      </c>
      <c r="H145">
        <v>4</v>
      </c>
      <c r="I145">
        <v>2</v>
      </c>
      <c r="J145" t="s">
        <v>34</v>
      </c>
      <c r="N145">
        <v>3</v>
      </c>
      <c r="O145">
        <v>34</v>
      </c>
      <c r="P145">
        <v>266</v>
      </c>
      <c r="Q145">
        <v>275</v>
      </c>
      <c r="R145">
        <v>311</v>
      </c>
      <c r="S145">
        <v>251</v>
      </c>
      <c r="T145" t="s">
        <v>243</v>
      </c>
      <c r="U145" t="s">
        <v>143</v>
      </c>
      <c r="V145" t="s">
        <v>118</v>
      </c>
      <c r="W145" t="s">
        <v>79</v>
      </c>
      <c r="X145" t="s">
        <v>246</v>
      </c>
      <c r="Y145" t="s">
        <v>229</v>
      </c>
    </row>
    <row r="146" spans="1:25">
      <c r="A146" t="s">
        <v>25</v>
      </c>
      <c r="B146" t="s">
        <v>26</v>
      </c>
      <c r="C146" t="s">
        <v>221</v>
      </c>
      <c r="D146" s="1">
        <v>46115</v>
      </c>
      <c r="E146" s="2">
        <v>0.77083333333333337</v>
      </c>
      <c r="F146" t="s">
        <v>38</v>
      </c>
      <c r="G146" t="s">
        <v>45</v>
      </c>
      <c r="H146">
        <v>3</v>
      </c>
      <c r="I146">
        <v>2</v>
      </c>
      <c r="J146" t="s">
        <v>34</v>
      </c>
      <c r="N146">
        <v>22</v>
      </c>
      <c r="O146">
        <v>325</v>
      </c>
      <c r="P146">
        <v>375</v>
      </c>
      <c r="Q146">
        <v>213</v>
      </c>
      <c r="R146">
        <v>308</v>
      </c>
      <c r="S146">
        <v>343</v>
      </c>
      <c r="T146" t="s">
        <v>186</v>
      </c>
      <c r="U146" t="s">
        <v>103</v>
      </c>
      <c r="V146" t="s">
        <v>125</v>
      </c>
      <c r="W146" t="s">
        <v>99</v>
      </c>
      <c r="X146" t="s">
        <v>103</v>
      </c>
      <c r="Y146" t="s">
        <v>70</v>
      </c>
    </row>
    <row r="147" spans="1:25">
      <c r="A147" t="s">
        <v>25</v>
      </c>
      <c r="B147" t="s">
        <v>26</v>
      </c>
      <c r="C147" t="s">
        <v>221</v>
      </c>
      <c r="D147" s="1">
        <v>46116</v>
      </c>
      <c r="E147" s="2">
        <v>0.66666666666666663</v>
      </c>
      <c r="F147" t="s">
        <v>63</v>
      </c>
      <c r="G147" t="s">
        <v>61</v>
      </c>
      <c r="H147">
        <v>2</v>
      </c>
      <c r="I147">
        <v>1</v>
      </c>
      <c r="J147" t="s">
        <v>34</v>
      </c>
      <c r="N147">
        <v>235</v>
      </c>
      <c r="O147">
        <v>325</v>
      </c>
      <c r="P147">
        <v>35</v>
      </c>
      <c r="Q147">
        <v>229</v>
      </c>
      <c r="R147">
        <v>303</v>
      </c>
      <c r="S147">
        <v>314</v>
      </c>
      <c r="T147" t="s">
        <v>102</v>
      </c>
      <c r="U147" t="s">
        <v>110</v>
      </c>
      <c r="V147" t="s">
        <v>80</v>
      </c>
      <c r="W147" t="s">
        <v>251</v>
      </c>
      <c r="X147" t="s">
        <v>79</v>
      </c>
      <c r="Y147" t="s">
        <v>144</v>
      </c>
    </row>
    <row r="148" spans="1:25">
      <c r="A148" t="s">
        <v>25</v>
      </c>
      <c r="B148" t="s">
        <v>26</v>
      </c>
      <c r="C148" t="s">
        <v>221</v>
      </c>
      <c r="D148" s="1">
        <v>46116</v>
      </c>
      <c r="E148" s="2">
        <v>0.66666666666666663</v>
      </c>
      <c r="F148" t="s">
        <v>54</v>
      </c>
      <c r="G148" t="s">
        <v>39</v>
      </c>
      <c r="H148">
        <v>3</v>
      </c>
      <c r="I148">
        <v>1</v>
      </c>
      <c r="J148" t="s">
        <v>34</v>
      </c>
      <c r="N148">
        <v>28</v>
      </c>
      <c r="O148">
        <v>35</v>
      </c>
      <c r="P148">
        <v>26</v>
      </c>
      <c r="Q148">
        <v>265</v>
      </c>
      <c r="R148">
        <v>333</v>
      </c>
      <c r="S148">
        <v>243</v>
      </c>
      <c r="T148" t="s">
        <v>78</v>
      </c>
      <c r="U148" t="s">
        <v>70</v>
      </c>
      <c r="V148" t="s">
        <v>158</v>
      </c>
      <c r="W148" t="s">
        <v>248</v>
      </c>
      <c r="X148" t="s">
        <v>144</v>
      </c>
      <c r="Y148" t="s">
        <v>128</v>
      </c>
    </row>
    <row r="149" spans="1:25">
      <c r="A149" t="s">
        <v>25</v>
      </c>
      <c r="B149" t="s">
        <v>26</v>
      </c>
      <c r="C149" t="s">
        <v>221</v>
      </c>
      <c r="D149" s="1">
        <v>46117</v>
      </c>
      <c r="E149" s="2">
        <v>0.5625</v>
      </c>
      <c r="F149" t="s">
        <v>52</v>
      </c>
      <c r="G149" t="s">
        <v>29</v>
      </c>
      <c r="H149">
        <v>1</v>
      </c>
      <c r="I149">
        <v>2</v>
      </c>
      <c r="J149" t="s">
        <v>30</v>
      </c>
      <c r="N149">
        <v>633</v>
      </c>
      <c r="O149">
        <v>433</v>
      </c>
      <c r="P149">
        <v>16</v>
      </c>
      <c r="Q149">
        <v>522</v>
      </c>
      <c r="R149">
        <v>401</v>
      </c>
      <c r="S149">
        <v>154</v>
      </c>
      <c r="T149" t="s">
        <v>131</v>
      </c>
      <c r="U149" t="s">
        <v>100</v>
      </c>
      <c r="V149" t="s">
        <v>94</v>
      </c>
      <c r="W149" t="s">
        <v>107</v>
      </c>
      <c r="X149" t="s">
        <v>116</v>
      </c>
      <c r="Y149" t="s">
        <v>182</v>
      </c>
    </row>
    <row r="150" spans="1:25">
      <c r="A150" t="s">
        <v>25</v>
      </c>
      <c r="B150" t="s">
        <v>26</v>
      </c>
      <c r="C150" t="s">
        <v>221</v>
      </c>
      <c r="D150" s="1">
        <v>46117</v>
      </c>
      <c r="E150" s="2">
        <v>0.5625</v>
      </c>
      <c r="F150" t="s">
        <v>50</v>
      </c>
      <c r="G150" t="s">
        <v>40</v>
      </c>
      <c r="H150">
        <v>4</v>
      </c>
      <c r="I150">
        <v>1</v>
      </c>
      <c r="J150" t="s">
        <v>34</v>
      </c>
      <c r="N150">
        <v>212</v>
      </c>
      <c r="O150">
        <v>35</v>
      </c>
      <c r="P150">
        <v>36</v>
      </c>
      <c r="Q150">
        <v>204</v>
      </c>
      <c r="R150">
        <v>334</v>
      </c>
      <c r="S150">
        <v>336</v>
      </c>
      <c r="T150" t="s">
        <v>136</v>
      </c>
      <c r="U150" t="s">
        <v>80</v>
      </c>
      <c r="V150" t="s">
        <v>71</v>
      </c>
      <c r="W150" t="s">
        <v>242</v>
      </c>
      <c r="X150" t="s">
        <v>70</v>
      </c>
      <c r="Y150" t="s">
        <v>70</v>
      </c>
    </row>
    <row r="151" spans="1:25">
      <c r="A151" t="s">
        <v>25</v>
      </c>
      <c r="B151" t="s">
        <v>26</v>
      </c>
      <c r="C151" t="s">
        <v>221</v>
      </c>
      <c r="D151" s="1">
        <v>46117</v>
      </c>
      <c r="E151" s="2">
        <v>0.66666666666666663</v>
      </c>
      <c r="F151" t="s">
        <v>35</v>
      </c>
      <c r="G151" t="s">
        <v>28</v>
      </c>
      <c r="H151">
        <v>0</v>
      </c>
      <c r="I151">
        <v>2</v>
      </c>
      <c r="J151" t="s">
        <v>30</v>
      </c>
      <c r="N151">
        <v>208</v>
      </c>
      <c r="O151">
        <v>35</v>
      </c>
      <c r="P151">
        <v>4</v>
      </c>
      <c r="Q151">
        <v>199</v>
      </c>
      <c r="R151">
        <v>33</v>
      </c>
      <c r="S151">
        <v>353</v>
      </c>
      <c r="T151" t="s">
        <v>212</v>
      </c>
      <c r="U151" t="s">
        <v>80</v>
      </c>
      <c r="V151" t="s">
        <v>74</v>
      </c>
      <c r="W151" t="s">
        <v>117</v>
      </c>
      <c r="X151" t="s">
        <v>144</v>
      </c>
      <c r="Y151" t="s">
        <v>129</v>
      </c>
    </row>
    <row r="152" spans="1:25">
      <c r="A152" t="s">
        <v>25</v>
      </c>
      <c r="B152" t="s">
        <v>26</v>
      </c>
      <c r="C152" t="s">
        <v>221</v>
      </c>
      <c r="D152" s="1">
        <v>46122</v>
      </c>
      <c r="E152" s="2">
        <v>0.77083333333333337</v>
      </c>
      <c r="F152" t="s">
        <v>29</v>
      </c>
      <c r="G152" t="s">
        <v>50</v>
      </c>
      <c r="H152">
        <v>2</v>
      </c>
      <c r="I152">
        <v>3</v>
      </c>
      <c r="J152" t="s">
        <v>30</v>
      </c>
      <c r="N152">
        <v>187</v>
      </c>
      <c r="O152">
        <v>39</v>
      </c>
      <c r="P152">
        <v>4</v>
      </c>
      <c r="Q152">
        <v>183</v>
      </c>
      <c r="R152">
        <v>378</v>
      </c>
      <c r="S152">
        <v>37</v>
      </c>
      <c r="T152" t="s">
        <v>192</v>
      </c>
      <c r="U152" t="s">
        <v>83</v>
      </c>
      <c r="V152" t="s">
        <v>83</v>
      </c>
      <c r="W152" t="s">
        <v>171</v>
      </c>
      <c r="X152" t="s">
        <v>116</v>
      </c>
      <c r="Y152" t="s">
        <v>71</v>
      </c>
    </row>
    <row r="153" spans="1:25">
      <c r="A153" t="s">
        <v>25</v>
      </c>
      <c r="B153" t="s">
        <v>26</v>
      </c>
      <c r="C153" t="s">
        <v>221</v>
      </c>
      <c r="D153" s="1">
        <v>46123</v>
      </c>
      <c r="E153" s="2">
        <v>0.66666666666666663</v>
      </c>
      <c r="F153" t="s">
        <v>45</v>
      </c>
      <c r="G153" t="s">
        <v>63</v>
      </c>
      <c r="H153">
        <v>1</v>
      </c>
      <c r="I153">
        <v>0</v>
      </c>
      <c r="J153" t="s">
        <v>34</v>
      </c>
      <c r="N153">
        <v>28</v>
      </c>
      <c r="O153">
        <v>3</v>
      </c>
      <c r="P153">
        <v>3</v>
      </c>
      <c r="Q153">
        <v>266</v>
      </c>
      <c r="R153">
        <v>297</v>
      </c>
      <c r="S153">
        <v>269</v>
      </c>
      <c r="T153" t="s">
        <v>243</v>
      </c>
      <c r="U153" t="s">
        <v>79</v>
      </c>
      <c r="V153" t="s">
        <v>133</v>
      </c>
      <c r="W153" t="s">
        <v>199</v>
      </c>
      <c r="X153" t="s">
        <v>79</v>
      </c>
      <c r="Y153" t="s">
        <v>199</v>
      </c>
    </row>
    <row r="154" spans="1:25">
      <c r="A154" t="s">
        <v>25</v>
      </c>
      <c r="B154" t="s">
        <v>26</v>
      </c>
      <c r="C154" t="s">
        <v>221</v>
      </c>
      <c r="D154" s="1">
        <v>46123</v>
      </c>
      <c r="E154" s="2">
        <v>0.66666666666666663</v>
      </c>
      <c r="F154" t="s">
        <v>39</v>
      </c>
      <c r="G154" t="s">
        <v>38</v>
      </c>
      <c r="H154">
        <v>0</v>
      </c>
      <c r="I154">
        <v>0</v>
      </c>
      <c r="J154" t="s">
        <v>41</v>
      </c>
      <c r="N154">
        <v>263</v>
      </c>
      <c r="O154">
        <v>35</v>
      </c>
      <c r="P154">
        <v>27</v>
      </c>
      <c r="Q154">
        <v>25</v>
      </c>
      <c r="R154">
        <v>338</v>
      </c>
      <c r="S154">
        <v>257</v>
      </c>
      <c r="T154" t="s">
        <v>250</v>
      </c>
      <c r="U154" t="s">
        <v>80</v>
      </c>
      <c r="V154" t="s">
        <v>224</v>
      </c>
      <c r="W154" t="s">
        <v>257</v>
      </c>
      <c r="X154" t="s">
        <v>103</v>
      </c>
      <c r="Y154" t="s">
        <v>109</v>
      </c>
    </row>
    <row r="155" spans="1:25">
      <c r="A155" t="s">
        <v>25</v>
      </c>
      <c r="B155" t="s">
        <v>26</v>
      </c>
      <c r="C155" t="s">
        <v>221</v>
      </c>
      <c r="D155" s="1">
        <v>46123</v>
      </c>
      <c r="E155" s="2">
        <v>0.77083333333333337</v>
      </c>
      <c r="F155" t="s">
        <v>61</v>
      </c>
      <c r="G155" t="s">
        <v>54</v>
      </c>
      <c r="H155">
        <v>5</v>
      </c>
      <c r="I155">
        <v>0</v>
      </c>
      <c r="J155" t="s">
        <v>34</v>
      </c>
      <c r="N155">
        <v>23</v>
      </c>
      <c r="O155">
        <v>36</v>
      </c>
      <c r="P155">
        <v>31</v>
      </c>
      <c r="Q155">
        <v>223</v>
      </c>
      <c r="R155">
        <v>333</v>
      </c>
      <c r="S155">
        <v>3</v>
      </c>
      <c r="T155" t="s">
        <v>85</v>
      </c>
      <c r="U155" t="s">
        <v>167</v>
      </c>
      <c r="V155" t="s">
        <v>143</v>
      </c>
      <c r="W155" t="s">
        <v>251</v>
      </c>
      <c r="X155" t="s">
        <v>144</v>
      </c>
      <c r="Y155" t="s">
        <v>79</v>
      </c>
    </row>
    <row r="156" spans="1:25">
      <c r="A156" t="s">
        <v>25</v>
      </c>
      <c r="B156" t="s">
        <v>26</v>
      </c>
      <c r="C156" t="s">
        <v>221</v>
      </c>
      <c r="D156" s="1">
        <v>46124</v>
      </c>
      <c r="E156" s="2">
        <v>0.5625</v>
      </c>
      <c r="F156" t="s">
        <v>28</v>
      </c>
      <c r="G156" t="s">
        <v>52</v>
      </c>
      <c r="H156">
        <v>0</v>
      </c>
      <c r="I156">
        <v>0</v>
      </c>
      <c r="J156" t="s">
        <v>41</v>
      </c>
      <c r="N156">
        <v>173</v>
      </c>
      <c r="O156">
        <v>433</v>
      </c>
      <c r="P156">
        <v>55</v>
      </c>
      <c r="Q156">
        <v>161</v>
      </c>
      <c r="R156">
        <v>388</v>
      </c>
      <c r="S156">
        <v>491</v>
      </c>
      <c r="T156" t="s">
        <v>216</v>
      </c>
      <c r="U156" t="s">
        <v>75</v>
      </c>
      <c r="V156" t="s">
        <v>121</v>
      </c>
      <c r="W156" t="s">
        <v>111</v>
      </c>
      <c r="X156" t="s">
        <v>230</v>
      </c>
      <c r="Y156" t="s">
        <v>150</v>
      </c>
    </row>
    <row r="157" spans="1:25">
      <c r="A157" t="s">
        <v>25</v>
      </c>
      <c r="B157" t="s">
        <v>26</v>
      </c>
      <c r="C157" t="s">
        <v>221</v>
      </c>
      <c r="D157" s="1">
        <v>46124</v>
      </c>
      <c r="E157" s="2">
        <v>0.66666666666666663</v>
      </c>
      <c r="F157" t="s">
        <v>40</v>
      </c>
      <c r="G157" t="s">
        <v>35</v>
      </c>
      <c r="H157">
        <v>1</v>
      </c>
      <c r="I157">
        <v>1</v>
      </c>
      <c r="J157" t="s">
        <v>41</v>
      </c>
      <c r="N157">
        <v>275</v>
      </c>
      <c r="O157">
        <v>32</v>
      </c>
      <c r="P157">
        <v>288</v>
      </c>
      <c r="Q157">
        <v>26</v>
      </c>
      <c r="R157">
        <v>302</v>
      </c>
      <c r="S157">
        <v>272</v>
      </c>
      <c r="T157" t="s">
        <v>210</v>
      </c>
      <c r="U157" t="s">
        <v>163</v>
      </c>
      <c r="V157" t="s">
        <v>254</v>
      </c>
      <c r="W157" t="s">
        <v>247</v>
      </c>
      <c r="X157" t="s">
        <v>126</v>
      </c>
      <c r="Y157" t="s">
        <v>247</v>
      </c>
    </row>
    <row r="158" spans="1:25">
      <c r="A158" t="s">
        <v>25</v>
      </c>
      <c r="B158" t="s">
        <v>26</v>
      </c>
      <c r="C158" t="s">
        <v>221</v>
      </c>
      <c r="D158" s="1">
        <v>46129</v>
      </c>
      <c r="E158" s="2">
        <v>0.77083333333333337</v>
      </c>
      <c r="F158" t="s">
        <v>63</v>
      </c>
      <c r="G158" t="s">
        <v>38</v>
      </c>
      <c r="H158">
        <v>1</v>
      </c>
      <c r="I158">
        <v>1</v>
      </c>
      <c r="J158" t="s">
        <v>41</v>
      </c>
      <c r="N158">
        <v>26</v>
      </c>
      <c r="O158">
        <v>315</v>
      </c>
      <c r="P158">
        <v>31</v>
      </c>
      <c r="Q158">
        <v>249</v>
      </c>
      <c r="R158">
        <v>298</v>
      </c>
      <c r="S158">
        <v>284</v>
      </c>
      <c r="T158" t="s">
        <v>31</v>
      </c>
      <c r="U158" t="s">
        <v>31</v>
      </c>
      <c r="V158" t="s">
        <v>31</v>
      </c>
      <c r="W158" t="s">
        <v>229</v>
      </c>
      <c r="X158" t="s">
        <v>246</v>
      </c>
      <c r="Y158" t="s">
        <v>246</v>
      </c>
    </row>
    <row r="159" spans="1:25">
      <c r="A159" t="s">
        <v>25</v>
      </c>
      <c r="B159" t="s">
        <v>26</v>
      </c>
      <c r="C159" t="s">
        <v>221</v>
      </c>
      <c r="D159" s="1">
        <v>46130</v>
      </c>
      <c r="E159" s="2">
        <v>0.66666666666666663</v>
      </c>
      <c r="F159" t="s">
        <v>54</v>
      </c>
      <c r="G159" t="s">
        <v>45</v>
      </c>
      <c r="H159">
        <v>2</v>
      </c>
      <c r="I159">
        <v>2</v>
      </c>
      <c r="J159" t="s">
        <v>41</v>
      </c>
      <c r="N159">
        <v>28</v>
      </c>
      <c r="O159">
        <v>315</v>
      </c>
      <c r="P159">
        <v>266</v>
      </c>
      <c r="Q159">
        <v>267</v>
      </c>
      <c r="R159">
        <v>304</v>
      </c>
      <c r="S159">
        <v>258</v>
      </c>
      <c r="T159" t="s">
        <v>31</v>
      </c>
      <c r="U159" t="s">
        <v>31</v>
      </c>
      <c r="V159" t="s">
        <v>31</v>
      </c>
      <c r="W159" t="s">
        <v>248</v>
      </c>
      <c r="X159" t="s">
        <v>79</v>
      </c>
      <c r="Y159" t="s">
        <v>257</v>
      </c>
    </row>
    <row r="160" spans="1:25">
      <c r="A160" t="s">
        <v>25</v>
      </c>
      <c r="B160" t="s">
        <v>26</v>
      </c>
      <c r="C160" t="s">
        <v>221</v>
      </c>
      <c r="D160" s="1">
        <v>46130</v>
      </c>
      <c r="E160" s="2">
        <v>0.66666666666666663</v>
      </c>
      <c r="F160" t="s">
        <v>39</v>
      </c>
      <c r="G160" t="s">
        <v>61</v>
      </c>
      <c r="H160">
        <v>0</v>
      </c>
      <c r="I160">
        <v>0</v>
      </c>
      <c r="J160" t="s">
        <v>41</v>
      </c>
      <c r="N160">
        <v>27</v>
      </c>
      <c r="O160">
        <v>35</v>
      </c>
      <c r="P160">
        <v>263</v>
      </c>
      <c r="Q160">
        <v>256</v>
      </c>
      <c r="R160">
        <v>33</v>
      </c>
      <c r="S160">
        <v>252</v>
      </c>
      <c r="T160" t="s">
        <v>31</v>
      </c>
      <c r="U160" t="s">
        <v>31</v>
      </c>
      <c r="V160" t="s">
        <v>31</v>
      </c>
      <c r="W160" t="s">
        <v>247</v>
      </c>
      <c r="X160" t="s">
        <v>143</v>
      </c>
      <c r="Y160" t="s">
        <v>128</v>
      </c>
    </row>
    <row r="161" spans="1:25">
      <c r="A161" t="s">
        <v>25</v>
      </c>
      <c r="B161" t="s">
        <v>26</v>
      </c>
      <c r="C161" t="s">
        <v>221</v>
      </c>
      <c r="D161" s="1">
        <v>46131</v>
      </c>
      <c r="E161" s="2">
        <v>0.5625</v>
      </c>
      <c r="F161" t="s">
        <v>40</v>
      </c>
      <c r="G161" t="s">
        <v>29</v>
      </c>
      <c r="H161">
        <v>1</v>
      </c>
      <c r="I161">
        <v>3</v>
      </c>
      <c r="J161" t="s">
        <v>30</v>
      </c>
      <c r="N161">
        <v>38</v>
      </c>
      <c r="O161">
        <v>38</v>
      </c>
      <c r="P161">
        <v>202</v>
      </c>
      <c r="Q161">
        <v>354</v>
      </c>
      <c r="R161">
        <v>361</v>
      </c>
      <c r="S161">
        <v>189</v>
      </c>
      <c r="T161" t="s">
        <v>31</v>
      </c>
      <c r="U161" t="s">
        <v>31</v>
      </c>
      <c r="V161" t="s">
        <v>31</v>
      </c>
      <c r="W161" t="s">
        <v>71</v>
      </c>
      <c r="X161" t="s">
        <v>71</v>
      </c>
      <c r="Y161" t="s">
        <v>117</v>
      </c>
    </row>
    <row r="162" spans="1:25">
      <c r="A162" t="s">
        <v>25</v>
      </c>
      <c r="B162" t="s">
        <v>26</v>
      </c>
      <c r="C162" t="s">
        <v>221</v>
      </c>
      <c r="D162" s="1">
        <v>46131</v>
      </c>
      <c r="E162" s="2">
        <v>0.5625</v>
      </c>
      <c r="F162" t="s">
        <v>52</v>
      </c>
      <c r="G162" t="s">
        <v>35</v>
      </c>
      <c r="H162">
        <v>2</v>
      </c>
      <c r="I162">
        <v>2</v>
      </c>
      <c r="J162" t="s">
        <v>41</v>
      </c>
      <c r="N162">
        <v>41</v>
      </c>
      <c r="O162">
        <v>34</v>
      </c>
      <c r="P162">
        <v>208</v>
      </c>
      <c r="Q162">
        <v>365</v>
      </c>
      <c r="R162">
        <v>327</v>
      </c>
      <c r="S162">
        <v>197</v>
      </c>
      <c r="T162" t="s">
        <v>31</v>
      </c>
      <c r="U162" t="s">
        <v>31</v>
      </c>
      <c r="V162" t="s">
        <v>31</v>
      </c>
      <c r="W162" t="s">
        <v>116</v>
      </c>
      <c r="X162" t="s">
        <v>144</v>
      </c>
      <c r="Y162" t="s">
        <v>73</v>
      </c>
    </row>
    <row r="163" spans="1:25">
      <c r="A163" t="s">
        <v>25</v>
      </c>
      <c r="B163" t="s">
        <v>26</v>
      </c>
      <c r="C163" t="s">
        <v>221</v>
      </c>
      <c r="D163" s="1">
        <v>46131</v>
      </c>
      <c r="E163" s="2">
        <v>0.66666666666666663</v>
      </c>
      <c r="F163" t="s">
        <v>50</v>
      </c>
      <c r="G163" t="s">
        <v>28</v>
      </c>
      <c r="H163">
        <v>1</v>
      </c>
      <c r="I163">
        <v>1</v>
      </c>
      <c r="J163" t="s">
        <v>41</v>
      </c>
      <c r="N163">
        <v>191</v>
      </c>
      <c r="O163">
        <v>39</v>
      </c>
      <c r="P163">
        <v>39</v>
      </c>
      <c r="Q163">
        <v>185</v>
      </c>
      <c r="R163">
        <v>367</v>
      </c>
      <c r="S163">
        <v>367</v>
      </c>
      <c r="T163" t="s">
        <v>31</v>
      </c>
      <c r="U163" t="s">
        <v>31</v>
      </c>
      <c r="V163" t="s">
        <v>31</v>
      </c>
      <c r="W163" t="s">
        <v>171</v>
      </c>
      <c r="X163" t="s">
        <v>71</v>
      </c>
      <c r="Y163" t="s">
        <v>116</v>
      </c>
    </row>
    <row r="164" spans="1:25">
      <c r="A164" t="s">
        <v>25</v>
      </c>
      <c r="B164" t="s">
        <v>26</v>
      </c>
      <c r="C164" t="s">
        <v>221</v>
      </c>
      <c r="D164" s="1">
        <v>46133</v>
      </c>
      <c r="E164" s="2">
        <v>0.72916666666666663</v>
      </c>
      <c r="F164" t="s">
        <v>45</v>
      </c>
      <c r="G164" t="s">
        <v>54</v>
      </c>
      <c r="H164">
        <v>0</v>
      </c>
      <c r="I164">
        <v>0</v>
      </c>
      <c r="J164" t="s">
        <v>41</v>
      </c>
      <c r="N164">
        <v>228</v>
      </c>
      <c r="O164">
        <v>33</v>
      </c>
      <c r="P164">
        <v>34</v>
      </c>
      <c r="Q164">
        <v>222</v>
      </c>
      <c r="R164">
        <v>312</v>
      </c>
      <c r="S164">
        <v>317</v>
      </c>
      <c r="T164" t="s">
        <v>31</v>
      </c>
      <c r="U164" t="s">
        <v>31</v>
      </c>
      <c r="V164" t="s">
        <v>31</v>
      </c>
      <c r="W164" t="s">
        <v>239</v>
      </c>
      <c r="X164" t="s">
        <v>86</v>
      </c>
      <c r="Y164" t="s">
        <v>86</v>
      </c>
    </row>
    <row r="165" spans="1:25">
      <c r="A165" t="s">
        <v>25</v>
      </c>
      <c r="B165" t="s">
        <v>26</v>
      </c>
      <c r="C165" t="s">
        <v>221</v>
      </c>
      <c r="D165" s="1">
        <v>46133</v>
      </c>
      <c r="E165" s="2">
        <v>0.72916666666666663</v>
      </c>
      <c r="F165" t="s">
        <v>61</v>
      </c>
      <c r="G165" t="s">
        <v>39</v>
      </c>
      <c r="H165">
        <v>3</v>
      </c>
      <c r="I165">
        <v>0</v>
      </c>
      <c r="J165" t="s">
        <v>34</v>
      </c>
      <c r="N165">
        <v>2</v>
      </c>
      <c r="O165">
        <v>355</v>
      </c>
      <c r="P165">
        <v>39</v>
      </c>
      <c r="Q165">
        <v>194</v>
      </c>
      <c r="R165">
        <v>338</v>
      </c>
      <c r="S165">
        <v>361</v>
      </c>
      <c r="T165" t="s">
        <v>31</v>
      </c>
      <c r="U165" t="s">
        <v>31</v>
      </c>
      <c r="V165" t="s">
        <v>31</v>
      </c>
      <c r="W165" t="s">
        <v>73</v>
      </c>
      <c r="X165" t="s">
        <v>144</v>
      </c>
      <c r="Y165" t="s">
        <v>116</v>
      </c>
    </row>
    <row r="166" spans="1:25">
      <c r="A166" t="s">
        <v>25</v>
      </c>
      <c r="B166" t="s">
        <v>26</v>
      </c>
      <c r="C166" t="s">
        <v>221</v>
      </c>
      <c r="D166" s="1">
        <v>46133</v>
      </c>
      <c r="E166" s="2">
        <v>0.8125</v>
      </c>
      <c r="F166" t="s">
        <v>38</v>
      </c>
      <c r="G166" t="s">
        <v>63</v>
      </c>
      <c r="H166">
        <v>2</v>
      </c>
      <c r="I166">
        <v>1</v>
      </c>
      <c r="J166" t="s">
        <v>34</v>
      </c>
      <c r="N166">
        <v>21</v>
      </c>
      <c r="O166">
        <v>34</v>
      </c>
      <c r="P166">
        <v>433</v>
      </c>
      <c r="Q166">
        <v>197</v>
      </c>
      <c r="R166">
        <v>319</v>
      </c>
      <c r="S166">
        <v>377</v>
      </c>
      <c r="T166" t="s">
        <v>31</v>
      </c>
      <c r="U166" t="s">
        <v>31</v>
      </c>
      <c r="V166" t="s">
        <v>31</v>
      </c>
      <c r="W166" t="s">
        <v>117</v>
      </c>
      <c r="X166" t="s">
        <v>86</v>
      </c>
      <c r="Y166" t="s">
        <v>230</v>
      </c>
    </row>
    <row r="167" spans="1:25">
      <c r="A167" t="s">
        <v>25</v>
      </c>
      <c r="B167" t="s">
        <v>26</v>
      </c>
      <c r="C167" t="s">
        <v>221</v>
      </c>
      <c r="D167" s="1">
        <v>46134</v>
      </c>
      <c r="E167" s="2">
        <v>0.72916666666666663</v>
      </c>
      <c r="F167" t="s">
        <v>29</v>
      </c>
      <c r="G167" t="s">
        <v>40</v>
      </c>
      <c r="H167">
        <v>3</v>
      </c>
      <c r="I167">
        <v>1</v>
      </c>
      <c r="J167" t="s">
        <v>34</v>
      </c>
      <c r="N167">
        <v>158</v>
      </c>
      <c r="O167">
        <v>433</v>
      </c>
      <c r="P167">
        <v>575</v>
      </c>
      <c r="Q167">
        <v>153</v>
      </c>
      <c r="R167">
        <v>413</v>
      </c>
      <c r="S167">
        <v>525</v>
      </c>
      <c r="T167" t="s">
        <v>31</v>
      </c>
      <c r="U167" t="s">
        <v>31</v>
      </c>
      <c r="V167" t="s">
        <v>31</v>
      </c>
      <c r="W167" t="s">
        <v>174</v>
      </c>
      <c r="X167" t="s">
        <v>230</v>
      </c>
      <c r="Y167" t="s">
        <v>259</v>
      </c>
    </row>
    <row r="168" spans="1:25">
      <c r="A168" t="s">
        <v>25</v>
      </c>
      <c r="B168" t="s">
        <v>26</v>
      </c>
      <c r="C168" t="s">
        <v>221</v>
      </c>
      <c r="D168" s="1">
        <v>46134</v>
      </c>
      <c r="E168" s="2">
        <v>0.72916666666666663</v>
      </c>
      <c r="F168" t="s">
        <v>35</v>
      </c>
      <c r="G168" t="s">
        <v>52</v>
      </c>
      <c r="H168">
        <v>0</v>
      </c>
      <c r="I168">
        <v>2</v>
      </c>
      <c r="J168" t="s">
        <v>30</v>
      </c>
      <c r="N168">
        <v>167</v>
      </c>
      <c r="O168">
        <v>4</v>
      </c>
      <c r="P168">
        <v>6</v>
      </c>
      <c r="Q168">
        <v>157</v>
      </c>
      <c r="R168">
        <v>379</v>
      </c>
      <c r="S168">
        <v>536</v>
      </c>
      <c r="T168" t="s">
        <v>31</v>
      </c>
      <c r="U168" t="s">
        <v>31</v>
      </c>
      <c r="V168" t="s">
        <v>31</v>
      </c>
      <c r="W168" t="s">
        <v>220</v>
      </c>
      <c r="X168" t="s">
        <v>116</v>
      </c>
      <c r="Y168" t="s">
        <v>259</v>
      </c>
    </row>
    <row r="169" spans="1:25">
      <c r="A169" t="s">
        <v>25</v>
      </c>
      <c r="B169" t="s">
        <v>26</v>
      </c>
      <c r="C169" t="s">
        <v>221</v>
      </c>
      <c r="D169" s="1">
        <v>46134</v>
      </c>
      <c r="E169" s="2">
        <v>0.8125</v>
      </c>
      <c r="F169" t="s">
        <v>28</v>
      </c>
      <c r="G169" t="s">
        <v>50</v>
      </c>
      <c r="H169">
        <v>1</v>
      </c>
      <c r="I169">
        <v>1</v>
      </c>
      <c r="J169" t="s">
        <v>41</v>
      </c>
      <c r="N169">
        <v>36</v>
      </c>
      <c r="O169">
        <v>37</v>
      </c>
      <c r="P169">
        <v>21</v>
      </c>
      <c r="Q169">
        <v>33</v>
      </c>
      <c r="R169">
        <v>348</v>
      </c>
      <c r="S169">
        <v>201</v>
      </c>
      <c r="T169" t="s">
        <v>31</v>
      </c>
      <c r="U169" t="s">
        <v>31</v>
      </c>
      <c r="V169" t="s">
        <v>31</v>
      </c>
      <c r="W169" t="s">
        <v>68</v>
      </c>
      <c r="X169" t="s">
        <v>70</v>
      </c>
      <c r="Y169" t="s">
        <v>175</v>
      </c>
    </row>
    <row r="170" spans="1:25">
      <c r="A170" t="s">
        <v>25</v>
      </c>
      <c r="B170" t="s">
        <v>26</v>
      </c>
      <c r="C170" t="s">
        <v>221</v>
      </c>
      <c r="D170" s="1">
        <v>46136</v>
      </c>
      <c r="E170" s="2">
        <v>0.77083333333333337</v>
      </c>
      <c r="F170" t="s">
        <v>61</v>
      </c>
      <c r="G170" t="s">
        <v>45</v>
      </c>
      <c r="H170">
        <v>3</v>
      </c>
      <c r="I170">
        <v>0</v>
      </c>
      <c r="J170" t="s">
        <v>34</v>
      </c>
      <c r="N170">
        <v>216</v>
      </c>
      <c r="O170">
        <v>333</v>
      </c>
      <c r="P170">
        <v>375</v>
      </c>
      <c r="Q170">
        <v>203</v>
      </c>
      <c r="R170">
        <v>321</v>
      </c>
      <c r="S170">
        <v>349</v>
      </c>
      <c r="T170" t="s">
        <v>31</v>
      </c>
      <c r="U170" t="s">
        <v>31</v>
      </c>
      <c r="V170" t="s">
        <v>31</v>
      </c>
      <c r="W170" t="s">
        <v>175</v>
      </c>
      <c r="X170" t="s">
        <v>143</v>
      </c>
      <c r="Y170" t="s">
        <v>68</v>
      </c>
    </row>
    <row r="171" spans="1:25">
      <c r="A171" t="s">
        <v>25</v>
      </c>
      <c r="B171" t="s">
        <v>26</v>
      </c>
      <c r="C171" t="s">
        <v>221</v>
      </c>
      <c r="D171" s="1">
        <v>46137</v>
      </c>
      <c r="E171" s="2">
        <v>0.66666666666666663</v>
      </c>
      <c r="F171" t="s">
        <v>54</v>
      </c>
      <c r="G171" t="s">
        <v>38</v>
      </c>
      <c r="H171">
        <v>1</v>
      </c>
      <c r="I171">
        <v>0</v>
      </c>
      <c r="J171" t="s">
        <v>34</v>
      </c>
      <c r="N171">
        <v>3</v>
      </c>
      <c r="O171">
        <v>34</v>
      </c>
      <c r="P171">
        <v>245</v>
      </c>
      <c r="Q171">
        <v>286</v>
      </c>
      <c r="R171">
        <v>32</v>
      </c>
      <c r="S171">
        <v>233</v>
      </c>
      <c r="T171" t="s">
        <v>31</v>
      </c>
      <c r="U171" t="s">
        <v>31</v>
      </c>
      <c r="V171" t="s">
        <v>31</v>
      </c>
      <c r="W171" t="s">
        <v>79</v>
      </c>
      <c r="X171" t="s">
        <v>144</v>
      </c>
      <c r="Y171" t="s">
        <v>251</v>
      </c>
    </row>
    <row r="172" spans="1:25">
      <c r="A172" t="s">
        <v>25</v>
      </c>
      <c r="B172" t="s">
        <v>26</v>
      </c>
      <c r="C172" t="s">
        <v>221</v>
      </c>
      <c r="D172" s="1">
        <v>46137</v>
      </c>
      <c r="E172" s="2">
        <v>0.66666666666666663</v>
      </c>
      <c r="F172" t="s">
        <v>39</v>
      </c>
      <c r="G172" t="s">
        <v>63</v>
      </c>
      <c r="H172">
        <v>1</v>
      </c>
      <c r="I172">
        <v>0</v>
      </c>
      <c r="J172" t="s">
        <v>34</v>
      </c>
      <c r="N172">
        <v>235</v>
      </c>
      <c r="O172">
        <v>33</v>
      </c>
      <c r="P172">
        <v>315</v>
      </c>
      <c r="Q172">
        <v>223</v>
      </c>
      <c r="R172">
        <v>321</v>
      </c>
      <c r="S172">
        <v>301</v>
      </c>
      <c r="T172" t="s">
        <v>31</v>
      </c>
      <c r="U172" t="s">
        <v>31</v>
      </c>
      <c r="V172" t="s">
        <v>31</v>
      </c>
      <c r="W172" t="s">
        <v>142</v>
      </c>
      <c r="X172" t="s">
        <v>86</v>
      </c>
      <c r="Y172" t="s">
        <v>79</v>
      </c>
    </row>
    <row r="173" spans="1:25">
      <c r="A173" t="s">
        <v>25</v>
      </c>
      <c r="B173" t="s">
        <v>26</v>
      </c>
      <c r="C173" t="s">
        <v>221</v>
      </c>
      <c r="D173" s="1">
        <v>46138</v>
      </c>
      <c r="E173" s="2">
        <v>0.5625</v>
      </c>
      <c r="F173" t="s">
        <v>52</v>
      </c>
      <c r="G173" t="s">
        <v>50</v>
      </c>
      <c r="H173">
        <v>1</v>
      </c>
      <c r="I173">
        <v>5</v>
      </c>
      <c r="J173" t="s">
        <v>30</v>
      </c>
      <c r="N173">
        <v>6</v>
      </c>
      <c r="O173">
        <v>433</v>
      </c>
      <c r="P173">
        <v>161</v>
      </c>
      <c r="Q173">
        <v>526</v>
      </c>
      <c r="R173">
        <v>401</v>
      </c>
      <c r="S173">
        <v>153</v>
      </c>
      <c r="T173" t="s">
        <v>31</v>
      </c>
      <c r="U173" t="s">
        <v>31</v>
      </c>
      <c r="V173" t="s">
        <v>31</v>
      </c>
      <c r="W173" t="s">
        <v>150</v>
      </c>
      <c r="X173" t="s">
        <v>129</v>
      </c>
      <c r="Y173" t="s">
        <v>149</v>
      </c>
    </row>
    <row r="174" spans="1:25">
      <c r="A174" t="s">
        <v>25</v>
      </c>
      <c r="B174" t="s">
        <v>26</v>
      </c>
      <c r="C174" t="s">
        <v>221</v>
      </c>
      <c r="D174" s="1">
        <v>46138</v>
      </c>
      <c r="E174" s="2">
        <v>0.5625</v>
      </c>
      <c r="F174" t="s">
        <v>35</v>
      </c>
      <c r="G174" t="s">
        <v>29</v>
      </c>
      <c r="H174">
        <v>1</v>
      </c>
      <c r="I174">
        <v>0</v>
      </c>
      <c r="J174" t="s">
        <v>34</v>
      </c>
      <c r="N174">
        <v>35</v>
      </c>
      <c r="O174">
        <v>37</v>
      </c>
      <c r="P174">
        <v>208</v>
      </c>
      <c r="Q174">
        <v>329</v>
      </c>
      <c r="R174">
        <v>347</v>
      </c>
      <c r="S174">
        <v>2</v>
      </c>
      <c r="T174" t="s">
        <v>31</v>
      </c>
      <c r="U174" t="s">
        <v>31</v>
      </c>
      <c r="V174" t="s">
        <v>31</v>
      </c>
      <c r="W174" t="s">
        <v>144</v>
      </c>
      <c r="X174" t="s">
        <v>144</v>
      </c>
      <c r="Y174" t="s">
        <v>244</v>
      </c>
    </row>
    <row r="175" spans="1:25">
      <c r="A175" t="s">
        <v>25</v>
      </c>
      <c r="B175" t="s">
        <v>26</v>
      </c>
      <c r="C175" t="s">
        <v>221</v>
      </c>
      <c r="D175" s="1">
        <v>46138</v>
      </c>
      <c r="E175" s="2">
        <v>0.66666666666666663</v>
      </c>
      <c r="F175" t="s">
        <v>28</v>
      </c>
      <c r="G175" t="s">
        <v>40</v>
      </c>
      <c r="H175">
        <v>1</v>
      </c>
      <c r="I175">
        <v>1</v>
      </c>
      <c r="J175" t="s">
        <v>41</v>
      </c>
      <c r="N175">
        <v>225</v>
      </c>
      <c r="O175">
        <v>35</v>
      </c>
      <c r="P175">
        <v>35</v>
      </c>
      <c r="Q175">
        <v>215</v>
      </c>
      <c r="R175">
        <v>324</v>
      </c>
      <c r="S175">
        <v>317</v>
      </c>
      <c r="T175" t="s">
        <v>31</v>
      </c>
      <c r="U175" t="s">
        <v>31</v>
      </c>
      <c r="V175" t="s">
        <v>31</v>
      </c>
      <c r="W175" t="s">
        <v>99</v>
      </c>
      <c r="X175" t="s">
        <v>70</v>
      </c>
      <c r="Y175" t="s">
        <v>103</v>
      </c>
    </row>
    <row r="176" spans="1:25">
      <c r="A176" t="s">
        <v>25</v>
      </c>
      <c r="B176" t="s">
        <v>26</v>
      </c>
      <c r="C176" t="s">
        <v>221</v>
      </c>
      <c r="D176" s="1">
        <v>46144</v>
      </c>
      <c r="E176" s="2">
        <v>0.66666666666666663</v>
      </c>
      <c r="F176" t="s">
        <v>63</v>
      </c>
      <c r="G176" t="s">
        <v>54</v>
      </c>
      <c r="H176">
        <v>4</v>
      </c>
      <c r="I176">
        <v>0</v>
      </c>
      <c r="J176" t="s">
        <v>34</v>
      </c>
      <c r="N176">
        <v>225</v>
      </c>
      <c r="O176">
        <v>315</v>
      </c>
      <c r="P176">
        <v>36</v>
      </c>
      <c r="Q176">
        <v>218</v>
      </c>
      <c r="R176">
        <v>305</v>
      </c>
      <c r="S176">
        <v>327</v>
      </c>
      <c r="T176" t="s">
        <v>31</v>
      </c>
      <c r="U176" t="s">
        <v>31</v>
      </c>
      <c r="V176" t="s">
        <v>31</v>
      </c>
      <c r="W176" t="s">
        <v>99</v>
      </c>
      <c r="X176" t="s">
        <v>126</v>
      </c>
      <c r="Y176" t="s">
        <v>70</v>
      </c>
    </row>
    <row r="177" spans="1:25">
      <c r="A177" t="s">
        <v>25</v>
      </c>
      <c r="B177" t="s">
        <v>26</v>
      </c>
      <c r="C177" t="s">
        <v>221</v>
      </c>
      <c r="D177" s="1">
        <v>46144</v>
      </c>
      <c r="E177" s="2">
        <v>0.66666666666666663</v>
      </c>
      <c r="F177" t="s">
        <v>38</v>
      </c>
      <c r="G177" t="s">
        <v>61</v>
      </c>
      <c r="H177">
        <v>2</v>
      </c>
      <c r="I177">
        <v>0</v>
      </c>
      <c r="J177" t="s">
        <v>34</v>
      </c>
      <c r="N177">
        <v>245</v>
      </c>
      <c r="O177">
        <v>33</v>
      </c>
      <c r="P177">
        <v>3</v>
      </c>
      <c r="Q177">
        <v>237</v>
      </c>
      <c r="R177">
        <v>313</v>
      </c>
      <c r="S177">
        <v>287</v>
      </c>
      <c r="T177" t="s">
        <v>31</v>
      </c>
      <c r="U177" t="s">
        <v>31</v>
      </c>
      <c r="V177" t="s">
        <v>31</v>
      </c>
      <c r="W177" t="s">
        <v>257</v>
      </c>
      <c r="X177" t="s">
        <v>103</v>
      </c>
      <c r="Y177" t="s">
        <v>104</v>
      </c>
    </row>
    <row r="178" spans="1:25">
      <c r="A178" t="s">
        <v>25</v>
      </c>
      <c r="B178" t="s">
        <v>26</v>
      </c>
      <c r="C178" t="s">
        <v>221</v>
      </c>
      <c r="D178" s="1">
        <v>46145</v>
      </c>
      <c r="E178" s="2">
        <v>0.5625</v>
      </c>
      <c r="F178" t="s">
        <v>40</v>
      </c>
      <c r="G178" t="s">
        <v>52</v>
      </c>
      <c r="H178">
        <v>1</v>
      </c>
      <c r="I178">
        <v>0</v>
      </c>
      <c r="J178" t="s">
        <v>34</v>
      </c>
      <c r="N178">
        <v>176</v>
      </c>
      <c r="O178">
        <v>38</v>
      </c>
      <c r="P178">
        <v>525</v>
      </c>
      <c r="Q178">
        <v>169</v>
      </c>
      <c r="R178">
        <v>356</v>
      </c>
      <c r="S178">
        <v>461</v>
      </c>
      <c r="T178" t="s">
        <v>31</v>
      </c>
      <c r="U178" t="s">
        <v>31</v>
      </c>
      <c r="V178" t="s">
        <v>31</v>
      </c>
      <c r="W178" t="s">
        <v>216</v>
      </c>
      <c r="X178" t="s">
        <v>92</v>
      </c>
      <c r="Y178" t="s">
        <v>227</v>
      </c>
    </row>
    <row r="179" spans="1:25">
      <c r="A179" t="s">
        <v>25</v>
      </c>
      <c r="B179" t="s">
        <v>26</v>
      </c>
      <c r="C179" t="s">
        <v>221</v>
      </c>
      <c r="D179" s="1">
        <v>46145</v>
      </c>
      <c r="E179" s="2">
        <v>0.66666666666666663</v>
      </c>
      <c r="F179" t="s">
        <v>29</v>
      </c>
      <c r="G179" t="s">
        <v>28</v>
      </c>
      <c r="H179">
        <v>1</v>
      </c>
      <c r="I179">
        <v>1</v>
      </c>
      <c r="J179" t="s">
        <v>41</v>
      </c>
      <c r="N179">
        <v>168</v>
      </c>
      <c r="O179">
        <v>44</v>
      </c>
      <c r="P179">
        <v>5</v>
      </c>
      <c r="Q179">
        <v>161</v>
      </c>
      <c r="R179">
        <v>407</v>
      </c>
      <c r="S179">
        <v>451</v>
      </c>
      <c r="T179" t="s">
        <v>31</v>
      </c>
      <c r="U179" t="s">
        <v>31</v>
      </c>
      <c r="V179" t="s">
        <v>31</v>
      </c>
      <c r="W179" t="s">
        <v>153</v>
      </c>
      <c r="X179" t="s">
        <v>83</v>
      </c>
      <c r="Y179" t="s">
        <v>227</v>
      </c>
    </row>
    <row r="180" spans="1:25">
      <c r="A180" t="s">
        <v>25</v>
      </c>
      <c r="B180" t="s">
        <v>26</v>
      </c>
      <c r="C180" t="s">
        <v>221</v>
      </c>
      <c r="D180" s="1">
        <v>46146</v>
      </c>
      <c r="E180" s="2">
        <v>0.72916666666666663</v>
      </c>
      <c r="F180" t="s">
        <v>45</v>
      </c>
      <c r="G180" t="s">
        <v>39</v>
      </c>
      <c r="H180">
        <v>1</v>
      </c>
      <c r="I180">
        <v>4</v>
      </c>
      <c r="J180" t="s">
        <v>30</v>
      </c>
      <c r="N180">
        <v>27</v>
      </c>
      <c r="O180">
        <v>325</v>
      </c>
      <c r="P180">
        <v>285</v>
      </c>
      <c r="Q180">
        <v>251</v>
      </c>
      <c r="R180">
        <v>312</v>
      </c>
      <c r="S180">
        <v>268</v>
      </c>
      <c r="T180" t="s">
        <v>31</v>
      </c>
      <c r="U180" t="s">
        <v>31</v>
      </c>
      <c r="V180" t="s">
        <v>31</v>
      </c>
      <c r="W180" t="s">
        <v>248</v>
      </c>
      <c r="X180" t="s">
        <v>86</v>
      </c>
      <c r="Y180" t="s">
        <v>248</v>
      </c>
    </row>
    <row r="181" spans="1:25">
      <c r="A181" t="s">
        <v>25</v>
      </c>
      <c r="B181" t="s">
        <v>26</v>
      </c>
      <c r="C181" t="s">
        <v>221</v>
      </c>
      <c r="D181" s="1">
        <v>46146</v>
      </c>
      <c r="E181" s="2">
        <v>0.8125</v>
      </c>
      <c r="F181" t="s">
        <v>50</v>
      </c>
      <c r="G181" t="s">
        <v>35</v>
      </c>
      <c r="H181">
        <v>3</v>
      </c>
      <c r="I181">
        <v>1</v>
      </c>
      <c r="J181" t="s">
        <v>34</v>
      </c>
      <c r="N181">
        <v>198</v>
      </c>
      <c r="O181">
        <v>375</v>
      </c>
      <c r="P181">
        <v>38</v>
      </c>
      <c r="Q181">
        <v>19</v>
      </c>
      <c r="R181">
        <v>357</v>
      </c>
      <c r="S181">
        <v>35</v>
      </c>
      <c r="T181" t="s">
        <v>31</v>
      </c>
      <c r="U181" t="s">
        <v>31</v>
      </c>
      <c r="V181" t="s">
        <v>31</v>
      </c>
      <c r="W181" t="s">
        <v>171</v>
      </c>
      <c r="X181" t="s">
        <v>71</v>
      </c>
      <c r="Y181" t="s">
        <v>92</v>
      </c>
    </row>
    <row r="182" spans="1:25">
      <c r="A182" t="s">
        <v>25</v>
      </c>
      <c r="B182" t="s">
        <v>26</v>
      </c>
      <c r="C182" t="s">
        <v>221</v>
      </c>
      <c r="D182" s="1">
        <v>46151</v>
      </c>
      <c r="E182" s="2">
        <v>0.66666666666666663</v>
      </c>
      <c r="F182" t="s">
        <v>63</v>
      </c>
      <c r="G182" t="s">
        <v>45</v>
      </c>
      <c r="H182">
        <v>2</v>
      </c>
      <c r="I182">
        <v>2</v>
      </c>
      <c r="J182" t="s">
        <v>41</v>
      </c>
      <c r="N182">
        <v>238</v>
      </c>
      <c r="O182">
        <v>325</v>
      </c>
      <c r="P182">
        <v>34</v>
      </c>
      <c r="Q182">
        <v>224</v>
      </c>
      <c r="R182">
        <v>305</v>
      </c>
      <c r="S182">
        <v>322</v>
      </c>
      <c r="T182" t="s">
        <v>113</v>
      </c>
      <c r="U182" t="s">
        <v>126</v>
      </c>
      <c r="V182" t="s">
        <v>71</v>
      </c>
      <c r="W182" t="s">
        <v>239</v>
      </c>
      <c r="X182" t="s">
        <v>86</v>
      </c>
      <c r="Y182" t="s">
        <v>143</v>
      </c>
    </row>
    <row r="183" spans="1:25">
      <c r="A183" t="s">
        <v>25</v>
      </c>
      <c r="B183" t="s">
        <v>26</v>
      </c>
      <c r="C183" t="s">
        <v>221</v>
      </c>
      <c r="D183" s="1">
        <v>46151</v>
      </c>
      <c r="E183" s="2">
        <v>0.66666666666666663</v>
      </c>
      <c r="F183" t="s">
        <v>38</v>
      </c>
      <c r="G183" t="s">
        <v>39</v>
      </c>
      <c r="H183">
        <v>0</v>
      </c>
      <c r="I183">
        <v>1</v>
      </c>
      <c r="J183" t="s">
        <v>30</v>
      </c>
      <c r="N183">
        <v>212</v>
      </c>
      <c r="O183">
        <v>35</v>
      </c>
      <c r="P183">
        <v>375</v>
      </c>
      <c r="Q183">
        <v>202</v>
      </c>
      <c r="R183">
        <v>341</v>
      </c>
      <c r="S183">
        <v>338</v>
      </c>
      <c r="T183" t="s">
        <v>72</v>
      </c>
      <c r="U183" t="s">
        <v>80</v>
      </c>
      <c r="V183" t="s">
        <v>114</v>
      </c>
      <c r="W183" t="s">
        <v>242</v>
      </c>
      <c r="X183" t="s">
        <v>70</v>
      </c>
      <c r="Y183" t="s">
        <v>70</v>
      </c>
    </row>
    <row r="184" spans="1:25">
      <c r="A184" t="s">
        <v>25</v>
      </c>
      <c r="B184" t="s">
        <v>26</v>
      </c>
      <c r="C184" t="s">
        <v>221</v>
      </c>
      <c r="D184" s="1">
        <v>46151</v>
      </c>
      <c r="E184" s="2">
        <v>0.66666666666666663</v>
      </c>
      <c r="F184" t="s">
        <v>54</v>
      </c>
      <c r="G184" t="s">
        <v>61</v>
      </c>
      <c r="H184">
        <v>1</v>
      </c>
      <c r="I184">
        <v>1</v>
      </c>
      <c r="J184" t="s">
        <v>41</v>
      </c>
      <c r="N184">
        <v>285</v>
      </c>
      <c r="O184">
        <v>34</v>
      </c>
      <c r="P184">
        <v>25</v>
      </c>
      <c r="Q184">
        <v>273</v>
      </c>
      <c r="R184">
        <v>323</v>
      </c>
      <c r="S184">
        <v>243</v>
      </c>
      <c r="T184" t="s">
        <v>163</v>
      </c>
      <c r="U184" t="s">
        <v>93</v>
      </c>
      <c r="V184" t="s">
        <v>208</v>
      </c>
      <c r="W184" t="s">
        <v>231</v>
      </c>
      <c r="X184" t="s">
        <v>143</v>
      </c>
      <c r="Y184" t="s">
        <v>257</v>
      </c>
    </row>
    <row r="185" spans="1:25">
      <c r="A185" t="s">
        <v>25</v>
      </c>
      <c r="B185" t="s">
        <v>26</v>
      </c>
      <c r="C185" t="s">
        <v>221</v>
      </c>
      <c r="D185" s="1">
        <v>46152</v>
      </c>
      <c r="E185" s="2">
        <v>0.66666666666666663</v>
      </c>
      <c r="F185" t="s">
        <v>52</v>
      </c>
      <c r="G185" t="s">
        <v>28</v>
      </c>
      <c r="H185">
        <v>2</v>
      </c>
      <c r="I185">
        <v>4</v>
      </c>
      <c r="J185" t="s">
        <v>30</v>
      </c>
      <c r="N185">
        <v>5</v>
      </c>
      <c r="O185">
        <v>4</v>
      </c>
      <c r="P185">
        <v>172</v>
      </c>
      <c r="Q185">
        <v>467</v>
      </c>
      <c r="R185">
        <v>371</v>
      </c>
      <c r="S185">
        <v>166</v>
      </c>
      <c r="T185" t="s">
        <v>84</v>
      </c>
      <c r="U185" t="s">
        <v>74</v>
      </c>
      <c r="V185" t="s">
        <v>249</v>
      </c>
      <c r="W185" t="s">
        <v>227</v>
      </c>
      <c r="X185" t="s">
        <v>116</v>
      </c>
      <c r="Y185" t="s">
        <v>216</v>
      </c>
    </row>
    <row r="186" spans="1:25">
      <c r="A186" t="s">
        <v>25</v>
      </c>
      <c r="B186" t="s">
        <v>26</v>
      </c>
      <c r="C186" t="s">
        <v>221</v>
      </c>
      <c r="D186" s="1">
        <v>46152</v>
      </c>
      <c r="E186" s="2">
        <v>0.66666666666666663</v>
      </c>
      <c r="F186" t="s">
        <v>50</v>
      </c>
      <c r="G186" t="s">
        <v>29</v>
      </c>
      <c r="H186">
        <v>2</v>
      </c>
      <c r="I186">
        <v>1</v>
      </c>
      <c r="J186" t="s">
        <v>34</v>
      </c>
      <c r="N186">
        <v>22</v>
      </c>
      <c r="O186">
        <v>39</v>
      </c>
      <c r="P186">
        <v>31</v>
      </c>
      <c r="Q186">
        <v>21</v>
      </c>
      <c r="R186">
        <v>365</v>
      </c>
      <c r="S186">
        <v>297</v>
      </c>
      <c r="T186" t="s">
        <v>72</v>
      </c>
      <c r="U186" t="s">
        <v>129</v>
      </c>
      <c r="V186" t="s">
        <v>103</v>
      </c>
      <c r="W186" t="s">
        <v>242</v>
      </c>
      <c r="X186" t="s">
        <v>144</v>
      </c>
      <c r="Y186" t="s">
        <v>79</v>
      </c>
    </row>
    <row r="187" spans="1:25">
      <c r="A187" t="s">
        <v>25</v>
      </c>
      <c r="B187" t="s">
        <v>26</v>
      </c>
      <c r="C187" t="s">
        <v>221</v>
      </c>
      <c r="D187" s="1">
        <v>46152</v>
      </c>
      <c r="E187" s="2">
        <v>0.66666666666666663</v>
      </c>
      <c r="F187" t="s">
        <v>35</v>
      </c>
      <c r="G187" t="s">
        <v>40</v>
      </c>
      <c r="H187">
        <v>0</v>
      </c>
      <c r="I187">
        <v>2</v>
      </c>
      <c r="J187" t="s">
        <v>30</v>
      </c>
      <c r="N187">
        <v>23</v>
      </c>
      <c r="O187">
        <v>34</v>
      </c>
      <c r="P187">
        <v>325</v>
      </c>
      <c r="Q187">
        <v>219</v>
      </c>
      <c r="R187">
        <v>331</v>
      </c>
      <c r="S187">
        <v>308</v>
      </c>
      <c r="T187" t="s">
        <v>109</v>
      </c>
      <c r="U187" t="s">
        <v>70</v>
      </c>
      <c r="V187" t="s">
        <v>86</v>
      </c>
      <c r="W187" t="s">
        <v>122</v>
      </c>
      <c r="X187" t="s">
        <v>86</v>
      </c>
      <c r="Y187" t="s">
        <v>126</v>
      </c>
    </row>
    <row r="188" spans="1:25">
      <c r="A188" t="s">
        <v>25</v>
      </c>
      <c r="B188" t="s">
        <v>26</v>
      </c>
      <c r="C188" t="s">
        <v>221</v>
      </c>
      <c r="D188" s="1">
        <v>46158</v>
      </c>
      <c r="E188" s="2">
        <v>0.66666666666666663</v>
      </c>
      <c r="F188" t="s">
        <v>45</v>
      </c>
      <c r="G188" t="s">
        <v>38</v>
      </c>
      <c r="H188">
        <v>2</v>
      </c>
      <c r="I188">
        <v>0</v>
      </c>
      <c r="J188" t="s">
        <v>34</v>
      </c>
      <c r="N188">
        <v>17</v>
      </c>
      <c r="O188">
        <v>38</v>
      </c>
      <c r="P188">
        <v>533</v>
      </c>
      <c r="Q188">
        <v>166</v>
      </c>
      <c r="R188">
        <v>357</v>
      </c>
      <c r="S188">
        <v>48</v>
      </c>
      <c r="T188" t="s">
        <v>90</v>
      </c>
      <c r="U188" t="s">
        <v>116</v>
      </c>
      <c r="V188" t="s">
        <v>214</v>
      </c>
      <c r="W188" t="s">
        <v>236</v>
      </c>
      <c r="X188" t="s">
        <v>92</v>
      </c>
      <c r="Y188" t="s">
        <v>150</v>
      </c>
    </row>
    <row r="189" spans="1:25">
      <c r="A189" t="s">
        <v>25</v>
      </c>
      <c r="B189" t="s">
        <v>26</v>
      </c>
      <c r="C189" t="s">
        <v>221</v>
      </c>
      <c r="D189" s="1">
        <v>46158</v>
      </c>
      <c r="E189" s="2">
        <v>0.66666666666666663</v>
      </c>
      <c r="F189" t="s">
        <v>61</v>
      </c>
      <c r="G189" t="s">
        <v>63</v>
      </c>
      <c r="H189">
        <v>0</v>
      </c>
      <c r="I189">
        <v>3</v>
      </c>
      <c r="J189" t="s">
        <v>30</v>
      </c>
      <c r="N189">
        <v>21</v>
      </c>
      <c r="O189">
        <v>35</v>
      </c>
      <c r="P189">
        <v>37</v>
      </c>
      <c r="Q189">
        <v>204</v>
      </c>
      <c r="R189">
        <v>33</v>
      </c>
      <c r="S189">
        <v>336</v>
      </c>
      <c r="T189" t="s">
        <v>222</v>
      </c>
      <c r="U189" t="s">
        <v>167</v>
      </c>
      <c r="V189" t="s">
        <v>71</v>
      </c>
      <c r="W189" t="s">
        <v>244</v>
      </c>
      <c r="X189" t="s">
        <v>70</v>
      </c>
      <c r="Y189" t="s">
        <v>143</v>
      </c>
    </row>
    <row r="190" spans="1:25">
      <c r="A190" t="s">
        <v>25</v>
      </c>
      <c r="B190" t="s">
        <v>26</v>
      </c>
      <c r="C190" t="s">
        <v>221</v>
      </c>
      <c r="D190" s="1">
        <v>46158</v>
      </c>
      <c r="E190" s="2">
        <v>0.66666666666666663</v>
      </c>
      <c r="F190" t="s">
        <v>39</v>
      </c>
      <c r="G190" t="s">
        <v>54</v>
      </c>
      <c r="H190">
        <v>2</v>
      </c>
      <c r="I190">
        <v>0</v>
      </c>
      <c r="J190" t="s">
        <v>34</v>
      </c>
      <c r="N190">
        <v>2</v>
      </c>
      <c r="O190">
        <v>375</v>
      </c>
      <c r="P190">
        <v>36</v>
      </c>
      <c r="Q190">
        <v>197</v>
      </c>
      <c r="R190">
        <v>346</v>
      </c>
      <c r="S190">
        <v>342</v>
      </c>
      <c r="T190" t="s">
        <v>166</v>
      </c>
      <c r="U190" t="s">
        <v>71</v>
      </c>
      <c r="V190" t="s">
        <v>116</v>
      </c>
      <c r="W190" t="s">
        <v>175</v>
      </c>
      <c r="X190" t="s">
        <v>70</v>
      </c>
      <c r="Y190" t="s">
        <v>68</v>
      </c>
    </row>
    <row r="191" spans="1:25">
      <c r="A191" t="s">
        <v>25</v>
      </c>
      <c r="B191" t="s">
        <v>26</v>
      </c>
      <c r="C191" t="s">
        <v>221</v>
      </c>
      <c r="D191" s="1">
        <v>46159</v>
      </c>
      <c r="E191" s="2">
        <v>0.5625</v>
      </c>
      <c r="F191" t="s">
        <v>40</v>
      </c>
      <c r="G191" t="s">
        <v>50</v>
      </c>
      <c r="H191">
        <v>0</v>
      </c>
      <c r="I191">
        <v>3</v>
      </c>
      <c r="J191" t="s">
        <v>30</v>
      </c>
      <c r="N191">
        <v>333</v>
      </c>
      <c r="O191">
        <v>35</v>
      </c>
      <c r="P191">
        <v>22</v>
      </c>
      <c r="Q191">
        <v>316</v>
      </c>
      <c r="R191">
        <v>331</v>
      </c>
      <c r="S191">
        <v>213</v>
      </c>
      <c r="T191" t="s">
        <v>80</v>
      </c>
      <c r="U191" t="s">
        <v>167</v>
      </c>
      <c r="V191" t="s">
        <v>256</v>
      </c>
      <c r="W191" t="s">
        <v>103</v>
      </c>
      <c r="X191" t="s">
        <v>144</v>
      </c>
      <c r="Y191" t="s">
        <v>239</v>
      </c>
    </row>
    <row r="192" spans="1:25">
      <c r="A192" t="s">
        <v>25</v>
      </c>
      <c r="B192" t="s">
        <v>26</v>
      </c>
      <c r="C192" t="s">
        <v>221</v>
      </c>
      <c r="D192" s="1">
        <v>46159</v>
      </c>
      <c r="E192" s="2">
        <v>0.5625</v>
      </c>
      <c r="F192" t="s">
        <v>29</v>
      </c>
      <c r="G192" t="s">
        <v>52</v>
      </c>
      <c r="H192">
        <v>1</v>
      </c>
      <c r="I192">
        <v>3</v>
      </c>
      <c r="J192" t="s">
        <v>30</v>
      </c>
      <c r="N192">
        <v>125</v>
      </c>
      <c r="O192">
        <v>7</v>
      </c>
      <c r="P192">
        <v>12</v>
      </c>
      <c r="Q192">
        <v>122</v>
      </c>
      <c r="R192">
        <v>6</v>
      </c>
      <c r="S192">
        <v>10</v>
      </c>
      <c r="T192" t="s">
        <v>260</v>
      </c>
      <c r="U192" t="s">
        <v>261</v>
      </c>
      <c r="V192" t="s">
        <v>233</v>
      </c>
      <c r="W192" t="s">
        <v>262</v>
      </c>
      <c r="X192" t="s">
        <v>263</v>
      </c>
      <c r="Y192" t="s">
        <v>264</v>
      </c>
    </row>
    <row r="193" spans="1:25">
      <c r="A193" t="s">
        <v>25</v>
      </c>
      <c r="B193" t="s">
        <v>26</v>
      </c>
      <c r="C193" t="s">
        <v>221</v>
      </c>
      <c r="D193" s="1">
        <v>46159</v>
      </c>
      <c r="E193" s="2">
        <v>0.5625</v>
      </c>
      <c r="F193" t="s">
        <v>28</v>
      </c>
      <c r="G193" t="s">
        <v>35</v>
      </c>
      <c r="H193">
        <v>2</v>
      </c>
      <c r="I193">
        <v>0</v>
      </c>
      <c r="J193" t="s">
        <v>34</v>
      </c>
      <c r="N193">
        <v>212</v>
      </c>
      <c r="O193">
        <v>375</v>
      </c>
      <c r="P193">
        <v>37</v>
      </c>
      <c r="Q193">
        <v>199</v>
      </c>
      <c r="R193">
        <v>356</v>
      </c>
      <c r="S193">
        <v>326</v>
      </c>
      <c r="T193" t="s">
        <v>152</v>
      </c>
      <c r="U193" t="s">
        <v>125</v>
      </c>
      <c r="V193" t="s">
        <v>80</v>
      </c>
      <c r="W193" t="s">
        <v>244</v>
      </c>
      <c r="X193" t="s">
        <v>71</v>
      </c>
      <c r="Y193" t="s">
        <v>103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0311-2661-4C87-BABA-AC42A864CB0F}">
  <dimension ref="A1:G13"/>
  <sheetViews>
    <sheetView workbookViewId="0">
      <selection activeCell="G2" sqref="G2:G13"/>
    </sheetView>
  </sheetViews>
  <sheetFormatPr baseColWidth="10" defaultRowHeight="14.4"/>
  <cols>
    <col min="1" max="1" width="17.88671875" customWidth="1"/>
    <col min="2" max="2" width="9.88671875" customWidth="1"/>
    <col min="4" max="4" width="14.77734375" customWidth="1"/>
    <col min="6" max="6" width="15.44140625" customWidth="1"/>
    <col min="7" max="7" width="28.44140625" bestFit="1" customWidth="1"/>
    <col min="8" max="8" width="13.6640625" customWidth="1"/>
  </cols>
  <sheetData>
    <row r="1" spans="1:7">
      <c r="A1" s="3" t="s">
        <v>278</v>
      </c>
      <c r="B1" s="3" t="s">
        <v>280</v>
      </c>
      <c r="C1" s="3" t="s">
        <v>281</v>
      </c>
      <c r="D1" s="3" t="s">
        <v>282</v>
      </c>
      <c r="E1" s="3" t="s">
        <v>283</v>
      </c>
      <c r="F1" s="3" t="s">
        <v>292</v>
      </c>
      <c r="G1" s="3" t="s">
        <v>294</v>
      </c>
    </row>
    <row r="2" spans="1:7">
      <c r="A2" t="s">
        <v>28</v>
      </c>
      <c r="B2" s="4">
        <f t="shared" ref="B2:B13" si="0">COUNTIF(A:A,A2)</f>
        <v>1</v>
      </c>
      <c r="C2">
        <f>SUMIF('AT2526'!F:F,Mannschaften!A2,'AT2526'!H:H)</f>
        <v>17</v>
      </c>
      <c r="D2">
        <f>SUMIF('AT2526'!G:G,Mannschaften!A2,'AT2526'!I:I)</f>
        <v>34</v>
      </c>
      <c r="E2">
        <f>C2+D2</f>
        <v>51</v>
      </c>
      <c r="F2">
        <f>COUNTIF(Spiele!E:E,Mannschaften!A2)</f>
        <v>16</v>
      </c>
      <c r="G2">
        <f>_xlfn.XLOOKUP(A2,meistegeschosseneToreproSpiel!A:A,meistegeschosseneToreproSpiel!B:B)</f>
        <v>5</v>
      </c>
    </row>
    <row r="3" spans="1:7">
      <c r="A3" t="s">
        <v>52</v>
      </c>
      <c r="B3" s="4">
        <f t="shared" si="0"/>
        <v>1</v>
      </c>
      <c r="C3">
        <f>SUMIF('AT2526'!F:F,Mannschaften!A3,'AT2526'!H:H)</f>
        <v>19</v>
      </c>
      <c r="D3">
        <f>SUMIF('AT2526'!G:G,Mannschaften!A3,'AT2526'!I:I)</f>
        <v>21</v>
      </c>
      <c r="E3">
        <f t="shared" ref="E3:E13" si="1">C3+D3</f>
        <v>40</v>
      </c>
      <c r="F3">
        <f>COUNTIF(Spiele!E:E,Mannschaften!A3)</f>
        <v>10</v>
      </c>
      <c r="G3">
        <f>_xlfn.XLOOKUP(A3,meistegeschosseneToreproSpiel!A:A,meistegeschosseneToreproSpiel!B:B)</f>
        <v>3</v>
      </c>
    </row>
    <row r="4" spans="1:7">
      <c r="A4" t="s">
        <v>45</v>
      </c>
      <c r="B4" s="4">
        <f t="shared" si="0"/>
        <v>1</v>
      </c>
      <c r="C4">
        <f>SUMIF('AT2526'!F:F,Mannschaften!A4,'AT2526'!H:H)</f>
        <v>21</v>
      </c>
      <c r="D4">
        <f>SUMIF('AT2526'!G:G,Mannschaften!A4,'AT2526'!I:I)</f>
        <v>15</v>
      </c>
      <c r="E4">
        <f t="shared" si="1"/>
        <v>36</v>
      </c>
      <c r="F4">
        <f>COUNTIF(Spiele!E:E,Mannschaften!A4)</f>
        <v>10</v>
      </c>
      <c r="G4">
        <f>_xlfn.XLOOKUP(A4,meistegeschosseneToreproSpiel!A:A,meistegeschosseneToreproSpiel!B:B)</f>
        <v>3</v>
      </c>
    </row>
    <row r="5" spans="1:7">
      <c r="A5" t="s">
        <v>29</v>
      </c>
      <c r="B5" s="4">
        <f t="shared" si="0"/>
        <v>1</v>
      </c>
      <c r="C5">
        <f>SUMIF('AT2526'!F:F,Mannschaften!A5,'AT2526'!H:H)</f>
        <v>29</v>
      </c>
      <c r="D5">
        <f>SUMIF('AT2526'!G:G,Mannschaften!A5,'AT2526'!I:I)</f>
        <v>27</v>
      </c>
      <c r="E5">
        <f t="shared" si="1"/>
        <v>56</v>
      </c>
      <c r="F5">
        <f>COUNTIF(Spiele!E:E,Mannschaften!A5)</f>
        <v>13</v>
      </c>
      <c r="G5">
        <f>_xlfn.XLOOKUP(A5,meistegeschosseneToreproSpiel!A:A,meistegeschosseneToreproSpiel!B:B)</f>
        <v>5</v>
      </c>
    </row>
    <row r="6" spans="1:7">
      <c r="A6" t="s">
        <v>40</v>
      </c>
      <c r="B6" s="4">
        <f t="shared" si="0"/>
        <v>1</v>
      </c>
      <c r="C6">
        <f>SUMIF('AT2526'!F:F,Mannschaften!A6,'AT2526'!H:H)</f>
        <v>19</v>
      </c>
      <c r="D6">
        <f>SUMIF('AT2526'!G:G,Mannschaften!A6,'AT2526'!I:I)</f>
        <v>26</v>
      </c>
      <c r="E6">
        <f t="shared" si="1"/>
        <v>45</v>
      </c>
      <c r="F6">
        <f>COUNTIF(Spiele!E:E,Mannschaften!A6)</f>
        <v>14</v>
      </c>
      <c r="G6">
        <f>_xlfn.XLOOKUP(A6,meistegeschosseneToreproSpiel!A:A,meistegeschosseneToreproSpiel!B:B)</f>
        <v>3</v>
      </c>
    </row>
    <row r="7" spans="1:7">
      <c r="A7" t="s">
        <v>61</v>
      </c>
      <c r="B7" s="4">
        <f t="shared" si="0"/>
        <v>1</v>
      </c>
      <c r="C7">
        <f>SUMIF('AT2526'!F:F,Mannschaften!A7,'AT2526'!H:H)</f>
        <v>28</v>
      </c>
      <c r="D7">
        <f>SUMIF('AT2526'!G:G,Mannschaften!A7,'AT2526'!I:I)</f>
        <v>9</v>
      </c>
      <c r="E7">
        <f t="shared" si="1"/>
        <v>37</v>
      </c>
      <c r="F7">
        <f>COUNTIF(Spiele!E:E,Mannschaften!A7)</f>
        <v>8</v>
      </c>
      <c r="G7">
        <f>_xlfn.XLOOKUP(A7,meistegeschosseneToreproSpiel!A:A,meistegeschosseneToreproSpiel!B:B)</f>
        <v>5</v>
      </c>
    </row>
    <row r="8" spans="1:7">
      <c r="A8" t="s">
        <v>38</v>
      </c>
      <c r="B8" s="4">
        <f t="shared" si="0"/>
        <v>1</v>
      </c>
      <c r="C8">
        <f>SUMIF('AT2526'!F:F,Mannschaften!A8,'AT2526'!H:H)</f>
        <v>21</v>
      </c>
      <c r="D8">
        <f>SUMIF('AT2526'!G:G,Mannschaften!A8,'AT2526'!I:I)</f>
        <v>17</v>
      </c>
      <c r="E8">
        <f t="shared" si="1"/>
        <v>38</v>
      </c>
      <c r="F8">
        <f>COUNTIF(Spiele!E:E,Mannschaften!A8)</f>
        <v>12</v>
      </c>
      <c r="G8">
        <f>_xlfn.XLOOKUP(A8,meistegeschosseneToreproSpiel!A:A,meistegeschosseneToreproSpiel!B:B)</f>
        <v>3</v>
      </c>
    </row>
    <row r="9" spans="1:7">
      <c r="A9" t="s">
        <v>63</v>
      </c>
      <c r="B9" s="4">
        <f t="shared" si="0"/>
        <v>1</v>
      </c>
      <c r="C9">
        <f>SUMIF('AT2526'!F:F,Mannschaften!A9,'AT2526'!H:H)</f>
        <v>26</v>
      </c>
      <c r="D9">
        <f>SUMIF('AT2526'!G:G,Mannschaften!A9,'AT2526'!I:I)</f>
        <v>16</v>
      </c>
      <c r="E9">
        <f t="shared" si="1"/>
        <v>42</v>
      </c>
      <c r="F9">
        <f>COUNTIF(Spiele!E:E,Mannschaften!A9)</f>
        <v>9</v>
      </c>
      <c r="G9">
        <f>_xlfn.XLOOKUP(A9,meistegeschosseneToreproSpiel!A:A,meistegeschosseneToreproSpiel!B:B)</f>
        <v>5</v>
      </c>
    </row>
    <row r="10" spans="1:7">
      <c r="A10" t="s">
        <v>39</v>
      </c>
      <c r="B10" s="4">
        <f t="shared" si="0"/>
        <v>1</v>
      </c>
      <c r="C10">
        <f>SUMIF('AT2526'!F:F,Mannschaften!A10,'AT2526'!H:H)</f>
        <v>20</v>
      </c>
      <c r="D10">
        <f>SUMIF('AT2526'!G:G,Mannschaften!A10,'AT2526'!I:I)</f>
        <v>21</v>
      </c>
      <c r="E10">
        <f t="shared" si="1"/>
        <v>41</v>
      </c>
      <c r="F10">
        <f>COUNTIF(Spiele!E:E,Mannschaften!A10)</f>
        <v>11</v>
      </c>
      <c r="G10">
        <f>_xlfn.XLOOKUP(A10,meistegeschosseneToreproSpiel!A:A,meistegeschosseneToreproSpiel!B:B)</f>
        <v>4</v>
      </c>
    </row>
    <row r="11" spans="1:7">
      <c r="A11" t="s">
        <v>35</v>
      </c>
      <c r="B11" s="4">
        <f t="shared" si="0"/>
        <v>1</v>
      </c>
      <c r="C11">
        <f>SUMIF('AT2526'!F:F,Mannschaften!A11,'AT2526'!H:H)</f>
        <v>19</v>
      </c>
      <c r="D11">
        <f>SUMIF('AT2526'!G:G,Mannschaften!A11,'AT2526'!I:I)</f>
        <v>17</v>
      </c>
      <c r="E11">
        <f t="shared" si="1"/>
        <v>36</v>
      </c>
      <c r="F11">
        <f>COUNTIF(Spiele!E:E,Mannschaften!A11)</f>
        <v>12</v>
      </c>
      <c r="G11">
        <f>_xlfn.XLOOKUP(A11,meistegeschosseneToreproSpiel!A:A,meistegeschosseneToreproSpiel!B:B)</f>
        <v>4</v>
      </c>
    </row>
    <row r="12" spans="1:7">
      <c r="A12" t="s">
        <v>50</v>
      </c>
      <c r="B12" s="4">
        <f t="shared" si="0"/>
        <v>1</v>
      </c>
      <c r="C12">
        <f>SUMIF('AT2526'!F:F,Mannschaften!A12,'AT2526'!H:H)</f>
        <v>28</v>
      </c>
      <c r="D12">
        <f>SUMIF('AT2526'!G:G,Mannschaften!A12,'AT2526'!I:I)</f>
        <v>28</v>
      </c>
      <c r="E12">
        <f t="shared" si="1"/>
        <v>56</v>
      </c>
      <c r="F12">
        <f>COUNTIF(Spiele!E:E,Mannschaften!A12)</f>
        <v>17</v>
      </c>
      <c r="G12">
        <f>_xlfn.XLOOKUP(A12,meistegeschosseneToreproSpiel!A:A,meistegeschosseneToreproSpiel!B:B)</f>
        <v>5</v>
      </c>
    </row>
    <row r="13" spans="1:7">
      <c r="A13" t="s">
        <v>54</v>
      </c>
      <c r="B13" s="4">
        <f t="shared" si="0"/>
        <v>1</v>
      </c>
      <c r="C13">
        <f>SUMIF('AT2526'!F:F,Mannschaften!A13,'AT2526'!H:H)</f>
        <v>26</v>
      </c>
      <c r="D13">
        <f>SUMIF('AT2526'!G:G,Mannschaften!A13,'AT2526'!I:I)</f>
        <v>14</v>
      </c>
      <c r="E13">
        <f t="shared" si="1"/>
        <v>40</v>
      </c>
      <c r="F13">
        <f>COUNTIF(Spiele!E:E,Mannschaften!A13)</f>
        <v>10</v>
      </c>
      <c r="G13">
        <f>_xlfn.XLOOKUP(A13,meistegeschosseneToreproSpiel!A:A,meistegeschosseneToreproSpiel!B:B)</f>
        <v>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2211-8A79-4206-AF7E-4244462A82A6}">
  <dimension ref="A1:G193"/>
  <sheetViews>
    <sheetView topLeftCell="A112" workbookViewId="0">
      <selection activeCell="K12" sqref="K12"/>
    </sheetView>
  </sheetViews>
  <sheetFormatPr baseColWidth="10" defaultRowHeight="14.4"/>
  <cols>
    <col min="1" max="1" width="20.77734375" customWidth="1"/>
    <col min="2" max="2" width="17.21875" customWidth="1"/>
    <col min="5" max="5" width="17.88671875" customWidth="1"/>
  </cols>
  <sheetData>
    <row r="1" spans="1:7">
      <c r="A1" s="3" t="s">
        <v>5</v>
      </c>
      <c r="B1" s="3" t="s">
        <v>6</v>
      </c>
      <c r="C1" s="3" t="s">
        <v>7</v>
      </c>
      <c r="D1" s="3" t="s">
        <v>8</v>
      </c>
      <c r="E1" s="3" t="s">
        <v>279</v>
      </c>
      <c r="F1" s="3" t="s">
        <v>290</v>
      </c>
      <c r="G1" s="3" t="s">
        <v>291</v>
      </c>
    </row>
    <row r="2" spans="1:7">
      <c r="A2" t="s">
        <v>50</v>
      </c>
      <c r="B2" t="s">
        <v>28</v>
      </c>
      <c r="C2">
        <v>0</v>
      </c>
      <c r="D2">
        <v>2</v>
      </c>
      <c r="E2" t="str" cm="1">
        <f t="array" ref="E2">_xlfn.IFS(C2=D2, ,C2&gt;D2,A2,D2&gt;C2,B2)</f>
        <v>Sturm Graz</v>
      </c>
      <c r="F2" cm="1">
        <f t="array" ref="F2">_xlfn.IFS(E2=0,1,E2=A2,3,E2&lt;&gt;A2,0)</f>
        <v>0</v>
      </c>
      <c r="G2" cm="1">
        <f t="array" ref="G2">_xlfn.IFS(E2=0,1,E2=B2,3,E2&lt;&gt;B2,0)</f>
        <v>3</v>
      </c>
    </row>
    <row r="3" spans="1:7">
      <c r="A3" t="s">
        <v>54</v>
      </c>
      <c r="B3" t="s">
        <v>52</v>
      </c>
      <c r="C3">
        <v>4</v>
      </c>
      <c r="D3">
        <v>2</v>
      </c>
      <c r="E3" t="str" cm="1">
        <f t="array" ref="E3">_xlfn.IFS(C3=D3, ,C3&gt;D3,A3,D3&gt;C3,B3)</f>
        <v>Tirol</v>
      </c>
      <c r="F3" cm="1">
        <f t="array" ref="F3">_xlfn.IFS(E3=0,1,E3=A3,3,E3&lt;&gt;A3,0)</f>
        <v>3</v>
      </c>
      <c r="G3" cm="1">
        <f t="array" ref="G3">_xlfn.IFS(E3=0,1,E3=B3,3,E3&lt;&gt;B3,0)</f>
        <v>0</v>
      </c>
    </row>
    <row r="4" spans="1:7">
      <c r="A4" t="s">
        <v>39</v>
      </c>
      <c r="B4" t="s">
        <v>45</v>
      </c>
      <c r="C4">
        <v>0</v>
      </c>
      <c r="D4">
        <v>2</v>
      </c>
      <c r="E4" t="str" cm="1">
        <f t="array" ref="E4">_xlfn.IFS(C4=D4, ,C4&gt;D4,A4,D4&gt;C4,B4)</f>
        <v>Altach</v>
      </c>
      <c r="F4" cm="1">
        <f t="array" ref="F4">_xlfn.IFS(E4=0,1,E4=A4,3,E4&lt;&gt;A4,0)</f>
        <v>0</v>
      </c>
      <c r="G4" cm="1">
        <f t="array" ref="G4">_xlfn.IFS(E4=0,1,E4=B4,3,E4&lt;&gt;B4,0)</f>
        <v>3</v>
      </c>
    </row>
    <row r="5" spans="1:7">
      <c r="A5" t="s">
        <v>38</v>
      </c>
      <c r="B5" t="s">
        <v>29</v>
      </c>
      <c r="C5">
        <v>2</v>
      </c>
      <c r="D5">
        <v>2</v>
      </c>
      <c r="E5" cm="1">
        <f t="array" ref="E5">_xlfn.IFS(C5=D5, ,C5&gt;D5,A5,D5&gt;C5,B5)</f>
        <v>0</v>
      </c>
      <c r="F5" cm="1">
        <f t="array" ref="F5">_xlfn.IFS(E5=0,1,E5=A5,3,E5&lt;&gt;A5,0)</f>
        <v>1</v>
      </c>
      <c r="G5" cm="1">
        <f t="array" ref="G5">_xlfn.IFS(E5=0,1,E5=B5,3,E5&lt;&gt;B5,0)</f>
        <v>1</v>
      </c>
    </row>
    <row r="6" spans="1:7">
      <c r="A6" t="s">
        <v>63</v>
      </c>
      <c r="B6" t="s">
        <v>40</v>
      </c>
      <c r="C6">
        <v>2</v>
      </c>
      <c r="D6">
        <v>2</v>
      </c>
      <c r="E6" cm="1">
        <f t="array" ref="E6">_xlfn.IFS(C6=D6, ,C6&gt;D6,A6,D6&gt;C6,B6)</f>
        <v>0</v>
      </c>
      <c r="F6" cm="1">
        <f t="array" ref="F6">_xlfn.IFS(E6=0,1,E6=A6,3,E6&lt;&gt;A6,0)</f>
        <v>1</v>
      </c>
      <c r="G6" cm="1">
        <f t="array" ref="G6">_xlfn.IFS(E6=0,1,E6=B6,3,E6&lt;&gt;B6,0)</f>
        <v>1</v>
      </c>
    </row>
    <row r="7" spans="1:7">
      <c r="A7" t="s">
        <v>35</v>
      </c>
      <c r="B7" t="s">
        <v>61</v>
      </c>
      <c r="C7">
        <v>1</v>
      </c>
      <c r="D7">
        <v>0</v>
      </c>
      <c r="E7" t="str" cm="1">
        <f t="array" ref="E7">_xlfn.IFS(C7=D7, ,C7&gt;D7,A7,D7&gt;C7,B7)</f>
        <v>SK Rapid</v>
      </c>
      <c r="F7" cm="1">
        <f t="array" ref="F7">_xlfn.IFS(E7=0,1,E7=A7,3,E7&lt;&gt;A7,0)</f>
        <v>3</v>
      </c>
      <c r="G7" cm="1">
        <f t="array" ref="G7">_xlfn.IFS(E7=0,1,E7=B7,3,E7&lt;&gt;B7,0)</f>
        <v>0</v>
      </c>
    </row>
    <row r="8" spans="1:7">
      <c r="A8" t="s">
        <v>45</v>
      </c>
      <c r="B8" t="s">
        <v>38</v>
      </c>
      <c r="C8">
        <v>1</v>
      </c>
      <c r="D8">
        <v>0</v>
      </c>
      <c r="E8" t="str" cm="1">
        <f t="array" ref="E8">_xlfn.IFS(C8=D8, ,C8&gt;D8,A8,D8&gt;C8,B8)</f>
        <v>Altach</v>
      </c>
      <c r="F8" cm="1">
        <f t="array" ref="F8">_xlfn.IFS(E8=0,1,E8=A8,3,E8&lt;&gt;A8,0)</f>
        <v>3</v>
      </c>
      <c r="G8" cm="1">
        <f t="array" ref="G8">_xlfn.IFS(E8=0,1,E8=B8,3,E8&lt;&gt;B8,0)</f>
        <v>0</v>
      </c>
    </row>
    <row r="9" spans="1:7">
      <c r="A9" t="s">
        <v>61</v>
      </c>
      <c r="B9" t="s">
        <v>52</v>
      </c>
      <c r="C9">
        <v>0</v>
      </c>
      <c r="D9">
        <v>1</v>
      </c>
      <c r="E9" t="str" cm="1">
        <f t="array" ref="E9">_xlfn.IFS(C9=D9, ,C9&gt;D9,A9,D9&gt;C9,B9)</f>
        <v>Hartberg</v>
      </c>
      <c r="F9" cm="1">
        <f t="array" ref="F9">_xlfn.IFS(E9=0,1,E9=A9,3,E9&lt;&gt;A9,0)</f>
        <v>0</v>
      </c>
      <c r="G9" cm="1">
        <f t="array" ref="G9">_xlfn.IFS(E9=0,1,E9=B9,3,E9&lt;&gt;B9,0)</f>
        <v>3</v>
      </c>
    </row>
    <row r="10" spans="1:7">
      <c r="A10" t="s">
        <v>29</v>
      </c>
      <c r="B10" t="s">
        <v>63</v>
      </c>
      <c r="C10">
        <v>5</v>
      </c>
      <c r="D10">
        <v>0</v>
      </c>
      <c r="E10" t="str" cm="1">
        <f t="array" ref="E10">_xlfn.IFS(C10=D10, ,C10&gt;D10,A10,D10&gt;C10,B10)</f>
        <v>Salzburg</v>
      </c>
      <c r="F10" cm="1">
        <f t="array" ref="F10">_xlfn.IFS(E10=0,1,E10=A10,3,E10&lt;&gt;A10,0)</f>
        <v>3</v>
      </c>
      <c r="G10" cm="1">
        <f t="array" ref="G10">_xlfn.IFS(E10=0,1,E10=B10,3,E10&lt;&gt;B10,0)</f>
        <v>0</v>
      </c>
    </row>
    <row r="11" spans="1:7">
      <c r="A11" t="s">
        <v>40</v>
      </c>
      <c r="B11" t="s">
        <v>39</v>
      </c>
      <c r="C11">
        <v>0</v>
      </c>
      <c r="D11">
        <v>2</v>
      </c>
      <c r="E11" t="str" cm="1">
        <f t="array" ref="E11">_xlfn.IFS(C11=D11, ,C11&gt;D11,A11,D11&gt;C11,B11)</f>
        <v>Wolfsberger AC</v>
      </c>
      <c r="F11" cm="1">
        <f t="array" ref="F11">_xlfn.IFS(E11=0,1,E11=A11,3,E11&lt;&gt;A11,0)</f>
        <v>0</v>
      </c>
      <c r="G11" cm="1">
        <f t="array" ref="G11">_xlfn.IFS(E11=0,1,E11=B11,3,E11&lt;&gt;B11,0)</f>
        <v>3</v>
      </c>
    </row>
    <row r="12" spans="1:7">
      <c r="A12" t="s">
        <v>28</v>
      </c>
      <c r="B12" t="s">
        <v>35</v>
      </c>
      <c r="C12">
        <v>1</v>
      </c>
      <c r="D12">
        <v>2</v>
      </c>
      <c r="E12" t="str" cm="1">
        <f t="array" ref="E12">_xlfn.IFS(C12=D12, ,C12&gt;D12,A12,D12&gt;C12,B12)</f>
        <v>SK Rapid</v>
      </c>
      <c r="F12" cm="1">
        <f t="array" ref="F12">_xlfn.IFS(E12=0,1,E12=A12,3,E12&lt;&gt;A12,0)</f>
        <v>0</v>
      </c>
      <c r="G12" cm="1">
        <f t="array" ref="G12">_xlfn.IFS(E12=0,1,E12=B12,3,E12&lt;&gt;B12,0)</f>
        <v>3</v>
      </c>
    </row>
    <row r="13" spans="1:7">
      <c r="A13" t="s">
        <v>54</v>
      </c>
      <c r="B13" t="s">
        <v>50</v>
      </c>
      <c r="C13">
        <v>3</v>
      </c>
      <c r="D13">
        <v>1</v>
      </c>
      <c r="E13" t="str" cm="1">
        <f t="array" ref="E13">_xlfn.IFS(C13=D13, ,C13&gt;D13,A13,D13&gt;C13,B13)</f>
        <v>Tirol</v>
      </c>
      <c r="F13" cm="1">
        <f t="array" ref="F13">_xlfn.IFS(E13=0,1,E13=A13,3,E13&lt;&gt;A13,0)</f>
        <v>3</v>
      </c>
      <c r="G13" cm="1">
        <f t="array" ref="G13">_xlfn.IFS(E13=0,1,E13=B13,3,E13&lt;&gt;B13,0)</f>
        <v>0</v>
      </c>
    </row>
    <row r="14" spans="1:7">
      <c r="A14" t="s">
        <v>63</v>
      </c>
      <c r="B14" t="s">
        <v>54</v>
      </c>
      <c r="C14">
        <v>1</v>
      </c>
      <c r="D14">
        <v>1</v>
      </c>
      <c r="E14" cm="1">
        <f t="array" ref="E14">_xlfn.IFS(C14=D14, ,C14&gt;D14,A14,D14&gt;C14,B14)</f>
        <v>0</v>
      </c>
      <c r="F14" cm="1">
        <f t="array" ref="F14">_xlfn.IFS(E14=0,1,E14=A14,3,E14&lt;&gt;A14,0)</f>
        <v>1</v>
      </c>
      <c r="G14" cm="1">
        <f t="array" ref="G14">_xlfn.IFS(E14=0,1,E14=B14,3,E14&lt;&gt;B14,0)</f>
        <v>1</v>
      </c>
    </row>
    <row r="15" spans="1:7">
      <c r="A15" t="s">
        <v>52</v>
      </c>
      <c r="B15" t="s">
        <v>29</v>
      </c>
      <c r="C15">
        <v>1</v>
      </c>
      <c r="D15">
        <v>2</v>
      </c>
      <c r="E15" t="str" cm="1">
        <f t="array" ref="E15">_xlfn.IFS(C15=D15, ,C15&gt;D15,A15,D15&gt;C15,B15)</f>
        <v>Salzburg</v>
      </c>
      <c r="F15" cm="1">
        <f t="array" ref="F15">_xlfn.IFS(E15=0,1,E15=A15,3,E15&lt;&gt;A15,0)</f>
        <v>0</v>
      </c>
      <c r="G15" cm="1">
        <f t="array" ref="G15">_xlfn.IFS(E15=0,1,E15=B15,3,E15&lt;&gt;B15,0)</f>
        <v>3</v>
      </c>
    </row>
    <row r="16" spans="1:7">
      <c r="A16" t="s">
        <v>38</v>
      </c>
      <c r="B16" t="s">
        <v>28</v>
      </c>
      <c r="C16">
        <v>1</v>
      </c>
      <c r="D16">
        <v>3</v>
      </c>
      <c r="E16" t="str" cm="1">
        <f t="array" ref="E16">_xlfn.IFS(C16=D16, ,C16&gt;D16,A16,D16&gt;C16,B16)</f>
        <v>Sturm Graz</v>
      </c>
      <c r="F16" cm="1">
        <f t="array" ref="F16">_xlfn.IFS(E16=0,1,E16=A16,3,E16&lt;&gt;A16,0)</f>
        <v>0</v>
      </c>
      <c r="G16" cm="1">
        <f t="array" ref="G16">_xlfn.IFS(E16=0,1,E16=B16,3,E16&lt;&gt;B16,0)</f>
        <v>3</v>
      </c>
    </row>
    <row r="17" spans="1:7">
      <c r="A17" t="s">
        <v>50</v>
      </c>
      <c r="B17" t="s">
        <v>40</v>
      </c>
      <c r="C17">
        <v>2</v>
      </c>
      <c r="D17">
        <v>1</v>
      </c>
      <c r="E17" t="str" cm="1">
        <f t="array" ref="E17">_xlfn.IFS(C17=D17, ,C17&gt;D17,A17,D17&gt;C17,B17)</f>
        <v>LASK</v>
      </c>
      <c r="F17" cm="1">
        <f t="array" ref="F17">_xlfn.IFS(E17=0,1,E17=A17,3,E17&lt;&gt;A17,0)</f>
        <v>3</v>
      </c>
      <c r="G17" cm="1">
        <f t="array" ref="G17">_xlfn.IFS(E17=0,1,E17=B17,3,E17&lt;&gt;B17,0)</f>
        <v>0</v>
      </c>
    </row>
    <row r="18" spans="1:7">
      <c r="A18" t="s">
        <v>35</v>
      </c>
      <c r="B18" t="s">
        <v>45</v>
      </c>
      <c r="C18">
        <v>0</v>
      </c>
      <c r="D18">
        <v>0</v>
      </c>
      <c r="E18" cm="1">
        <f t="array" ref="E18">_xlfn.IFS(C18=D18, ,C18&gt;D18,A18,D18&gt;C18,B18)</f>
        <v>0</v>
      </c>
      <c r="F18" cm="1">
        <f t="array" ref="F18">_xlfn.IFS(E18=0,1,E18=A18,3,E18&lt;&gt;A18,0)</f>
        <v>1</v>
      </c>
      <c r="G18" cm="1">
        <f t="array" ref="G18">_xlfn.IFS(E18=0,1,E18=B18,3,E18&lt;&gt;B18,0)</f>
        <v>1</v>
      </c>
    </row>
    <row r="19" spans="1:7">
      <c r="A19" t="s">
        <v>39</v>
      </c>
      <c r="B19" t="s">
        <v>61</v>
      </c>
      <c r="C19">
        <v>3</v>
      </c>
      <c r="D19">
        <v>0</v>
      </c>
      <c r="E19" t="str" cm="1">
        <f t="array" ref="E19">_xlfn.IFS(C19=D19, ,C19&gt;D19,A19,D19&gt;C19,B19)</f>
        <v>Wolfsberger AC</v>
      </c>
      <c r="F19" cm="1">
        <f t="array" ref="F19">_xlfn.IFS(E19=0,1,E19=A19,3,E19&lt;&gt;A19,0)</f>
        <v>3</v>
      </c>
      <c r="G19" cm="1">
        <f t="array" ref="G19">_xlfn.IFS(E19=0,1,E19=B19,3,E19&lt;&gt;B19,0)</f>
        <v>0</v>
      </c>
    </row>
    <row r="20" spans="1:7">
      <c r="A20" t="s">
        <v>61</v>
      </c>
      <c r="B20" t="s">
        <v>38</v>
      </c>
      <c r="C20">
        <v>0</v>
      </c>
      <c r="D20">
        <v>2</v>
      </c>
      <c r="E20" t="str" cm="1">
        <f t="array" ref="E20">_xlfn.IFS(C20=D20, ,C20&gt;D20,A20,D20&gt;C20,B20)</f>
        <v>Ried</v>
      </c>
      <c r="F20" cm="1">
        <f t="array" ref="F20">_xlfn.IFS(E20=0,1,E20=A20,3,E20&lt;&gt;A20,0)</f>
        <v>0</v>
      </c>
      <c r="G20" cm="1">
        <f t="array" ref="G20">_xlfn.IFS(E20=0,1,E20=B20,3,E20&lt;&gt;B20,0)</f>
        <v>3</v>
      </c>
    </row>
    <row r="21" spans="1:7">
      <c r="A21" t="s">
        <v>29</v>
      </c>
      <c r="B21" t="s">
        <v>50</v>
      </c>
      <c r="C21">
        <v>3</v>
      </c>
      <c r="D21">
        <v>0</v>
      </c>
      <c r="E21" t="str" cm="1">
        <f t="array" ref="E21">_xlfn.IFS(C21=D21, ,C21&gt;D21,A21,D21&gt;C21,B21)</f>
        <v>Salzburg</v>
      </c>
      <c r="F21" cm="1">
        <f t="array" ref="F21">_xlfn.IFS(E21=0,1,E21=A21,3,E21&lt;&gt;A21,0)</f>
        <v>3</v>
      </c>
      <c r="G21" cm="1">
        <f t="array" ref="G21">_xlfn.IFS(E21=0,1,E21=B21,3,E21&lt;&gt;B21,0)</f>
        <v>0</v>
      </c>
    </row>
    <row r="22" spans="1:7">
      <c r="A22" t="s">
        <v>45</v>
      </c>
      <c r="B22" t="s">
        <v>63</v>
      </c>
      <c r="C22">
        <v>1</v>
      </c>
      <c r="D22">
        <v>1</v>
      </c>
      <c r="E22" cm="1">
        <f t="array" ref="E22">_xlfn.IFS(C22=D22, ,C22&gt;D22,A22,D22&gt;C22,B22)</f>
        <v>0</v>
      </c>
      <c r="F22" cm="1">
        <f t="array" ref="F22">_xlfn.IFS(E22=0,1,E22=A22,3,E22&lt;&gt;A22,0)</f>
        <v>1</v>
      </c>
      <c r="G22" cm="1">
        <f t="array" ref="G22">_xlfn.IFS(E22=0,1,E22=B22,3,E22&lt;&gt;B22,0)</f>
        <v>1</v>
      </c>
    </row>
    <row r="23" spans="1:7">
      <c r="A23" t="s">
        <v>40</v>
      </c>
      <c r="B23" t="s">
        <v>52</v>
      </c>
      <c r="C23">
        <v>1</v>
      </c>
      <c r="D23">
        <v>3</v>
      </c>
      <c r="E23" t="str" cm="1">
        <f t="array" ref="E23">_xlfn.IFS(C23=D23, ,C23&gt;D23,A23,D23&gt;C23,B23)</f>
        <v>Hartberg</v>
      </c>
      <c r="F23" cm="1">
        <f t="array" ref="F23">_xlfn.IFS(E23=0,1,E23=A23,3,E23&lt;&gt;A23,0)</f>
        <v>0</v>
      </c>
      <c r="G23" cm="1">
        <f t="array" ref="G23">_xlfn.IFS(E23=0,1,E23=B23,3,E23&lt;&gt;B23,0)</f>
        <v>3</v>
      </c>
    </row>
    <row r="24" spans="1:7">
      <c r="A24" t="s">
        <v>39</v>
      </c>
      <c r="B24" t="s">
        <v>35</v>
      </c>
      <c r="C24">
        <v>1</v>
      </c>
      <c r="D24">
        <v>2</v>
      </c>
      <c r="E24" t="str" cm="1">
        <f t="array" ref="E24">_xlfn.IFS(C24=D24, ,C24&gt;D24,A24,D24&gt;C24,B24)</f>
        <v>SK Rapid</v>
      </c>
      <c r="F24" cm="1">
        <f t="array" ref="F24">_xlfn.IFS(E24=0,1,E24=A24,3,E24&lt;&gt;A24,0)</f>
        <v>0</v>
      </c>
      <c r="G24" cm="1">
        <f t="array" ref="G24">_xlfn.IFS(E24=0,1,E24=B24,3,E24&lt;&gt;B24,0)</f>
        <v>3</v>
      </c>
    </row>
    <row r="25" spans="1:7">
      <c r="A25" t="s">
        <v>50</v>
      </c>
      <c r="B25" t="s">
        <v>38</v>
      </c>
      <c r="C25">
        <v>1</v>
      </c>
      <c r="D25">
        <v>3</v>
      </c>
      <c r="E25" t="str" cm="1">
        <f t="array" ref="E25">_xlfn.IFS(C25=D25, ,C25&gt;D25,A25,D25&gt;C25,B25)</f>
        <v>Ried</v>
      </c>
      <c r="F25" cm="1">
        <f t="array" ref="F25">_xlfn.IFS(E25=0,1,E25=A25,3,E25&lt;&gt;A25,0)</f>
        <v>0</v>
      </c>
      <c r="G25" cm="1">
        <f t="array" ref="G25">_xlfn.IFS(E25=0,1,E25=B25,3,E25&lt;&gt;B25,0)</f>
        <v>3</v>
      </c>
    </row>
    <row r="26" spans="1:7">
      <c r="A26" t="s">
        <v>29</v>
      </c>
      <c r="B26" t="s">
        <v>61</v>
      </c>
      <c r="C26">
        <v>2</v>
      </c>
      <c r="D26">
        <v>2</v>
      </c>
      <c r="E26" cm="1">
        <f t="array" ref="E26">_xlfn.IFS(C26=D26, ,C26&gt;D26,A26,D26&gt;C26,B26)</f>
        <v>0</v>
      </c>
      <c r="F26" cm="1">
        <f t="array" ref="F26">_xlfn.IFS(E26=0,1,E26=A26,3,E26&lt;&gt;A26,0)</f>
        <v>1</v>
      </c>
      <c r="G26" cm="1">
        <f t="array" ref="G26">_xlfn.IFS(E26=0,1,E26=B26,3,E26&lt;&gt;B26,0)</f>
        <v>1</v>
      </c>
    </row>
    <row r="27" spans="1:7">
      <c r="A27" t="s">
        <v>63</v>
      </c>
      <c r="B27" t="s">
        <v>28</v>
      </c>
      <c r="C27">
        <v>0</v>
      </c>
      <c r="D27">
        <v>3</v>
      </c>
      <c r="E27" t="str" cm="1">
        <f t="array" ref="E27">_xlfn.IFS(C27=D27, ,C27&gt;D27,A27,D27&gt;C27,B27)</f>
        <v>Sturm Graz</v>
      </c>
      <c r="F27" cm="1">
        <f t="array" ref="F27">_xlfn.IFS(E27=0,1,E27=A27,3,E27&lt;&gt;A27,0)</f>
        <v>0</v>
      </c>
      <c r="G27" cm="1">
        <f t="array" ref="G27">_xlfn.IFS(E27=0,1,E27=B27,3,E27&lt;&gt;B27,0)</f>
        <v>3</v>
      </c>
    </row>
    <row r="28" spans="1:7">
      <c r="A28" t="s">
        <v>40</v>
      </c>
      <c r="B28" t="s">
        <v>45</v>
      </c>
      <c r="C28">
        <v>1</v>
      </c>
      <c r="D28">
        <v>0</v>
      </c>
      <c r="E28" t="str" cm="1">
        <f t="array" ref="E28">_xlfn.IFS(C28=D28, ,C28&gt;D28,A28,D28&gt;C28,B28)</f>
        <v>Austria Vienna</v>
      </c>
      <c r="F28" cm="1">
        <f t="array" ref="F28">_xlfn.IFS(E28=0,1,E28=A28,3,E28&lt;&gt;A28,0)</f>
        <v>3</v>
      </c>
      <c r="G28" cm="1">
        <f t="array" ref="G28">_xlfn.IFS(E28=0,1,E28=B28,3,E28&lt;&gt;B28,0)</f>
        <v>0</v>
      </c>
    </row>
    <row r="29" spans="1:7">
      <c r="A29" t="s">
        <v>52</v>
      </c>
      <c r="B29" t="s">
        <v>35</v>
      </c>
      <c r="C29">
        <v>0</v>
      </c>
      <c r="D29">
        <v>1</v>
      </c>
      <c r="E29" t="str" cm="1">
        <f t="array" ref="E29">_xlfn.IFS(C29=D29, ,C29&gt;D29,A29,D29&gt;C29,B29)</f>
        <v>SK Rapid</v>
      </c>
      <c r="F29" cm="1">
        <f t="array" ref="F29">_xlfn.IFS(E29=0,1,E29=A29,3,E29&lt;&gt;A29,0)</f>
        <v>0</v>
      </c>
      <c r="G29" cm="1">
        <f t="array" ref="G29">_xlfn.IFS(E29=0,1,E29=B29,3,E29&lt;&gt;B29,0)</f>
        <v>3</v>
      </c>
    </row>
    <row r="30" spans="1:7">
      <c r="A30" t="s">
        <v>54</v>
      </c>
      <c r="B30" t="s">
        <v>39</v>
      </c>
      <c r="C30">
        <v>1</v>
      </c>
      <c r="D30">
        <v>1</v>
      </c>
      <c r="E30" cm="1">
        <f t="array" ref="E30">_xlfn.IFS(C30=D30, ,C30&gt;D30,A30,D30&gt;C30,B30)</f>
        <v>0</v>
      </c>
      <c r="F30" cm="1">
        <f t="array" ref="F30">_xlfn.IFS(E30=0,1,E30=A30,3,E30&lt;&gt;A30,0)</f>
        <v>1</v>
      </c>
      <c r="G30" cm="1">
        <f t="array" ref="G30">_xlfn.IFS(E30=0,1,E30=B30,3,E30&lt;&gt;B30,0)</f>
        <v>1</v>
      </c>
    </row>
    <row r="31" spans="1:7">
      <c r="A31" t="s">
        <v>45</v>
      </c>
      <c r="B31" t="s">
        <v>50</v>
      </c>
      <c r="C31">
        <v>1</v>
      </c>
      <c r="D31">
        <v>0</v>
      </c>
      <c r="E31" t="str" cm="1">
        <f t="array" ref="E31">_xlfn.IFS(C31=D31, ,C31&gt;D31,A31,D31&gt;C31,B31)</f>
        <v>Altach</v>
      </c>
      <c r="F31" cm="1">
        <f t="array" ref="F31">_xlfn.IFS(E31=0,1,E31=A31,3,E31&lt;&gt;A31,0)</f>
        <v>3</v>
      </c>
      <c r="G31" cm="1">
        <f t="array" ref="G31">_xlfn.IFS(E31=0,1,E31=B31,3,E31&lt;&gt;B31,0)</f>
        <v>0</v>
      </c>
    </row>
    <row r="32" spans="1:7">
      <c r="A32" t="s">
        <v>61</v>
      </c>
      <c r="B32" t="s">
        <v>63</v>
      </c>
      <c r="C32">
        <v>3</v>
      </c>
      <c r="D32">
        <v>0</v>
      </c>
      <c r="E32" t="str" cm="1">
        <f t="array" ref="E32">_xlfn.IFS(C32=D32, ,C32&gt;D32,A32,D32&gt;C32,B32)</f>
        <v>BW Linz</v>
      </c>
      <c r="F32" cm="1">
        <f t="array" ref="F32">_xlfn.IFS(E32=0,1,E32=A32,3,E32&lt;&gt;A32,0)</f>
        <v>3</v>
      </c>
      <c r="G32" cm="1">
        <f t="array" ref="G32">_xlfn.IFS(E32=0,1,E32=B32,3,E32&lt;&gt;B32,0)</f>
        <v>0</v>
      </c>
    </row>
    <row r="33" spans="1:7">
      <c r="A33" t="s">
        <v>39</v>
      </c>
      <c r="B33" t="s">
        <v>29</v>
      </c>
      <c r="C33">
        <v>3</v>
      </c>
      <c r="D33">
        <v>1</v>
      </c>
      <c r="E33" t="str" cm="1">
        <f t="array" ref="E33">_xlfn.IFS(C33=D33, ,C33&gt;D33,A33,D33&gt;C33,B33)</f>
        <v>Wolfsberger AC</v>
      </c>
      <c r="F33" cm="1">
        <f t="array" ref="F33">_xlfn.IFS(E33=0,1,E33=A33,3,E33&lt;&gt;A33,0)</f>
        <v>3</v>
      </c>
      <c r="G33" cm="1">
        <f t="array" ref="G33">_xlfn.IFS(E33=0,1,E33=B33,3,E33&lt;&gt;B33,0)</f>
        <v>0</v>
      </c>
    </row>
    <row r="34" spans="1:7">
      <c r="A34" t="s">
        <v>38</v>
      </c>
      <c r="B34" t="s">
        <v>52</v>
      </c>
      <c r="C34">
        <v>0</v>
      </c>
      <c r="D34">
        <v>2</v>
      </c>
      <c r="E34" t="str" cm="1">
        <f t="array" ref="E34">_xlfn.IFS(C34=D34, ,C34&gt;D34,A34,D34&gt;C34,B34)</f>
        <v>Hartberg</v>
      </c>
      <c r="F34" cm="1">
        <f t="array" ref="F34">_xlfn.IFS(E34=0,1,E34=A34,3,E34&lt;&gt;A34,0)</f>
        <v>0</v>
      </c>
      <c r="G34" cm="1">
        <f t="array" ref="G34">_xlfn.IFS(E34=0,1,E34=B34,3,E34&lt;&gt;B34,0)</f>
        <v>3</v>
      </c>
    </row>
    <row r="35" spans="1:7">
      <c r="A35" t="s">
        <v>35</v>
      </c>
      <c r="B35" t="s">
        <v>54</v>
      </c>
      <c r="C35">
        <v>4</v>
      </c>
      <c r="D35">
        <v>1</v>
      </c>
      <c r="E35" t="str" cm="1">
        <f t="array" ref="E35">_xlfn.IFS(C35=D35, ,C35&gt;D35,A35,D35&gt;C35,B35)</f>
        <v>SK Rapid</v>
      </c>
      <c r="F35" cm="1">
        <f t="array" ref="F35">_xlfn.IFS(E35=0,1,E35=A35,3,E35&lt;&gt;A35,0)</f>
        <v>3</v>
      </c>
      <c r="G35" cm="1">
        <f t="array" ref="G35">_xlfn.IFS(E35=0,1,E35=B35,3,E35&lt;&gt;B35,0)</f>
        <v>0</v>
      </c>
    </row>
    <row r="36" spans="1:7">
      <c r="A36" t="s">
        <v>28</v>
      </c>
      <c r="B36" t="s">
        <v>40</v>
      </c>
      <c r="C36">
        <v>0</v>
      </c>
      <c r="D36">
        <v>1</v>
      </c>
      <c r="E36" t="str" cm="1">
        <f t="array" ref="E36">_xlfn.IFS(C36=D36, ,C36&gt;D36,A36,D36&gt;C36,B36)</f>
        <v>Austria Vienna</v>
      </c>
      <c r="F36" cm="1">
        <f t="array" ref="F36">_xlfn.IFS(E36=0,1,E36=A36,3,E36&lt;&gt;A36,0)</f>
        <v>0</v>
      </c>
      <c r="G36" cm="1">
        <f t="array" ref="G36">_xlfn.IFS(E36=0,1,E36=B36,3,E36&lt;&gt;B36,0)</f>
        <v>3</v>
      </c>
    </row>
    <row r="37" spans="1:7">
      <c r="A37" t="s">
        <v>40</v>
      </c>
      <c r="B37" t="s">
        <v>38</v>
      </c>
      <c r="C37">
        <v>3</v>
      </c>
      <c r="D37">
        <v>2</v>
      </c>
      <c r="E37" t="str" cm="1">
        <f t="array" ref="E37">_xlfn.IFS(C37=D37, ,C37&gt;D37,A37,D37&gt;C37,B37)</f>
        <v>Austria Vienna</v>
      </c>
      <c r="F37" cm="1">
        <f t="array" ref="F37">_xlfn.IFS(E37=0,1,E37=A37,3,E37&lt;&gt;A37,0)</f>
        <v>3</v>
      </c>
      <c r="G37" cm="1">
        <f t="array" ref="G37">_xlfn.IFS(E37=0,1,E37=B37,3,E37&lt;&gt;B37,0)</f>
        <v>0</v>
      </c>
    </row>
    <row r="38" spans="1:7">
      <c r="A38" t="s">
        <v>52</v>
      </c>
      <c r="B38" t="s">
        <v>39</v>
      </c>
      <c r="C38">
        <v>2</v>
      </c>
      <c r="D38">
        <v>2</v>
      </c>
      <c r="E38" cm="1">
        <f t="array" ref="E38">_xlfn.IFS(C38=D38, ,C38&gt;D38,A38,D38&gt;C38,B38)</f>
        <v>0</v>
      </c>
      <c r="F38" cm="1">
        <f t="array" ref="F38">_xlfn.IFS(E38=0,1,E38=A38,3,E38&lt;&gt;A38,0)</f>
        <v>1</v>
      </c>
      <c r="G38" cm="1">
        <f t="array" ref="G38">_xlfn.IFS(E38=0,1,E38=B38,3,E38&lt;&gt;B38,0)</f>
        <v>1</v>
      </c>
    </row>
    <row r="39" spans="1:7">
      <c r="A39" t="s">
        <v>29</v>
      </c>
      <c r="B39" t="s">
        <v>28</v>
      </c>
      <c r="C39">
        <v>0</v>
      </c>
      <c r="D39">
        <v>2</v>
      </c>
      <c r="E39" t="str" cm="1">
        <f t="array" ref="E39">_xlfn.IFS(C39=D39, ,C39&gt;D39,A39,D39&gt;C39,B39)</f>
        <v>Sturm Graz</v>
      </c>
      <c r="F39" cm="1">
        <f t="array" ref="F39">_xlfn.IFS(E39=0,1,E39=A39,3,E39&lt;&gt;A39,0)</f>
        <v>0</v>
      </c>
      <c r="G39" cm="1">
        <f t="array" ref="G39">_xlfn.IFS(E39=0,1,E39=B39,3,E39&lt;&gt;B39,0)</f>
        <v>3</v>
      </c>
    </row>
    <row r="40" spans="1:7">
      <c r="A40" t="s">
        <v>45</v>
      </c>
      <c r="B40" t="s">
        <v>54</v>
      </c>
      <c r="C40">
        <v>1</v>
      </c>
      <c r="D40">
        <v>1</v>
      </c>
      <c r="E40" cm="1">
        <f t="array" ref="E40">_xlfn.IFS(C40=D40, ,C40&gt;D40,A40,D40&gt;C40,B40)</f>
        <v>0</v>
      </c>
      <c r="F40" cm="1">
        <f t="array" ref="F40">_xlfn.IFS(E40=0,1,E40=A40,3,E40&lt;&gt;A40,0)</f>
        <v>1</v>
      </c>
      <c r="G40" cm="1">
        <f t="array" ref="G40">_xlfn.IFS(E40=0,1,E40=B40,3,E40&lt;&gt;B40,0)</f>
        <v>1</v>
      </c>
    </row>
    <row r="41" spans="1:7">
      <c r="A41" t="s">
        <v>50</v>
      </c>
      <c r="B41" t="s">
        <v>61</v>
      </c>
      <c r="C41">
        <v>2</v>
      </c>
      <c r="D41">
        <v>0</v>
      </c>
      <c r="E41" t="str" cm="1">
        <f t="array" ref="E41">_xlfn.IFS(C41=D41, ,C41&gt;D41,A41,D41&gt;C41,B41)</f>
        <v>LASK</v>
      </c>
      <c r="F41" cm="1">
        <f t="array" ref="F41">_xlfn.IFS(E41=0,1,E41=A41,3,E41&lt;&gt;A41,0)</f>
        <v>3</v>
      </c>
      <c r="G41" cm="1">
        <f t="array" ref="G41">_xlfn.IFS(E41=0,1,E41=B41,3,E41&lt;&gt;B41,0)</f>
        <v>0</v>
      </c>
    </row>
    <row r="42" spans="1:7">
      <c r="A42" t="s">
        <v>63</v>
      </c>
      <c r="B42" t="s">
        <v>35</v>
      </c>
      <c r="C42">
        <v>1</v>
      </c>
      <c r="D42">
        <v>1</v>
      </c>
      <c r="E42" cm="1">
        <f t="array" ref="E42">_xlfn.IFS(C42=D42, ,C42&gt;D42,A42,D42&gt;C42,B42)</f>
        <v>0</v>
      </c>
      <c r="F42" cm="1">
        <f t="array" ref="F42">_xlfn.IFS(E42=0,1,E42=A42,3,E42&lt;&gt;A42,0)</f>
        <v>1</v>
      </c>
      <c r="G42" cm="1">
        <f t="array" ref="G42">_xlfn.IFS(E42=0,1,E42=B42,3,E42&lt;&gt;B42,0)</f>
        <v>1</v>
      </c>
    </row>
    <row r="43" spans="1:7">
      <c r="A43" t="s">
        <v>61</v>
      </c>
      <c r="B43" t="s">
        <v>45</v>
      </c>
      <c r="C43">
        <v>1</v>
      </c>
      <c r="D43">
        <v>0</v>
      </c>
      <c r="E43" t="str" cm="1">
        <f t="array" ref="E43">_xlfn.IFS(C43=D43, ,C43&gt;D43,A43,D43&gt;C43,B43)</f>
        <v>BW Linz</v>
      </c>
      <c r="F43" cm="1">
        <f t="array" ref="F43">_xlfn.IFS(E43=0,1,E43=A43,3,E43&lt;&gt;A43,0)</f>
        <v>3</v>
      </c>
      <c r="G43" cm="1">
        <f t="array" ref="G43">_xlfn.IFS(E43=0,1,E43=B43,3,E43&lt;&gt;B43,0)</f>
        <v>0</v>
      </c>
    </row>
    <row r="44" spans="1:7">
      <c r="A44" t="s">
        <v>38</v>
      </c>
      <c r="B44" t="s">
        <v>63</v>
      </c>
      <c r="C44">
        <v>0</v>
      </c>
      <c r="D44">
        <v>0</v>
      </c>
      <c r="E44" cm="1">
        <f t="array" ref="E44">_xlfn.IFS(C44=D44, ,C44&gt;D44,A44,D44&gt;C44,B44)</f>
        <v>0</v>
      </c>
      <c r="F44" cm="1">
        <f t="array" ref="F44">_xlfn.IFS(E44=0,1,E44=A44,3,E44&lt;&gt;A44,0)</f>
        <v>1</v>
      </c>
      <c r="G44" cm="1">
        <f t="array" ref="G44">_xlfn.IFS(E44=0,1,E44=B44,3,E44&lt;&gt;B44,0)</f>
        <v>1</v>
      </c>
    </row>
    <row r="45" spans="1:7">
      <c r="A45" t="s">
        <v>39</v>
      </c>
      <c r="B45" t="s">
        <v>50</v>
      </c>
      <c r="C45">
        <v>1</v>
      </c>
      <c r="D45">
        <v>0</v>
      </c>
      <c r="E45" t="str" cm="1">
        <f t="array" ref="E45">_xlfn.IFS(C45=D45, ,C45&gt;D45,A45,D45&gt;C45,B45)</f>
        <v>Wolfsberger AC</v>
      </c>
      <c r="F45" cm="1">
        <f t="array" ref="F45">_xlfn.IFS(E45=0,1,E45=A45,3,E45&lt;&gt;A45,0)</f>
        <v>3</v>
      </c>
      <c r="G45" cm="1">
        <f t="array" ref="G45">_xlfn.IFS(E45=0,1,E45=B45,3,E45&lt;&gt;B45,0)</f>
        <v>0</v>
      </c>
    </row>
    <row r="46" spans="1:7">
      <c r="A46" t="s">
        <v>28</v>
      </c>
      <c r="B46" t="s">
        <v>52</v>
      </c>
      <c r="C46">
        <v>1</v>
      </c>
      <c r="D46">
        <v>0</v>
      </c>
      <c r="E46" t="str" cm="1">
        <f t="array" ref="E46">_xlfn.IFS(C46=D46, ,C46&gt;D46,A46,D46&gt;C46,B46)</f>
        <v>Sturm Graz</v>
      </c>
      <c r="F46" cm="1">
        <f t="array" ref="F46">_xlfn.IFS(E46=0,1,E46=A46,3,E46&lt;&gt;A46,0)</f>
        <v>3</v>
      </c>
      <c r="G46" cm="1">
        <f t="array" ref="G46">_xlfn.IFS(E46=0,1,E46=B46,3,E46&lt;&gt;B46,0)</f>
        <v>0</v>
      </c>
    </row>
    <row r="47" spans="1:7">
      <c r="A47" t="s">
        <v>54</v>
      </c>
      <c r="B47" t="s">
        <v>29</v>
      </c>
      <c r="C47">
        <v>1</v>
      </c>
      <c r="D47">
        <v>2</v>
      </c>
      <c r="E47" t="str" cm="1">
        <f t="array" ref="E47">_xlfn.IFS(C47=D47, ,C47&gt;D47,A47,D47&gt;C47,B47)</f>
        <v>Salzburg</v>
      </c>
      <c r="F47" cm="1">
        <f t="array" ref="F47">_xlfn.IFS(E47=0,1,E47=A47,3,E47&lt;&gt;A47,0)</f>
        <v>0</v>
      </c>
      <c r="G47" cm="1">
        <f t="array" ref="G47">_xlfn.IFS(E47=0,1,E47=B47,3,E47&lt;&gt;B47,0)</f>
        <v>3</v>
      </c>
    </row>
    <row r="48" spans="1:7">
      <c r="A48" t="s">
        <v>35</v>
      </c>
      <c r="B48" t="s">
        <v>40</v>
      </c>
      <c r="C48">
        <v>1</v>
      </c>
      <c r="D48">
        <v>3</v>
      </c>
      <c r="E48" t="str" cm="1">
        <f t="array" ref="E48">_xlfn.IFS(C48=D48, ,C48&gt;D48,A48,D48&gt;C48,B48)</f>
        <v>Austria Vienna</v>
      </c>
      <c r="F48" cm="1">
        <f t="array" ref="F48">_xlfn.IFS(E48=0,1,E48=A48,3,E48&lt;&gt;A48,0)</f>
        <v>0</v>
      </c>
      <c r="G48" cm="1">
        <f t="array" ref="G48">_xlfn.IFS(E48=0,1,E48=B48,3,E48&lt;&gt;B48,0)</f>
        <v>3</v>
      </c>
    </row>
    <row r="49" spans="1:7">
      <c r="A49" t="s">
        <v>40</v>
      </c>
      <c r="B49" t="s">
        <v>61</v>
      </c>
      <c r="C49">
        <v>0</v>
      </c>
      <c r="D49">
        <v>1</v>
      </c>
      <c r="E49" t="str" cm="1">
        <f t="array" ref="E49">_xlfn.IFS(C49=D49, ,C49&gt;D49,A49,D49&gt;C49,B49)</f>
        <v>BW Linz</v>
      </c>
      <c r="F49" cm="1">
        <f t="array" ref="F49">_xlfn.IFS(E49=0,1,E49=A49,3,E49&lt;&gt;A49,0)</f>
        <v>0</v>
      </c>
      <c r="G49" cm="1">
        <f t="array" ref="G49">_xlfn.IFS(E49=0,1,E49=B49,3,E49&lt;&gt;B49,0)</f>
        <v>3</v>
      </c>
    </row>
    <row r="50" spans="1:7">
      <c r="A50" t="s">
        <v>63</v>
      </c>
      <c r="B50" t="s">
        <v>39</v>
      </c>
      <c r="C50">
        <v>1</v>
      </c>
      <c r="D50">
        <v>3</v>
      </c>
      <c r="E50" t="str" cm="1">
        <f t="array" ref="E50">_xlfn.IFS(C50=D50, ,C50&gt;D50,A50,D50&gt;C50,B50)</f>
        <v>Wolfsberger AC</v>
      </c>
      <c r="F50" cm="1">
        <f t="array" ref="F50">_xlfn.IFS(E50=0,1,E50=A50,3,E50&lt;&gt;A50,0)</f>
        <v>0</v>
      </c>
      <c r="G50" cm="1">
        <f t="array" ref="G50">_xlfn.IFS(E50=0,1,E50=B50,3,E50&lt;&gt;B50,0)</f>
        <v>3</v>
      </c>
    </row>
    <row r="51" spans="1:7">
      <c r="A51" t="s">
        <v>38</v>
      </c>
      <c r="B51" t="s">
        <v>54</v>
      </c>
      <c r="C51">
        <v>2</v>
      </c>
      <c r="D51">
        <v>0</v>
      </c>
      <c r="E51" t="str" cm="1">
        <f t="array" ref="E51">_xlfn.IFS(C51=D51, ,C51&gt;D51,A51,D51&gt;C51,B51)</f>
        <v>Ried</v>
      </c>
      <c r="F51" cm="1">
        <f t="array" ref="F51">_xlfn.IFS(E51=0,1,E51=A51,3,E51&lt;&gt;A51,0)</f>
        <v>3</v>
      </c>
      <c r="G51" cm="1">
        <f t="array" ref="G51">_xlfn.IFS(E51=0,1,E51=B51,3,E51&lt;&gt;B51,0)</f>
        <v>0</v>
      </c>
    </row>
    <row r="52" spans="1:7">
      <c r="A52" t="s">
        <v>45</v>
      </c>
      <c r="B52" t="s">
        <v>28</v>
      </c>
      <c r="C52">
        <v>0</v>
      </c>
      <c r="D52">
        <v>2</v>
      </c>
      <c r="E52" t="str" cm="1">
        <f t="array" ref="E52">_xlfn.IFS(C52=D52, ,C52&gt;D52,A52,D52&gt;C52,B52)</f>
        <v>Sturm Graz</v>
      </c>
      <c r="F52" cm="1">
        <f t="array" ref="F52">_xlfn.IFS(E52=0,1,E52=A52,3,E52&lt;&gt;A52,0)</f>
        <v>0</v>
      </c>
      <c r="G52" cm="1">
        <f t="array" ref="G52">_xlfn.IFS(E52=0,1,E52=B52,3,E52&lt;&gt;B52,0)</f>
        <v>3</v>
      </c>
    </row>
    <row r="53" spans="1:7">
      <c r="A53" t="s">
        <v>50</v>
      </c>
      <c r="B53" t="s">
        <v>52</v>
      </c>
      <c r="C53">
        <v>3</v>
      </c>
      <c r="D53">
        <v>3</v>
      </c>
      <c r="E53" cm="1">
        <f t="array" ref="E53">_xlfn.IFS(C53=D53, ,C53&gt;D53,A53,D53&gt;C53,B53)</f>
        <v>0</v>
      </c>
      <c r="F53" cm="1">
        <f t="array" ref="F53">_xlfn.IFS(E53=0,1,E53=A53,3,E53&lt;&gt;A53,0)</f>
        <v>1</v>
      </c>
      <c r="G53" cm="1">
        <f t="array" ref="G53">_xlfn.IFS(E53=0,1,E53=B53,3,E53&lt;&gt;B53,0)</f>
        <v>1</v>
      </c>
    </row>
    <row r="54" spans="1:7">
      <c r="A54" t="s">
        <v>29</v>
      </c>
      <c r="B54" t="s">
        <v>35</v>
      </c>
      <c r="C54">
        <v>2</v>
      </c>
      <c r="D54">
        <v>1</v>
      </c>
      <c r="E54" t="str" cm="1">
        <f t="array" ref="E54">_xlfn.IFS(C54=D54, ,C54&gt;D54,A54,D54&gt;C54,B54)</f>
        <v>Salzburg</v>
      </c>
      <c r="F54" cm="1">
        <f t="array" ref="F54">_xlfn.IFS(E54=0,1,E54=A54,3,E54&lt;&gt;A54,0)</f>
        <v>3</v>
      </c>
      <c r="G54" cm="1">
        <f t="array" ref="G54">_xlfn.IFS(E54=0,1,E54=B54,3,E54&lt;&gt;B54,0)</f>
        <v>0</v>
      </c>
    </row>
    <row r="55" spans="1:7">
      <c r="A55" t="s">
        <v>63</v>
      </c>
      <c r="B55" t="s">
        <v>52</v>
      </c>
      <c r="C55">
        <v>0</v>
      </c>
      <c r="D55">
        <v>0</v>
      </c>
      <c r="E55" cm="1">
        <f t="array" ref="E55">_xlfn.IFS(C55=D55, ,C55&gt;D55,A55,D55&gt;C55,B55)</f>
        <v>0</v>
      </c>
      <c r="F55" cm="1">
        <f t="array" ref="F55">_xlfn.IFS(E55=0,1,E55=A55,3,E55&lt;&gt;A55,0)</f>
        <v>1</v>
      </c>
      <c r="G55" cm="1">
        <f t="array" ref="G55">_xlfn.IFS(E55=0,1,E55=B55,3,E55&lt;&gt;B55,0)</f>
        <v>1</v>
      </c>
    </row>
    <row r="56" spans="1:7">
      <c r="A56" t="s">
        <v>54</v>
      </c>
      <c r="B56" t="s">
        <v>40</v>
      </c>
      <c r="C56">
        <v>2</v>
      </c>
      <c r="D56">
        <v>3</v>
      </c>
      <c r="E56" t="str" cm="1">
        <f t="array" ref="E56">_xlfn.IFS(C56=D56, ,C56&gt;D56,A56,D56&gt;C56,B56)</f>
        <v>Austria Vienna</v>
      </c>
      <c r="F56" cm="1">
        <f t="array" ref="F56">_xlfn.IFS(E56=0,1,E56=A56,3,E56&lt;&gt;A56,0)</f>
        <v>0</v>
      </c>
      <c r="G56" cm="1">
        <f t="array" ref="G56">_xlfn.IFS(E56=0,1,E56=B56,3,E56&lt;&gt;B56,0)</f>
        <v>3</v>
      </c>
    </row>
    <row r="57" spans="1:7">
      <c r="A57" t="s">
        <v>39</v>
      </c>
      <c r="B57" t="s">
        <v>38</v>
      </c>
      <c r="C57">
        <v>1</v>
      </c>
      <c r="D57">
        <v>2</v>
      </c>
      <c r="E57" t="str" cm="1">
        <f t="array" ref="E57">_xlfn.IFS(C57=D57, ,C57&gt;D57,A57,D57&gt;C57,B57)</f>
        <v>Ried</v>
      </c>
      <c r="F57" cm="1">
        <f t="array" ref="F57">_xlfn.IFS(E57=0,1,E57=A57,3,E57&lt;&gt;A57,0)</f>
        <v>0</v>
      </c>
      <c r="G57" cm="1">
        <f t="array" ref="G57">_xlfn.IFS(E57=0,1,E57=B57,3,E57&lt;&gt;B57,0)</f>
        <v>3</v>
      </c>
    </row>
    <row r="58" spans="1:7">
      <c r="A58" t="s">
        <v>61</v>
      </c>
      <c r="B58" t="s">
        <v>28</v>
      </c>
      <c r="C58">
        <v>3</v>
      </c>
      <c r="D58">
        <v>4</v>
      </c>
      <c r="E58" t="str" cm="1">
        <f t="array" ref="E58">_xlfn.IFS(C58=D58, ,C58&gt;D58,A58,D58&gt;C58,B58)</f>
        <v>Sturm Graz</v>
      </c>
      <c r="F58" cm="1">
        <f t="array" ref="F58">_xlfn.IFS(E58=0,1,E58=A58,3,E58&lt;&gt;A58,0)</f>
        <v>0</v>
      </c>
      <c r="G58" cm="1">
        <f t="array" ref="G58">_xlfn.IFS(E58=0,1,E58=B58,3,E58&lt;&gt;B58,0)</f>
        <v>3</v>
      </c>
    </row>
    <row r="59" spans="1:7">
      <c r="A59" t="s">
        <v>29</v>
      </c>
      <c r="B59" t="s">
        <v>45</v>
      </c>
      <c r="C59">
        <v>2</v>
      </c>
      <c r="D59">
        <v>2</v>
      </c>
      <c r="E59" cm="1">
        <f t="array" ref="E59">_xlfn.IFS(C59=D59, ,C59&gt;D59,A59,D59&gt;C59,B59)</f>
        <v>0</v>
      </c>
      <c r="F59" cm="1">
        <f t="array" ref="F59">_xlfn.IFS(E59=0,1,E59=A59,3,E59&lt;&gt;A59,0)</f>
        <v>1</v>
      </c>
      <c r="G59" cm="1">
        <f t="array" ref="G59">_xlfn.IFS(E59=0,1,E59=B59,3,E59&lt;&gt;B59,0)</f>
        <v>1</v>
      </c>
    </row>
    <row r="60" spans="1:7">
      <c r="A60" t="s">
        <v>35</v>
      </c>
      <c r="B60" t="s">
        <v>50</v>
      </c>
      <c r="C60">
        <v>0</v>
      </c>
      <c r="D60">
        <v>2</v>
      </c>
      <c r="E60" t="str" cm="1">
        <f t="array" ref="E60">_xlfn.IFS(C60=D60, ,C60&gt;D60,A60,D60&gt;C60,B60)</f>
        <v>LASK</v>
      </c>
      <c r="F60" cm="1">
        <f t="array" ref="F60">_xlfn.IFS(E60=0,1,E60=A60,3,E60&lt;&gt;A60,0)</f>
        <v>0</v>
      </c>
      <c r="G60" cm="1">
        <f t="array" ref="G60">_xlfn.IFS(E60=0,1,E60=B60,3,E60&lt;&gt;B60,0)</f>
        <v>3</v>
      </c>
    </row>
    <row r="61" spans="1:7">
      <c r="A61" t="s">
        <v>45</v>
      </c>
      <c r="B61" t="s">
        <v>52</v>
      </c>
      <c r="C61">
        <v>2</v>
      </c>
      <c r="D61">
        <v>2</v>
      </c>
      <c r="E61" cm="1">
        <f t="array" ref="E61">_xlfn.IFS(C61=D61, ,C61&gt;D61,A61,D61&gt;C61,B61)</f>
        <v>0</v>
      </c>
      <c r="F61" cm="1">
        <f t="array" ref="F61">_xlfn.IFS(E61=0,1,E61=A61,3,E61&lt;&gt;A61,0)</f>
        <v>1</v>
      </c>
      <c r="G61" cm="1">
        <f t="array" ref="G61">_xlfn.IFS(E61=0,1,E61=B61,3,E61&lt;&gt;B61,0)</f>
        <v>1</v>
      </c>
    </row>
    <row r="62" spans="1:7">
      <c r="A62" t="s">
        <v>50</v>
      </c>
      <c r="B62" t="s">
        <v>63</v>
      </c>
      <c r="C62">
        <v>1</v>
      </c>
      <c r="D62">
        <v>0</v>
      </c>
      <c r="E62" t="str" cm="1">
        <f t="array" ref="E62">_xlfn.IFS(C62=D62, ,C62&gt;D62,A62,D62&gt;C62,B62)</f>
        <v>LASK</v>
      </c>
      <c r="F62" cm="1">
        <f t="array" ref="F62">_xlfn.IFS(E62=0,1,E62=A62,3,E62&lt;&gt;A62,0)</f>
        <v>3</v>
      </c>
      <c r="G62" cm="1">
        <f t="array" ref="G62">_xlfn.IFS(E62=0,1,E62=B62,3,E62&lt;&gt;B62,0)</f>
        <v>0</v>
      </c>
    </row>
    <row r="63" spans="1:7">
      <c r="A63" t="s">
        <v>54</v>
      </c>
      <c r="B63" t="s">
        <v>61</v>
      </c>
      <c r="C63">
        <v>2</v>
      </c>
      <c r="D63">
        <v>0</v>
      </c>
      <c r="E63" t="str" cm="1">
        <f t="array" ref="E63">_xlfn.IFS(C63=D63, ,C63&gt;D63,A63,D63&gt;C63,B63)</f>
        <v>Tirol</v>
      </c>
      <c r="F63" cm="1">
        <f t="array" ref="F63">_xlfn.IFS(E63=0,1,E63=A63,3,E63&lt;&gt;A63,0)</f>
        <v>3</v>
      </c>
      <c r="G63" cm="1">
        <f t="array" ref="G63">_xlfn.IFS(E63=0,1,E63=B63,3,E63&lt;&gt;B63,0)</f>
        <v>0</v>
      </c>
    </row>
    <row r="64" spans="1:7">
      <c r="A64" t="s">
        <v>38</v>
      </c>
      <c r="B64" t="s">
        <v>35</v>
      </c>
      <c r="C64">
        <v>0</v>
      </c>
      <c r="D64">
        <v>2</v>
      </c>
      <c r="E64" t="str" cm="1">
        <f t="array" ref="E64">_xlfn.IFS(C64=D64, ,C64&gt;D64,A64,D64&gt;C64,B64)</f>
        <v>SK Rapid</v>
      </c>
      <c r="F64" cm="1">
        <f t="array" ref="F64">_xlfn.IFS(E64=0,1,E64=A64,3,E64&lt;&gt;A64,0)</f>
        <v>0</v>
      </c>
      <c r="G64" cm="1">
        <f t="array" ref="G64">_xlfn.IFS(E64=0,1,E64=B64,3,E64&lt;&gt;B64,0)</f>
        <v>3</v>
      </c>
    </row>
    <row r="65" spans="1:7">
      <c r="A65" t="s">
        <v>28</v>
      </c>
      <c r="B65" t="s">
        <v>39</v>
      </c>
      <c r="C65">
        <v>1</v>
      </c>
      <c r="D65">
        <v>3</v>
      </c>
      <c r="E65" t="str" cm="1">
        <f t="array" ref="E65">_xlfn.IFS(C65=D65, ,C65&gt;D65,A65,D65&gt;C65,B65)</f>
        <v>Wolfsberger AC</v>
      </c>
      <c r="F65" cm="1">
        <f t="array" ref="F65">_xlfn.IFS(E65=0,1,E65=A65,3,E65&lt;&gt;A65,0)</f>
        <v>0</v>
      </c>
      <c r="G65" cm="1">
        <f t="array" ref="G65">_xlfn.IFS(E65=0,1,E65=B65,3,E65&lt;&gt;B65,0)</f>
        <v>3</v>
      </c>
    </row>
    <row r="66" spans="1:7">
      <c r="A66" t="s">
        <v>40</v>
      </c>
      <c r="B66" t="s">
        <v>29</v>
      </c>
      <c r="C66">
        <v>0</v>
      </c>
      <c r="D66">
        <v>3</v>
      </c>
      <c r="E66" t="str" cm="1">
        <f t="array" ref="E66">_xlfn.IFS(C66=D66, ,C66&gt;D66,A66,D66&gt;C66,B66)</f>
        <v>Salzburg</v>
      </c>
      <c r="F66" cm="1">
        <f t="array" ref="F66">_xlfn.IFS(E66=0,1,E66=A66,3,E66&lt;&gt;A66,0)</f>
        <v>0</v>
      </c>
      <c r="G66" cm="1">
        <f t="array" ref="G66">_xlfn.IFS(E66=0,1,E66=B66,3,E66&lt;&gt;B66,0)</f>
        <v>3</v>
      </c>
    </row>
    <row r="67" spans="1:7">
      <c r="A67" t="s">
        <v>61</v>
      </c>
      <c r="B67" t="s">
        <v>50</v>
      </c>
      <c r="C67">
        <v>0</v>
      </c>
      <c r="D67">
        <v>1</v>
      </c>
      <c r="E67" t="str" cm="1">
        <f t="array" ref="E67">_xlfn.IFS(C67=D67, ,C67&gt;D67,A67,D67&gt;C67,B67)</f>
        <v>LASK</v>
      </c>
      <c r="F67" cm="1">
        <f t="array" ref="F67">_xlfn.IFS(E67=0,1,E67=A67,3,E67&lt;&gt;A67,0)</f>
        <v>0</v>
      </c>
      <c r="G67" cm="1">
        <f t="array" ref="G67">_xlfn.IFS(E67=0,1,E67=B67,3,E67&lt;&gt;B67,0)</f>
        <v>3</v>
      </c>
    </row>
    <row r="68" spans="1:7">
      <c r="A68" t="s">
        <v>63</v>
      </c>
      <c r="B68" t="s">
        <v>45</v>
      </c>
      <c r="C68">
        <v>3</v>
      </c>
      <c r="D68">
        <v>1</v>
      </c>
      <c r="E68" t="str" cm="1">
        <f t="array" ref="E68">_xlfn.IFS(C68=D68, ,C68&gt;D68,A68,D68&gt;C68,B68)</f>
        <v>Grazer AK</v>
      </c>
      <c r="F68" cm="1">
        <f t="array" ref="F68">_xlfn.IFS(E68=0,1,E68=A68,3,E68&lt;&gt;A68,0)</f>
        <v>3</v>
      </c>
      <c r="G68" cm="1">
        <f t="array" ref="G68">_xlfn.IFS(E68=0,1,E68=B68,3,E68&lt;&gt;B68,0)</f>
        <v>0</v>
      </c>
    </row>
    <row r="69" spans="1:7">
      <c r="A69" t="s">
        <v>52</v>
      </c>
      <c r="B69" t="s">
        <v>40</v>
      </c>
      <c r="C69">
        <v>2</v>
      </c>
      <c r="D69">
        <v>1</v>
      </c>
      <c r="E69" t="str" cm="1">
        <f t="array" ref="E69">_xlfn.IFS(C69=D69, ,C69&gt;D69,A69,D69&gt;C69,B69)</f>
        <v>Hartberg</v>
      </c>
      <c r="F69" cm="1">
        <f t="array" ref="F69">_xlfn.IFS(E69=0,1,E69=A69,3,E69&lt;&gt;A69,0)</f>
        <v>3</v>
      </c>
      <c r="G69" cm="1">
        <f t="array" ref="G69">_xlfn.IFS(E69=0,1,E69=B69,3,E69&lt;&gt;B69,0)</f>
        <v>0</v>
      </c>
    </row>
    <row r="70" spans="1:7">
      <c r="A70" t="s">
        <v>29</v>
      </c>
      <c r="B70" t="s">
        <v>38</v>
      </c>
      <c r="C70">
        <v>4</v>
      </c>
      <c r="D70">
        <v>1</v>
      </c>
      <c r="E70" t="str" cm="1">
        <f t="array" ref="E70">_xlfn.IFS(C70=D70, ,C70&gt;D70,A70,D70&gt;C70,B70)</f>
        <v>Salzburg</v>
      </c>
      <c r="F70" cm="1">
        <f t="array" ref="F70">_xlfn.IFS(E70=0,1,E70=A70,3,E70&lt;&gt;A70,0)</f>
        <v>3</v>
      </c>
      <c r="G70" cm="1">
        <f t="array" ref="G70">_xlfn.IFS(E70=0,1,E70=B70,3,E70&lt;&gt;B70,0)</f>
        <v>0</v>
      </c>
    </row>
    <row r="71" spans="1:7">
      <c r="A71" t="s">
        <v>39</v>
      </c>
      <c r="B71" t="s">
        <v>54</v>
      </c>
      <c r="C71">
        <v>0</v>
      </c>
      <c r="D71">
        <v>0</v>
      </c>
      <c r="E71" cm="1">
        <f t="array" ref="E71">_xlfn.IFS(C71=D71, ,C71&gt;D71,A71,D71&gt;C71,B71)</f>
        <v>0</v>
      </c>
      <c r="F71" cm="1">
        <f t="array" ref="F71">_xlfn.IFS(E71=0,1,E71=A71,3,E71&lt;&gt;A71,0)</f>
        <v>1</v>
      </c>
      <c r="G71" cm="1">
        <f t="array" ref="G71">_xlfn.IFS(E71=0,1,E71=B71,3,E71&lt;&gt;B71,0)</f>
        <v>1</v>
      </c>
    </row>
    <row r="72" spans="1:7">
      <c r="A72" t="s">
        <v>35</v>
      </c>
      <c r="B72" t="s">
        <v>28</v>
      </c>
      <c r="C72">
        <v>2</v>
      </c>
      <c r="D72">
        <v>1</v>
      </c>
      <c r="E72" t="str" cm="1">
        <f t="array" ref="E72">_xlfn.IFS(C72=D72, ,C72&gt;D72,A72,D72&gt;C72,B72)</f>
        <v>SK Rapid</v>
      </c>
      <c r="F72" cm="1">
        <f t="array" ref="F72">_xlfn.IFS(E72=0,1,E72=A72,3,E72&lt;&gt;A72,0)</f>
        <v>3</v>
      </c>
      <c r="G72" cm="1">
        <f t="array" ref="G72">_xlfn.IFS(E72=0,1,E72=B72,3,E72&lt;&gt;B72,0)</f>
        <v>0</v>
      </c>
    </row>
    <row r="73" spans="1:7">
      <c r="A73" t="s">
        <v>40</v>
      </c>
      <c r="B73" t="s">
        <v>63</v>
      </c>
      <c r="C73">
        <v>2</v>
      </c>
      <c r="D73">
        <v>1</v>
      </c>
      <c r="E73" t="str" cm="1">
        <f t="array" ref="E73">_xlfn.IFS(C73=D73, ,C73&gt;D73,A73,D73&gt;C73,B73)</f>
        <v>Austria Vienna</v>
      </c>
      <c r="F73" cm="1">
        <f t="array" ref="F73">_xlfn.IFS(E73=0,1,E73=A73,3,E73&lt;&gt;A73,0)</f>
        <v>3</v>
      </c>
      <c r="G73" cm="1">
        <f t="array" ref="G73">_xlfn.IFS(E73=0,1,E73=B73,3,E73&lt;&gt;B73,0)</f>
        <v>0</v>
      </c>
    </row>
    <row r="74" spans="1:7">
      <c r="A74" t="s">
        <v>38</v>
      </c>
      <c r="B74" t="s">
        <v>61</v>
      </c>
      <c r="C74">
        <v>2</v>
      </c>
      <c r="D74">
        <v>1</v>
      </c>
      <c r="E74" t="str" cm="1">
        <f t="array" ref="E74">_xlfn.IFS(C74=D74, ,C74&gt;D74,A74,D74&gt;C74,B74)</f>
        <v>Ried</v>
      </c>
      <c r="F74" cm="1">
        <f t="array" ref="F74">_xlfn.IFS(E74=0,1,E74=A74,3,E74&lt;&gt;A74,0)</f>
        <v>3</v>
      </c>
      <c r="G74" cm="1">
        <f t="array" ref="G74">_xlfn.IFS(E74=0,1,E74=B74,3,E74&lt;&gt;B74,0)</f>
        <v>0</v>
      </c>
    </row>
    <row r="75" spans="1:7">
      <c r="A75" t="s">
        <v>39</v>
      </c>
      <c r="B75" t="s">
        <v>52</v>
      </c>
      <c r="C75">
        <v>1</v>
      </c>
      <c r="D75">
        <v>2</v>
      </c>
      <c r="E75" t="str" cm="1">
        <f t="array" ref="E75">_xlfn.IFS(C75=D75, ,C75&gt;D75,A75,D75&gt;C75,B75)</f>
        <v>Hartberg</v>
      </c>
      <c r="F75" cm="1">
        <f t="array" ref="F75">_xlfn.IFS(E75=0,1,E75=A75,3,E75&lt;&gt;A75,0)</f>
        <v>0</v>
      </c>
      <c r="G75" cm="1">
        <f t="array" ref="G75">_xlfn.IFS(E75=0,1,E75=B75,3,E75&lt;&gt;B75,0)</f>
        <v>3</v>
      </c>
    </row>
    <row r="76" spans="1:7">
      <c r="A76" t="s">
        <v>50</v>
      </c>
      <c r="B76" t="s">
        <v>45</v>
      </c>
      <c r="C76">
        <v>1</v>
      </c>
      <c r="D76">
        <v>0</v>
      </c>
      <c r="E76" t="str" cm="1">
        <f t="array" ref="E76">_xlfn.IFS(C76=D76, ,C76&gt;D76,A76,D76&gt;C76,B76)</f>
        <v>LASK</v>
      </c>
      <c r="F76" cm="1">
        <f t="array" ref="F76">_xlfn.IFS(E76=0,1,E76=A76,3,E76&lt;&gt;A76,0)</f>
        <v>3</v>
      </c>
      <c r="G76" cm="1">
        <f t="array" ref="G76">_xlfn.IFS(E76=0,1,E76=B76,3,E76&lt;&gt;B76,0)</f>
        <v>0</v>
      </c>
    </row>
    <row r="77" spans="1:7">
      <c r="A77" t="s">
        <v>54</v>
      </c>
      <c r="B77" t="s">
        <v>35</v>
      </c>
      <c r="C77">
        <v>1</v>
      </c>
      <c r="D77">
        <v>1</v>
      </c>
      <c r="E77" cm="1">
        <f t="array" ref="E77">_xlfn.IFS(C77=D77, ,C77&gt;D77,A77,D77&gt;C77,B77)</f>
        <v>0</v>
      </c>
      <c r="F77" cm="1">
        <f t="array" ref="F77">_xlfn.IFS(E77=0,1,E77=A77,3,E77&lt;&gt;A77,0)</f>
        <v>1</v>
      </c>
      <c r="G77" cm="1">
        <f t="array" ref="G77">_xlfn.IFS(E77=0,1,E77=B77,3,E77&lt;&gt;B77,0)</f>
        <v>1</v>
      </c>
    </row>
    <row r="78" spans="1:7">
      <c r="A78" t="s">
        <v>28</v>
      </c>
      <c r="B78" t="s">
        <v>29</v>
      </c>
      <c r="C78">
        <v>1</v>
      </c>
      <c r="D78">
        <v>1</v>
      </c>
      <c r="E78" cm="1">
        <f t="array" ref="E78">_xlfn.IFS(C78=D78, ,C78&gt;D78,A78,D78&gt;C78,B78)</f>
        <v>0</v>
      </c>
      <c r="F78" cm="1">
        <f t="array" ref="F78">_xlfn.IFS(E78=0,1,E78=A78,3,E78&lt;&gt;A78,0)</f>
        <v>1</v>
      </c>
      <c r="G78" cm="1">
        <f t="array" ref="G78">_xlfn.IFS(E78=0,1,E78=B78,3,E78&lt;&gt;B78,0)</f>
        <v>1</v>
      </c>
    </row>
    <row r="79" spans="1:7">
      <c r="A79" t="s">
        <v>45</v>
      </c>
      <c r="B79" t="s">
        <v>39</v>
      </c>
      <c r="C79">
        <v>3</v>
      </c>
      <c r="D79">
        <v>1</v>
      </c>
      <c r="E79" t="str" cm="1">
        <f t="array" ref="E79">_xlfn.IFS(C79=D79, ,C79&gt;D79,A79,D79&gt;C79,B79)</f>
        <v>Altach</v>
      </c>
      <c r="F79" cm="1">
        <f t="array" ref="F79">_xlfn.IFS(E79=0,1,E79=A79,3,E79&lt;&gt;A79,0)</f>
        <v>3</v>
      </c>
      <c r="G79" cm="1">
        <f t="array" ref="G79">_xlfn.IFS(E79=0,1,E79=B79,3,E79&lt;&gt;B79,0)</f>
        <v>0</v>
      </c>
    </row>
    <row r="80" spans="1:7">
      <c r="A80" t="s">
        <v>61</v>
      </c>
      <c r="B80" t="s">
        <v>40</v>
      </c>
      <c r="C80">
        <v>2</v>
      </c>
      <c r="D80">
        <v>3</v>
      </c>
      <c r="E80" t="str" cm="1">
        <f t="array" ref="E80">_xlfn.IFS(C80=D80, ,C80&gt;D80,A80,D80&gt;C80,B80)</f>
        <v>Austria Vienna</v>
      </c>
      <c r="F80" cm="1">
        <f t="array" ref="F80">_xlfn.IFS(E80=0,1,E80=A80,3,E80&lt;&gt;A80,0)</f>
        <v>0</v>
      </c>
      <c r="G80" cm="1">
        <f t="array" ref="G80">_xlfn.IFS(E80=0,1,E80=B80,3,E80&lt;&gt;B80,0)</f>
        <v>3</v>
      </c>
    </row>
    <row r="81" spans="1:7">
      <c r="A81" t="s">
        <v>52</v>
      </c>
      <c r="B81" t="s">
        <v>38</v>
      </c>
      <c r="C81">
        <v>2</v>
      </c>
      <c r="D81">
        <v>0</v>
      </c>
      <c r="E81" t="str" cm="1">
        <f t="array" ref="E81">_xlfn.IFS(C81=D81, ,C81&gt;D81,A81,D81&gt;C81,B81)</f>
        <v>Hartberg</v>
      </c>
      <c r="F81" cm="1">
        <f t="array" ref="F81">_xlfn.IFS(E81=0,1,E81=A81,3,E81&lt;&gt;A81,0)</f>
        <v>3</v>
      </c>
      <c r="G81" cm="1">
        <f t="array" ref="G81">_xlfn.IFS(E81=0,1,E81=B81,3,E81&lt;&gt;B81,0)</f>
        <v>0</v>
      </c>
    </row>
    <row r="82" spans="1:7">
      <c r="A82" t="s">
        <v>29</v>
      </c>
      <c r="B82" t="s">
        <v>54</v>
      </c>
      <c r="C82">
        <v>2</v>
      </c>
      <c r="D82">
        <v>3</v>
      </c>
      <c r="E82" t="str" cm="1">
        <f t="array" ref="E82">_xlfn.IFS(C82=D82, ,C82&gt;D82,A82,D82&gt;C82,B82)</f>
        <v>Tirol</v>
      </c>
      <c r="F82" cm="1">
        <f t="array" ref="F82">_xlfn.IFS(E82=0,1,E82=A82,3,E82&lt;&gt;A82,0)</f>
        <v>0</v>
      </c>
      <c r="G82" cm="1">
        <f t="array" ref="G82">_xlfn.IFS(E82=0,1,E82=B82,3,E82&lt;&gt;B82,0)</f>
        <v>3</v>
      </c>
    </row>
    <row r="83" spans="1:7">
      <c r="A83" t="s">
        <v>28</v>
      </c>
      <c r="B83" t="s">
        <v>50</v>
      </c>
      <c r="C83">
        <v>1</v>
      </c>
      <c r="D83">
        <v>3</v>
      </c>
      <c r="E83" t="str" cm="1">
        <f t="array" ref="E83">_xlfn.IFS(C83=D83, ,C83&gt;D83,A83,D83&gt;C83,B83)</f>
        <v>LASK</v>
      </c>
      <c r="F83" cm="1">
        <f t="array" ref="F83">_xlfn.IFS(E83=0,1,E83=A83,3,E83&lt;&gt;A83,0)</f>
        <v>0</v>
      </c>
      <c r="G83" cm="1">
        <f t="array" ref="G83">_xlfn.IFS(E83=0,1,E83=B83,3,E83&lt;&gt;B83,0)</f>
        <v>3</v>
      </c>
    </row>
    <row r="84" spans="1:7">
      <c r="A84" t="s">
        <v>35</v>
      </c>
      <c r="B84" t="s">
        <v>63</v>
      </c>
      <c r="C84">
        <v>1</v>
      </c>
      <c r="D84">
        <v>2</v>
      </c>
      <c r="E84" t="str" cm="1">
        <f t="array" ref="E84">_xlfn.IFS(C84=D84, ,C84&gt;D84,A84,D84&gt;C84,B84)</f>
        <v>Grazer AK</v>
      </c>
      <c r="F84" cm="1">
        <f t="array" ref="F84">_xlfn.IFS(E84=0,1,E84=A84,3,E84&lt;&gt;A84,0)</f>
        <v>0</v>
      </c>
      <c r="G84" cm="1">
        <f t="array" ref="G84">_xlfn.IFS(E84=0,1,E84=B84,3,E84&lt;&gt;B84,0)</f>
        <v>3</v>
      </c>
    </row>
    <row r="85" spans="1:7">
      <c r="A85" t="s">
        <v>40</v>
      </c>
      <c r="B85" t="s">
        <v>54</v>
      </c>
      <c r="C85">
        <v>0</v>
      </c>
      <c r="D85">
        <v>0</v>
      </c>
      <c r="E85" cm="1">
        <f t="array" ref="E85">_xlfn.IFS(C85=D85, ,C85&gt;D85,A85,D85&gt;C85,B85)</f>
        <v>0</v>
      </c>
      <c r="F85" cm="1">
        <f t="array" ref="F85">_xlfn.IFS(E85=0,1,E85=A85,3,E85&lt;&gt;A85,0)</f>
        <v>1</v>
      </c>
      <c r="G85" cm="1">
        <f t="array" ref="G85">_xlfn.IFS(E85=0,1,E85=B85,3,E85&lt;&gt;B85,0)</f>
        <v>1</v>
      </c>
    </row>
    <row r="86" spans="1:7">
      <c r="A86" t="s">
        <v>63</v>
      </c>
      <c r="B86" t="s">
        <v>61</v>
      </c>
      <c r="C86">
        <v>3</v>
      </c>
      <c r="D86">
        <v>1</v>
      </c>
      <c r="E86" t="str" cm="1">
        <f t="array" ref="E86">_xlfn.IFS(C86=D86, ,C86&gt;D86,A86,D86&gt;C86,B86)</f>
        <v>Grazer AK</v>
      </c>
      <c r="F86" cm="1">
        <f t="array" ref="F86">_xlfn.IFS(E86=0,1,E86=A86,3,E86&lt;&gt;A86,0)</f>
        <v>3</v>
      </c>
      <c r="G86" cm="1">
        <f t="array" ref="G86">_xlfn.IFS(E86=0,1,E86=B86,3,E86&lt;&gt;B86,0)</f>
        <v>0</v>
      </c>
    </row>
    <row r="87" spans="1:7">
      <c r="A87" t="s">
        <v>38</v>
      </c>
      <c r="B87" t="s">
        <v>39</v>
      </c>
      <c r="C87">
        <v>1</v>
      </c>
      <c r="D87">
        <v>0</v>
      </c>
      <c r="E87" t="str" cm="1">
        <f t="array" ref="E87">_xlfn.IFS(C87=D87, ,C87&gt;D87,A87,D87&gt;C87,B87)</f>
        <v>Ried</v>
      </c>
      <c r="F87" cm="1">
        <f t="array" ref="F87">_xlfn.IFS(E87=0,1,E87=A87,3,E87&lt;&gt;A87,0)</f>
        <v>3</v>
      </c>
      <c r="G87" cm="1">
        <f t="array" ref="G87">_xlfn.IFS(E87=0,1,E87=B87,3,E87&lt;&gt;B87,0)</f>
        <v>0</v>
      </c>
    </row>
    <row r="88" spans="1:7">
      <c r="A88" t="s">
        <v>45</v>
      </c>
      <c r="B88" t="s">
        <v>29</v>
      </c>
      <c r="C88">
        <v>1</v>
      </c>
      <c r="D88">
        <v>1</v>
      </c>
      <c r="E88" cm="1">
        <f t="array" ref="E88">_xlfn.IFS(C88=D88, ,C88&gt;D88,A88,D88&gt;C88,B88)</f>
        <v>0</v>
      </c>
      <c r="F88" cm="1">
        <f t="array" ref="F88">_xlfn.IFS(E88=0,1,E88=A88,3,E88&lt;&gt;A88,0)</f>
        <v>1</v>
      </c>
      <c r="G88" cm="1">
        <f t="array" ref="G88">_xlfn.IFS(E88=0,1,E88=B88,3,E88&lt;&gt;B88,0)</f>
        <v>1</v>
      </c>
    </row>
    <row r="89" spans="1:7">
      <c r="A89" t="s">
        <v>52</v>
      </c>
      <c r="B89" t="s">
        <v>28</v>
      </c>
      <c r="C89">
        <v>0</v>
      </c>
      <c r="D89">
        <v>1</v>
      </c>
      <c r="E89" t="str" cm="1">
        <f t="array" ref="E89">_xlfn.IFS(C89=D89, ,C89&gt;D89,A89,D89&gt;C89,B89)</f>
        <v>Sturm Graz</v>
      </c>
      <c r="F89" cm="1">
        <f t="array" ref="F89">_xlfn.IFS(E89=0,1,E89=A89,3,E89&lt;&gt;A89,0)</f>
        <v>0</v>
      </c>
      <c r="G89" cm="1">
        <f t="array" ref="G89">_xlfn.IFS(E89=0,1,E89=B89,3,E89&lt;&gt;B89,0)</f>
        <v>3</v>
      </c>
    </row>
    <row r="90" spans="1:7">
      <c r="A90" t="s">
        <v>50</v>
      </c>
      <c r="B90" t="s">
        <v>35</v>
      </c>
      <c r="C90">
        <v>3</v>
      </c>
      <c r="D90">
        <v>0</v>
      </c>
      <c r="E90" t="str" cm="1">
        <f t="array" ref="E90">_xlfn.IFS(C90=D90, ,C90&gt;D90,A90,D90&gt;C90,B90)</f>
        <v>LASK</v>
      </c>
      <c r="F90" cm="1">
        <f t="array" ref="F90">_xlfn.IFS(E90=0,1,E90=A90,3,E90&lt;&gt;A90,0)</f>
        <v>3</v>
      </c>
      <c r="G90" cm="1">
        <f t="array" ref="G90">_xlfn.IFS(E90=0,1,E90=B90,3,E90&lt;&gt;B90,0)</f>
        <v>0</v>
      </c>
    </row>
    <row r="91" spans="1:7">
      <c r="A91" t="s">
        <v>28</v>
      </c>
      <c r="B91" t="s">
        <v>54</v>
      </c>
      <c r="C91">
        <v>1</v>
      </c>
      <c r="D91">
        <v>3</v>
      </c>
      <c r="E91" t="str" cm="1">
        <f t="array" ref="E91">_xlfn.IFS(C91=D91, ,C91&gt;D91,A91,D91&gt;C91,B91)</f>
        <v>Tirol</v>
      </c>
      <c r="F91" cm="1">
        <f t="array" ref="F91">_xlfn.IFS(E91=0,1,E91=A91,3,E91&lt;&gt;A91,0)</f>
        <v>0</v>
      </c>
      <c r="G91" cm="1">
        <f t="array" ref="G91">_xlfn.IFS(E91=0,1,E91=B91,3,E91&lt;&gt;B91,0)</f>
        <v>3</v>
      </c>
    </row>
    <row r="92" spans="1:7">
      <c r="A92" t="s">
        <v>61</v>
      </c>
      <c r="B92" t="s">
        <v>29</v>
      </c>
      <c r="C92">
        <v>0</v>
      </c>
      <c r="D92">
        <v>2</v>
      </c>
      <c r="E92" t="str" cm="1">
        <f t="array" ref="E92">_xlfn.IFS(C92=D92, ,C92&gt;D92,A92,D92&gt;C92,B92)</f>
        <v>Salzburg</v>
      </c>
      <c r="F92" cm="1">
        <f t="array" ref="F92">_xlfn.IFS(E92=0,1,E92=A92,3,E92&lt;&gt;A92,0)</f>
        <v>0</v>
      </c>
      <c r="G92" cm="1">
        <f t="array" ref="G92">_xlfn.IFS(E92=0,1,E92=B92,3,E92&lt;&gt;B92,0)</f>
        <v>3</v>
      </c>
    </row>
    <row r="93" spans="1:7">
      <c r="A93" t="s">
        <v>52</v>
      </c>
      <c r="B93" t="s">
        <v>50</v>
      </c>
      <c r="C93">
        <v>2</v>
      </c>
      <c r="D93">
        <v>2</v>
      </c>
      <c r="E93" cm="1">
        <f t="array" ref="E93">_xlfn.IFS(C93=D93, ,C93&gt;D93,A93,D93&gt;C93,B93)</f>
        <v>0</v>
      </c>
      <c r="F93" cm="1">
        <f t="array" ref="F93">_xlfn.IFS(E93=0,1,E93=A93,3,E93&lt;&gt;A93,0)</f>
        <v>1</v>
      </c>
      <c r="G93" cm="1">
        <f t="array" ref="G93">_xlfn.IFS(E93=0,1,E93=B93,3,E93&lt;&gt;B93,0)</f>
        <v>1</v>
      </c>
    </row>
    <row r="94" spans="1:7">
      <c r="A94" t="s">
        <v>35</v>
      </c>
      <c r="B94" t="s">
        <v>38</v>
      </c>
      <c r="C94">
        <v>1</v>
      </c>
      <c r="D94">
        <v>2</v>
      </c>
      <c r="E94" t="str" cm="1">
        <f t="array" ref="E94">_xlfn.IFS(C94=D94, ,C94&gt;D94,A94,D94&gt;C94,B94)</f>
        <v>Ried</v>
      </c>
      <c r="F94" cm="1">
        <f t="array" ref="F94">_xlfn.IFS(E94=0,1,E94=A94,3,E94&lt;&gt;A94,0)</f>
        <v>0</v>
      </c>
      <c r="G94" cm="1">
        <f t="array" ref="G94">_xlfn.IFS(E94=0,1,E94=B94,3,E94&lt;&gt;B94,0)</f>
        <v>3</v>
      </c>
    </row>
    <row r="95" spans="1:7">
      <c r="A95" t="s">
        <v>54</v>
      </c>
      <c r="B95" t="s">
        <v>45</v>
      </c>
      <c r="C95">
        <v>0</v>
      </c>
      <c r="D95">
        <v>3</v>
      </c>
      <c r="E95" t="str" cm="1">
        <f t="array" ref="E95">_xlfn.IFS(C95=D95, ,C95&gt;D95,A95,D95&gt;C95,B95)</f>
        <v>Altach</v>
      </c>
      <c r="F95" cm="1">
        <f t="array" ref="F95">_xlfn.IFS(E95=0,1,E95=A95,3,E95&lt;&gt;A95,0)</f>
        <v>0</v>
      </c>
      <c r="G95" cm="1">
        <f t="array" ref="G95">_xlfn.IFS(E95=0,1,E95=B95,3,E95&lt;&gt;B95,0)</f>
        <v>3</v>
      </c>
    </row>
    <row r="96" spans="1:7">
      <c r="A96" t="s">
        <v>39</v>
      </c>
      <c r="B96" t="s">
        <v>40</v>
      </c>
      <c r="C96">
        <v>2</v>
      </c>
      <c r="D96">
        <v>1</v>
      </c>
      <c r="E96" t="str" cm="1">
        <f t="array" ref="E96">_xlfn.IFS(C96=D96, ,C96&gt;D96,A96,D96&gt;C96,B96)</f>
        <v>Wolfsberger AC</v>
      </c>
      <c r="F96" cm="1">
        <f t="array" ref="F96">_xlfn.IFS(E96=0,1,E96=A96,3,E96&lt;&gt;A96,0)</f>
        <v>3</v>
      </c>
      <c r="G96" cm="1">
        <f t="array" ref="G96">_xlfn.IFS(E96=0,1,E96=B96,3,E96&lt;&gt;B96,0)</f>
        <v>0</v>
      </c>
    </row>
    <row r="97" spans="1:7">
      <c r="A97" t="s">
        <v>28</v>
      </c>
      <c r="B97" t="s">
        <v>63</v>
      </c>
      <c r="C97">
        <v>2</v>
      </c>
      <c r="D97">
        <v>1</v>
      </c>
      <c r="E97" t="str" cm="1">
        <f t="array" ref="E97">_xlfn.IFS(C97=D97, ,C97&gt;D97,A97,D97&gt;C97,B97)</f>
        <v>Sturm Graz</v>
      </c>
      <c r="F97" cm="1">
        <f t="array" ref="F97">_xlfn.IFS(E97=0,1,E97=A97,3,E97&lt;&gt;A97,0)</f>
        <v>3</v>
      </c>
      <c r="G97" cm="1">
        <f t="array" ref="G97">_xlfn.IFS(E97=0,1,E97=B97,3,E97&lt;&gt;B97,0)</f>
        <v>0</v>
      </c>
    </row>
    <row r="98" spans="1:7">
      <c r="A98" t="s">
        <v>63</v>
      </c>
      <c r="B98" t="s">
        <v>50</v>
      </c>
      <c r="C98">
        <v>1</v>
      </c>
      <c r="D98">
        <v>2</v>
      </c>
      <c r="E98" t="str" cm="1">
        <f t="array" ref="E98">_xlfn.IFS(C98=D98, ,C98&gt;D98,A98,D98&gt;C98,B98)</f>
        <v>LASK</v>
      </c>
      <c r="F98" cm="1">
        <f t="array" ref="F98">_xlfn.IFS(E98=0,1,E98=A98,3,E98&lt;&gt;A98,0)</f>
        <v>0</v>
      </c>
      <c r="G98" cm="1">
        <f t="array" ref="G98">_xlfn.IFS(E98=0,1,E98=B98,3,E98&lt;&gt;B98,0)</f>
        <v>3</v>
      </c>
    </row>
    <row r="99" spans="1:7">
      <c r="A99" t="s">
        <v>52</v>
      </c>
      <c r="B99" t="s">
        <v>54</v>
      </c>
      <c r="C99">
        <v>2</v>
      </c>
      <c r="D99">
        <v>1</v>
      </c>
      <c r="E99" t="str" cm="1">
        <f t="array" ref="E99">_xlfn.IFS(C99=D99, ,C99&gt;D99,A99,D99&gt;C99,B99)</f>
        <v>Hartberg</v>
      </c>
      <c r="F99" cm="1">
        <f t="array" ref="F99">_xlfn.IFS(E99=0,1,E99=A99,3,E99&lt;&gt;A99,0)</f>
        <v>3</v>
      </c>
      <c r="G99" cm="1">
        <f t="array" ref="G99">_xlfn.IFS(E99=0,1,E99=B99,3,E99&lt;&gt;B99,0)</f>
        <v>0</v>
      </c>
    </row>
    <row r="100" spans="1:7">
      <c r="A100" t="s">
        <v>38</v>
      </c>
      <c r="B100" t="s">
        <v>45</v>
      </c>
      <c r="C100">
        <v>3</v>
      </c>
      <c r="D100">
        <v>0</v>
      </c>
      <c r="E100" t="str" cm="1">
        <f t="array" ref="E100">_xlfn.IFS(C100=D100, ,C100&gt;D100,A100,D100&gt;C100,B100)</f>
        <v>Ried</v>
      </c>
      <c r="F100" cm="1">
        <f t="array" ref="F100">_xlfn.IFS(E100=0,1,E100=A100,3,E100&lt;&gt;A100,0)</f>
        <v>3</v>
      </c>
      <c r="G100" cm="1">
        <f t="array" ref="G100">_xlfn.IFS(E100=0,1,E100=B100,3,E100&lt;&gt;B100,0)</f>
        <v>0</v>
      </c>
    </row>
    <row r="101" spans="1:7">
      <c r="A101" t="s">
        <v>61</v>
      </c>
      <c r="B101" t="s">
        <v>35</v>
      </c>
      <c r="C101">
        <v>1</v>
      </c>
      <c r="D101">
        <v>1</v>
      </c>
      <c r="E101" cm="1">
        <f t="array" ref="E101">_xlfn.IFS(C101=D101, ,C101&gt;D101,A101,D101&gt;C101,B101)</f>
        <v>0</v>
      </c>
      <c r="F101" cm="1">
        <f t="array" ref="F101">_xlfn.IFS(E101=0,1,E101=A101,3,E101&lt;&gt;A101,0)</f>
        <v>1</v>
      </c>
      <c r="G101" cm="1">
        <f t="array" ref="G101">_xlfn.IFS(E101=0,1,E101=B101,3,E101&lt;&gt;B101,0)</f>
        <v>1</v>
      </c>
    </row>
    <row r="102" spans="1:7">
      <c r="A102" t="s">
        <v>29</v>
      </c>
      <c r="B102" t="s">
        <v>39</v>
      </c>
      <c r="C102">
        <v>2</v>
      </c>
      <c r="D102">
        <v>1</v>
      </c>
      <c r="E102" t="str" cm="1">
        <f t="array" ref="E102">_xlfn.IFS(C102=D102, ,C102&gt;D102,A102,D102&gt;C102,B102)</f>
        <v>Salzburg</v>
      </c>
      <c r="F102" cm="1">
        <f t="array" ref="F102">_xlfn.IFS(E102=0,1,E102=A102,3,E102&lt;&gt;A102,0)</f>
        <v>3</v>
      </c>
      <c r="G102" cm="1">
        <f t="array" ref="G102">_xlfn.IFS(E102=0,1,E102=B102,3,E102&lt;&gt;B102,0)</f>
        <v>0</v>
      </c>
    </row>
    <row r="103" spans="1:7">
      <c r="A103" t="s">
        <v>40</v>
      </c>
      <c r="B103" t="s">
        <v>28</v>
      </c>
      <c r="C103">
        <v>3</v>
      </c>
      <c r="D103">
        <v>1</v>
      </c>
      <c r="E103" t="str" cm="1">
        <f t="array" ref="E103">_xlfn.IFS(C103=D103, ,C103&gt;D103,A103,D103&gt;C103,B103)</f>
        <v>Austria Vienna</v>
      </c>
      <c r="F103" cm="1">
        <f t="array" ref="F103">_xlfn.IFS(E103=0,1,E103=A103,3,E103&lt;&gt;A103,0)</f>
        <v>3</v>
      </c>
      <c r="G103" cm="1">
        <f t="array" ref="G103">_xlfn.IFS(E103=0,1,E103=B103,3,E103&lt;&gt;B103,0)</f>
        <v>0</v>
      </c>
    </row>
    <row r="104" spans="1:7">
      <c r="A104" t="s">
        <v>29</v>
      </c>
      <c r="B104" t="s">
        <v>40</v>
      </c>
      <c r="C104">
        <v>0</v>
      </c>
      <c r="D104">
        <v>2</v>
      </c>
      <c r="E104" t="str" cm="1">
        <f t="array" ref="E104">_xlfn.IFS(C104=D104, ,C104&gt;D104,A104,D104&gt;C104,B104)</f>
        <v>Austria Vienna</v>
      </c>
      <c r="F104" cm="1">
        <f t="array" ref="F104">_xlfn.IFS(E104=0,1,E104=A104,3,E104&lt;&gt;A104,0)</f>
        <v>0</v>
      </c>
      <c r="G104" cm="1">
        <f t="array" ref="G104">_xlfn.IFS(E104=0,1,E104=B104,3,E104&lt;&gt;B104,0)</f>
        <v>3</v>
      </c>
    </row>
    <row r="105" spans="1:7">
      <c r="A105" t="s">
        <v>50</v>
      </c>
      <c r="B105" t="s">
        <v>54</v>
      </c>
      <c r="C105">
        <v>1</v>
      </c>
      <c r="D105">
        <v>0</v>
      </c>
      <c r="E105" t="str" cm="1">
        <f t="array" ref="E105">_xlfn.IFS(C105=D105, ,C105&gt;D105,A105,D105&gt;C105,B105)</f>
        <v>LASK</v>
      </c>
      <c r="F105" cm="1">
        <f t="array" ref="F105">_xlfn.IFS(E105=0,1,E105=A105,3,E105&lt;&gt;A105,0)</f>
        <v>3</v>
      </c>
      <c r="G105" cm="1">
        <f t="array" ref="G105">_xlfn.IFS(E105=0,1,E105=B105,3,E105&lt;&gt;B105,0)</f>
        <v>0</v>
      </c>
    </row>
    <row r="106" spans="1:7">
      <c r="A106" t="s">
        <v>35</v>
      </c>
      <c r="B106" t="s">
        <v>52</v>
      </c>
      <c r="C106">
        <v>1</v>
      </c>
      <c r="D106">
        <v>1</v>
      </c>
      <c r="E106" cm="1">
        <f t="array" ref="E106">_xlfn.IFS(C106=D106, ,C106&gt;D106,A106,D106&gt;C106,B106)</f>
        <v>0</v>
      </c>
      <c r="F106" cm="1">
        <f t="array" ref="F106">_xlfn.IFS(E106=0,1,E106=A106,3,E106&lt;&gt;A106,0)</f>
        <v>1</v>
      </c>
      <c r="G106" cm="1">
        <f t="array" ref="G106">_xlfn.IFS(E106=0,1,E106=B106,3,E106&lt;&gt;B106,0)</f>
        <v>1</v>
      </c>
    </row>
    <row r="107" spans="1:7">
      <c r="A107" t="s">
        <v>45</v>
      </c>
      <c r="B107" t="s">
        <v>61</v>
      </c>
      <c r="C107">
        <v>1</v>
      </c>
      <c r="D107">
        <v>0</v>
      </c>
      <c r="E107" t="str" cm="1">
        <f t="array" ref="E107">_xlfn.IFS(C107=D107, ,C107&gt;D107,A107,D107&gt;C107,B107)</f>
        <v>Altach</v>
      </c>
      <c r="F107" cm="1">
        <f t="array" ref="F107">_xlfn.IFS(E107=0,1,E107=A107,3,E107&lt;&gt;A107,0)</f>
        <v>3</v>
      </c>
      <c r="G107" cm="1">
        <f t="array" ref="G107">_xlfn.IFS(E107=0,1,E107=B107,3,E107&lt;&gt;B107,0)</f>
        <v>0</v>
      </c>
    </row>
    <row r="108" spans="1:7">
      <c r="A108" t="s">
        <v>39</v>
      </c>
      <c r="B108" t="s">
        <v>63</v>
      </c>
      <c r="C108">
        <v>2</v>
      </c>
      <c r="D108">
        <v>2</v>
      </c>
      <c r="E108" cm="1">
        <f t="array" ref="E108">_xlfn.IFS(C108=D108, ,C108&gt;D108,A108,D108&gt;C108,B108)</f>
        <v>0</v>
      </c>
      <c r="F108" cm="1">
        <f t="array" ref="F108">_xlfn.IFS(E108=0,1,E108=A108,3,E108&lt;&gt;A108,0)</f>
        <v>1</v>
      </c>
      <c r="G108" cm="1">
        <f t="array" ref="G108">_xlfn.IFS(E108=0,1,E108=B108,3,E108&lt;&gt;B108,0)</f>
        <v>1</v>
      </c>
    </row>
    <row r="109" spans="1:7">
      <c r="A109" t="s">
        <v>28</v>
      </c>
      <c r="B109" t="s">
        <v>38</v>
      </c>
      <c r="C109">
        <v>1</v>
      </c>
      <c r="D109">
        <v>0</v>
      </c>
      <c r="E109" t="str" cm="1">
        <f t="array" ref="E109">_xlfn.IFS(C109=D109, ,C109&gt;D109,A109,D109&gt;C109,B109)</f>
        <v>Sturm Graz</v>
      </c>
      <c r="F109" cm="1">
        <f t="array" ref="F109">_xlfn.IFS(E109=0,1,E109=A109,3,E109&lt;&gt;A109,0)</f>
        <v>3</v>
      </c>
      <c r="G109" cm="1">
        <f t="array" ref="G109">_xlfn.IFS(E109=0,1,E109=B109,3,E109&lt;&gt;B109,0)</f>
        <v>0</v>
      </c>
    </row>
    <row r="110" spans="1:7">
      <c r="A110" t="s">
        <v>52</v>
      </c>
      <c r="B110" t="s">
        <v>45</v>
      </c>
      <c r="C110">
        <v>0</v>
      </c>
      <c r="D110">
        <v>0</v>
      </c>
      <c r="E110" cm="1">
        <f t="array" ref="E110">_xlfn.IFS(C110=D110, ,C110&gt;D110,A110,D110&gt;C110,B110)</f>
        <v>0</v>
      </c>
      <c r="F110" cm="1">
        <f t="array" ref="F110">_xlfn.IFS(E110=0,1,E110=A110,3,E110&lt;&gt;A110,0)</f>
        <v>1</v>
      </c>
      <c r="G110" cm="1">
        <f t="array" ref="G110">_xlfn.IFS(E110=0,1,E110=B110,3,E110&lt;&gt;B110,0)</f>
        <v>1</v>
      </c>
    </row>
    <row r="111" spans="1:7">
      <c r="A111" t="s">
        <v>38</v>
      </c>
      <c r="B111" t="s">
        <v>50</v>
      </c>
      <c r="C111">
        <v>1</v>
      </c>
      <c r="D111">
        <v>1</v>
      </c>
      <c r="E111" cm="1">
        <f t="array" ref="E111">_xlfn.IFS(C111=D111, ,C111&gt;D111,A111,D111&gt;C111,B111)</f>
        <v>0</v>
      </c>
      <c r="F111" cm="1">
        <f t="array" ref="F111">_xlfn.IFS(E111=0,1,E111=A111,3,E111&lt;&gt;A111,0)</f>
        <v>1</v>
      </c>
      <c r="G111" cm="1">
        <f t="array" ref="G111">_xlfn.IFS(E111=0,1,E111=B111,3,E111&lt;&gt;B111,0)</f>
        <v>1</v>
      </c>
    </row>
    <row r="112" spans="1:7">
      <c r="A112" t="s">
        <v>54</v>
      </c>
      <c r="B112" t="s">
        <v>28</v>
      </c>
      <c r="C112">
        <v>1</v>
      </c>
      <c r="D112">
        <v>0</v>
      </c>
      <c r="E112" t="str" cm="1">
        <f t="array" ref="E112">_xlfn.IFS(C112=D112, ,C112&gt;D112,A112,D112&gt;C112,B112)</f>
        <v>Tirol</v>
      </c>
      <c r="F112" cm="1">
        <f t="array" ref="F112">_xlfn.IFS(E112=0,1,E112=A112,3,E112&lt;&gt;A112,0)</f>
        <v>3</v>
      </c>
      <c r="G112" cm="1">
        <f t="array" ref="G112">_xlfn.IFS(E112=0,1,E112=B112,3,E112&lt;&gt;B112,0)</f>
        <v>0</v>
      </c>
    </row>
    <row r="113" spans="1:7">
      <c r="A113" t="s">
        <v>61</v>
      </c>
      <c r="B113" t="s">
        <v>39</v>
      </c>
      <c r="C113">
        <v>2</v>
      </c>
      <c r="D113">
        <v>1</v>
      </c>
      <c r="E113" t="str" cm="1">
        <f t="array" ref="E113">_xlfn.IFS(C113=D113, ,C113&gt;D113,A113,D113&gt;C113,B113)</f>
        <v>BW Linz</v>
      </c>
      <c r="F113" cm="1">
        <f t="array" ref="F113">_xlfn.IFS(E113=0,1,E113=A113,3,E113&lt;&gt;A113,0)</f>
        <v>3</v>
      </c>
      <c r="G113" cm="1">
        <f t="array" ref="G113">_xlfn.IFS(E113=0,1,E113=B113,3,E113&lt;&gt;B113,0)</f>
        <v>0</v>
      </c>
    </row>
    <row r="114" spans="1:7">
      <c r="A114" t="s">
        <v>63</v>
      </c>
      <c r="B114" t="s">
        <v>29</v>
      </c>
      <c r="C114">
        <v>1</v>
      </c>
      <c r="D114">
        <v>1</v>
      </c>
      <c r="E114" cm="1">
        <f t="array" ref="E114">_xlfn.IFS(C114=D114, ,C114&gt;D114,A114,D114&gt;C114,B114)</f>
        <v>0</v>
      </c>
      <c r="F114" cm="1">
        <f t="array" ref="F114">_xlfn.IFS(E114=0,1,E114=A114,3,E114&lt;&gt;A114,0)</f>
        <v>1</v>
      </c>
      <c r="G114" cm="1">
        <f t="array" ref="G114">_xlfn.IFS(E114=0,1,E114=B114,3,E114&lt;&gt;B114,0)</f>
        <v>1</v>
      </c>
    </row>
    <row r="115" spans="1:7">
      <c r="A115" t="s">
        <v>40</v>
      </c>
      <c r="B115" t="s">
        <v>35</v>
      </c>
      <c r="C115">
        <v>2</v>
      </c>
      <c r="D115">
        <v>0</v>
      </c>
      <c r="E115" t="str" cm="1">
        <f t="array" ref="E115">_xlfn.IFS(C115=D115, ,C115&gt;D115,A115,D115&gt;C115,B115)</f>
        <v>Austria Vienna</v>
      </c>
      <c r="F115" cm="1">
        <f t="array" ref="F115">_xlfn.IFS(E115=0,1,E115=A115,3,E115&lt;&gt;A115,0)</f>
        <v>3</v>
      </c>
      <c r="G115" cm="1">
        <f t="array" ref="G115">_xlfn.IFS(E115=0,1,E115=B115,3,E115&lt;&gt;B115,0)</f>
        <v>0</v>
      </c>
    </row>
    <row r="116" spans="1:7">
      <c r="A116" t="s">
        <v>45</v>
      </c>
      <c r="B116" t="s">
        <v>40</v>
      </c>
      <c r="C116">
        <v>2</v>
      </c>
      <c r="D116">
        <v>1</v>
      </c>
      <c r="E116" t="str" cm="1">
        <f t="array" ref="E116">_xlfn.IFS(C116=D116, ,C116&gt;D116,A116,D116&gt;C116,B116)</f>
        <v>Altach</v>
      </c>
      <c r="F116" cm="1">
        <f t="array" ref="F116">_xlfn.IFS(E116=0,1,E116=A116,3,E116&lt;&gt;A116,0)</f>
        <v>3</v>
      </c>
      <c r="G116" cm="1">
        <f t="array" ref="G116">_xlfn.IFS(E116=0,1,E116=B116,3,E116&lt;&gt;B116,0)</f>
        <v>0</v>
      </c>
    </row>
    <row r="117" spans="1:7">
      <c r="A117" t="s">
        <v>52</v>
      </c>
      <c r="B117" t="s">
        <v>63</v>
      </c>
      <c r="C117">
        <v>1</v>
      </c>
      <c r="D117">
        <v>0</v>
      </c>
      <c r="E117" t="str" cm="1">
        <f t="array" ref="E117">_xlfn.IFS(C117=D117, ,C117&gt;D117,A117,D117&gt;C117,B117)</f>
        <v>Hartberg</v>
      </c>
      <c r="F117" cm="1">
        <f t="array" ref="F117">_xlfn.IFS(E117=0,1,E117=A117,3,E117&lt;&gt;A117,0)</f>
        <v>3</v>
      </c>
      <c r="G117" cm="1">
        <f t="array" ref="G117">_xlfn.IFS(E117=0,1,E117=B117,3,E117&lt;&gt;B117,0)</f>
        <v>0</v>
      </c>
    </row>
    <row r="118" spans="1:7">
      <c r="A118" t="s">
        <v>35</v>
      </c>
      <c r="B118" t="s">
        <v>39</v>
      </c>
      <c r="C118">
        <v>2</v>
      </c>
      <c r="D118">
        <v>0</v>
      </c>
      <c r="E118" t="str" cm="1">
        <f t="array" ref="E118">_xlfn.IFS(C118=D118, ,C118&gt;D118,A118,D118&gt;C118,B118)</f>
        <v>SK Rapid</v>
      </c>
      <c r="F118" cm="1">
        <f t="array" ref="F118">_xlfn.IFS(E118=0,1,E118=A118,3,E118&lt;&gt;A118,0)</f>
        <v>3</v>
      </c>
      <c r="G118" cm="1">
        <f t="array" ref="G118">_xlfn.IFS(E118=0,1,E118=B118,3,E118&lt;&gt;B118,0)</f>
        <v>0</v>
      </c>
    </row>
    <row r="119" spans="1:7">
      <c r="A119" t="s">
        <v>28</v>
      </c>
      <c r="B119" t="s">
        <v>61</v>
      </c>
      <c r="C119">
        <v>1</v>
      </c>
      <c r="D119">
        <v>0</v>
      </c>
      <c r="E119" t="str" cm="1">
        <f t="array" ref="E119">_xlfn.IFS(C119=D119, ,C119&gt;D119,A119,D119&gt;C119,B119)</f>
        <v>Sturm Graz</v>
      </c>
      <c r="F119" cm="1">
        <f t="array" ref="F119">_xlfn.IFS(E119=0,1,E119=A119,3,E119&lt;&gt;A119,0)</f>
        <v>3</v>
      </c>
      <c r="G119" cm="1">
        <f t="array" ref="G119">_xlfn.IFS(E119=0,1,E119=B119,3,E119&lt;&gt;B119,0)</f>
        <v>0</v>
      </c>
    </row>
    <row r="120" spans="1:7">
      <c r="A120" t="s">
        <v>54</v>
      </c>
      <c r="B120" t="s">
        <v>38</v>
      </c>
      <c r="C120">
        <v>1</v>
      </c>
      <c r="D120">
        <v>1</v>
      </c>
      <c r="E120" cm="1">
        <f t="array" ref="E120">_xlfn.IFS(C120=D120, ,C120&gt;D120,A120,D120&gt;C120,B120)</f>
        <v>0</v>
      </c>
      <c r="F120" cm="1">
        <f t="array" ref="F120">_xlfn.IFS(E120=0,1,E120=A120,3,E120&lt;&gt;A120,0)</f>
        <v>1</v>
      </c>
      <c r="G120" cm="1">
        <f t="array" ref="G120">_xlfn.IFS(E120=0,1,E120=B120,3,E120&lt;&gt;B120,0)</f>
        <v>1</v>
      </c>
    </row>
    <row r="121" spans="1:7">
      <c r="A121" t="s">
        <v>50</v>
      </c>
      <c r="B121" t="s">
        <v>29</v>
      </c>
      <c r="C121">
        <v>1</v>
      </c>
      <c r="D121">
        <v>5</v>
      </c>
      <c r="E121" t="str" cm="1">
        <f t="array" ref="E121">_xlfn.IFS(C121=D121, ,C121&gt;D121,A121,D121&gt;C121,B121)</f>
        <v>Salzburg</v>
      </c>
      <c r="F121" cm="1">
        <f t="array" ref="F121">_xlfn.IFS(E121=0,1,E121=A121,3,E121&lt;&gt;A121,0)</f>
        <v>0</v>
      </c>
      <c r="G121" cm="1">
        <f t="array" ref="G121">_xlfn.IFS(E121=0,1,E121=B121,3,E121&lt;&gt;B121,0)</f>
        <v>3</v>
      </c>
    </row>
    <row r="122" spans="1:7">
      <c r="A122" t="s">
        <v>45</v>
      </c>
      <c r="B122" t="s">
        <v>35</v>
      </c>
      <c r="C122">
        <v>1</v>
      </c>
      <c r="D122">
        <v>1</v>
      </c>
      <c r="E122" cm="1">
        <f t="array" ref="E122">_xlfn.IFS(C122=D122, ,C122&gt;D122,A122,D122&gt;C122,B122)</f>
        <v>0</v>
      </c>
      <c r="F122" cm="1">
        <f t="array" ref="F122">_xlfn.IFS(E122=0,1,E122=A122,3,E122&lt;&gt;A122,0)</f>
        <v>1</v>
      </c>
      <c r="G122" cm="1">
        <f t="array" ref="G122">_xlfn.IFS(E122=0,1,E122=B122,3,E122&lt;&gt;B122,0)</f>
        <v>1</v>
      </c>
    </row>
    <row r="123" spans="1:7">
      <c r="A123" t="s">
        <v>40</v>
      </c>
      <c r="B123" t="s">
        <v>50</v>
      </c>
      <c r="C123">
        <v>2</v>
      </c>
      <c r="D123">
        <v>2</v>
      </c>
      <c r="E123" cm="1">
        <f t="array" ref="E123">_xlfn.IFS(C123=D123, ,C123&gt;D123,A123,D123&gt;C123,B123)</f>
        <v>0</v>
      </c>
      <c r="F123" cm="1">
        <f t="array" ref="F123">_xlfn.IFS(E123=0,1,E123=A123,3,E123&lt;&gt;A123,0)</f>
        <v>1</v>
      </c>
      <c r="G123" cm="1">
        <f t="array" ref="G123">_xlfn.IFS(E123=0,1,E123=B123,3,E123&lt;&gt;B123,0)</f>
        <v>1</v>
      </c>
    </row>
    <row r="124" spans="1:7">
      <c r="A124" t="s">
        <v>61</v>
      </c>
      <c r="B124" t="s">
        <v>54</v>
      </c>
      <c r="C124">
        <v>2</v>
      </c>
      <c r="D124">
        <v>3</v>
      </c>
      <c r="E124" t="str" cm="1">
        <f t="array" ref="E124">_xlfn.IFS(C124=D124, ,C124&gt;D124,A124,D124&gt;C124,B124)</f>
        <v>Tirol</v>
      </c>
      <c r="F124" cm="1">
        <f t="array" ref="F124">_xlfn.IFS(E124=0,1,E124=A124,3,E124&lt;&gt;A124,0)</f>
        <v>0</v>
      </c>
      <c r="G124" cm="1">
        <f t="array" ref="G124">_xlfn.IFS(E124=0,1,E124=B124,3,E124&lt;&gt;B124,0)</f>
        <v>3</v>
      </c>
    </row>
    <row r="125" spans="1:7">
      <c r="A125" t="s">
        <v>63</v>
      </c>
      <c r="B125" t="s">
        <v>38</v>
      </c>
      <c r="C125">
        <v>2</v>
      </c>
      <c r="D125">
        <v>1</v>
      </c>
      <c r="E125" t="str" cm="1">
        <f t="array" ref="E125">_xlfn.IFS(C125=D125, ,C125&gt;D125,A125,D125&gt;C125,B125)</f>
        <v>Grazer AK</v>
      </c>
      <c r="F125" cm="1">
        <f t="array" ref="F125">_xlfn.IFS(E125=0,1,E125=A125,3,E125&lt;&gt;A125,0)</f>
        <v>3</v>
      </c>
      <c r="G125" cm="1">
        <f t="array" ref="G125">_xlfn.IFS(E125=0,1,E125=B125,3,E125&lt;&gt;B125,0)</f>
        <v>0</v>
      </c>
    </row>
    <row r="126" spans="1:7">
      <c r="A126" t="s">
        <v>29</v>
      </c>
      <c r="B126" t="s">
        <v>52</v>
      </c>
      <c r="C126">
        <v>0</v>
      </c>
      <c r="D126">
        <v>0</v>
      </c>
      <c r="E126" cm="1">
        <f t="array" ref="E126">_xlfn.IFS(C126=D126, ,C126&gt;D126,A126,D126&gt;C126,B126)</f>
        <v>0</v>
      </c>
      <c r="F126" cm="1">
        <f t="array" ref="F126">_xlfn.IFS(E126=0,1,E126=A126,3,E126&lt;&gt;A126,0)</f>
        <v>1</v>
      </c>
      <c r="G126" cm="1">
        <f t="array" ref="G126">_xlfn.IFS(E126=0,1,E126=B126,3,E126&lt;&gt;B126,0)</f>
        <v>1</v>
      </c>
    </row>
    <row r="127" spans="1:7">
      <c r="A127" t="s">
        <v>39</v>
      </c>
      <c r="B127" t="s">
        <v>28</v>
      </c>
      <c r="C127">
        <v>2</v>
      </c>
      <c r="D127">
        <v>2</v>
      </c>
      <c r="E127" cm="1">
        <f t="array" ref="E127">_xlfn.IFS(C127=D127, ,C127&gt;D127,A127,D127&gt;C127,B127)</f>
        <v>0</v>
      </c>
      <c r="F127" cm="1">
        <f t="array" ref="F127">_xlfn.IFS(E127=0,1,E127=A127,3,E127&lt;&gt;A127,0)</f>
        <v>1</v>
      </c>
      <c r="G127" cm="1">
        <f t="array" ref="G127">_xlfn.IFS(E127=0,1,E127=B127,3,E127&lt;&gt;B127,0)</f>
        <v>1</v>
      </c>
    </row>
    <row r="128" spans="1:7">
      <c r="A128" t="s">
        <v>52</v>
      </c>
      <c r="B128" t="s">
        <v>61</v>
      </c>
      <c r="C128">
        <v>1</v>
      </c>
      <c r="D128">
        <v>1</v>
      </c>
      <c r="E128" cm="1">
        <f t="array" ref="E128">_xlfn.IFS(C128=D128, ,C128&gt;D128,A128,D128&gt;C128,B128)</f>
        <v>0</v>
      </c>
      <c r="F128" cm="1">
        <f t="array" ref="F128">_xlfn.IFS(E128=0,1,E128=A128,3,E128&lt;&gt;A128,0)</f>
        <v>1</v>
      </c>
      <c r="G128" cm="1">
        <f t="array" ref="G128">_xlfn.IFS(E128=0,1,E128=B128,3,E128&lt;&gt;B128,0)</f>
        <v>1</v>
      </c>
    </row>
    <row r="129" spans="1:7">
      <c r="A129" t="s">
        <v>50</v>
      </c>
      <c r="B129" t="s">
        <v>39</v>
      </c>
      <c r="C129">
        <v>3</v>
      </c>
      <c r="D129">
        <v>1</v>
      </c>
      <c r="E129" t="str" cm="1">
        <f t="array" ref="E129">_xlfn.IFS(C129=D129, ,C129&gt;D129,A129,D129&gt;C129,B129)</f>
        <v>LASK</v>
      </c>
      <c r="F129" cm="1">
        <f t="array" ref="F129">_xlfn.IFS(E129=0,1,E129=A129,3,E129&lt;&gt;A129,0)</f>
        <v>3</v>
      </c>
      <c r="G129" cm="1">
        <f t="array" ref="G129">_xlfn.IFS(E129=0,1,E129=B129,3,E129&lt;&gt;B129,0)</f>
        <v>0</v>
      </c>
    </row>
    <row r="130" spans="1:7">
      <c r="A130" t="s">
        <v>38</v>
      </c>
      <c r="B130" t="s">
        <v>40</v>
      </c>
      <c r="C130">
        <v>0</v>
      </c>
      <c r="D130">
        <v>2</v>
      </c>
      <c r="E130" t="str" cm="1">
        <f t="array" ref="E130">_xlfn.IFS(C130=D130, ,C130&gt;D130,A130,D130&gt;C130,B130)</f>
        <v>Austria Vienna</v>
      </c>
      <c r="F130" cm="1">
        <f t="array" ref="F130">_xlfn.IFS(E130=0,1,E130=A130,3,E130&lt;&gt;A130,0)</f>
        <v>0</v>
      </c>
      <c r="G130" cm="1">
        <f t="array" ref="G130">_xlfn.IFS(E130=0,1,E130=B130,3,E130&lt;&gt;B130,0)</f>
        <v>3</v>
      </c>
    </row>
    <row r="131" spans="1:7">
      <c r="A131" t="s">
        <v>35</v>
      </c>
      <c r="B131" t="s">
        <v>29</v>
      </c>
      <c r="C131">
        <v>1</v>
      </c>
      <c r="D131">
        <v>0</v>
      </c>
      <c r="E131" t="str" cm="1">
        <f t="array" ref="E131">_xlfn.IFS(C131=D131, ,C131&gt;D131,A131,D131&gt;C131,B131)</f>
        <v>SK Rapid</v>
      </c>
      <c r="F131" cm="1">
        <f t="array" ref="F131">_xlfn.IFS(E131=0,1,E131=A131,3,E131&lt;&gt;A131,0)</f>
        <v>3</v>
      </c>
      <c r="G131" cm="1">
        <f t="array" ref="G131">_xlfn.IFS(E131=0,1,E131=B131,3,E131&lt;&gt;B131,0)</f>
        <v>0</v>
      </c>
    </row>
    <row r="132" spans="1:7">
      <c r="A132" t="s">
        <v>28</v>
      </c>
      <c r="B132" t="s">
        <v>45</v>
      </c>
      <c r="C132">
        <v>2</v>
      </c>
      <c r="D132">
        <v>0</v>
      </c>
      <c r="E132" t="str" cm="1">
        <f t="array" ref="E132">_xlfn.IFS(C132=D132, ,C132&gt;D132,A132,D132&gt;C132,B132)</f>
        <v>Sturm Graz</v>
      </c>
      <c r="F132" cm="1">
        <f t="array" ref="F132">_xlfn.IFS(E132=0,1,E132=A132,3,E132&lt;&gt;A132,0)</f>
        <v>3</v>
      </c>
      <c r="G132" cm="1">
        <f t="array" ref="G132">_xlfn.IFS(E132=0,1,E132=B132,3,E132&lt;&gt;B132,0)</f>
        <v>0</v>
      </c>
    </row>
    <row r="133" spans="1:7">
      <c r="A133" t="s">
        <v>54</v>
      </c>
      <c r="B133" t="s">
        <v>63</v>
      </c>
      <c r="C133">
        <v>2</v>
      </c>
      <c r="D133">
        <v>0</v>
      </c>
      <c r="E133" t="str" cm="1">
        <f t="array" ref="E133">_xlfn.IFS(C133=D133, ,C133&gt;D133,A133,D133&gt;C133,B133)</f>
        <v>Tirol</v>
      </c>
      <c r="F133" cm="1">
        <f t="array" ref="F133">_xlfn.IFS(E133=0,1,E133=A133,3,E133&lt;&gt;A133,0)</f>
        <v>3</v>
      </c>
      <c r="G133" cm="1">
        <f t="array" ref="G133">_xlfn.IFS(E133=0,1,E133=B133,3,E133&lt;&gt;B133,0)</f>
        <v>0</v>
      </c>
    </row>
    <row r="134" spans="1:7">
      <c r="A134" t="s">
        <v>50</v>
      </c>
      <c r="B134" t="s">
        <v>52</v>
      </c>
      <c r="C134">
        <v>0</v>
      </c>
      <c r="D134">
        <v>0</v>
      </c>
      <c r="E134" cm="1">
        <f t="array" ref="E134">_xlfn.IFS(C134=D134, ,C134&gt;D134,A134,D134&gt;C134,B134)</f>
        <v>0</v>
      </c>
      <c r="F134" cm="1">
        <f t="array" ref="F134">_xlfn.IFS(E134=0,1,E134=A134,3,E134&lt;&gt;A134,0)</f>
        <v>1</v>
      </c>
      <c r="G134" cm="1">
        <f t="array" ref="G134">_xlfn.IFS(E134=0,1,E134=B134,3,E134&lt;&gt;B134,0)</f>
        <v>1</v>
      </c>
    </row>
    <row r="135" spans="1:7">
      <c r="A135" t="s">
        <v>45</v>
      </c>
      <c r="B135" t="s">
        <v>61</v>
      </c>
      <c r="C135">
        <v>3</v>
      </c>
      <c r="D135">
        <v>1</v>
      </c>
      <c r="E135" t="str" cm="1">
        <f t="array" ref="E135">_xlfn.IFS(C135=D135, ,C135&gt;D135,A135,D135&gt;C135,B135)</f>
        <v>Altach</v>
      </c>
      <c r="F135" cm="1">
        <f t="array" ref="F135">_xlfn.IFS(E135=0,1,E135=A135,3,E135&lt;&gt;A135,0)</f>
        <v>3</v>
      </c>
      <c r="G135" cm="1">
        <f t="array" ref="G135">_xlfn.IFS(E135=0,1,E135=B135,3,E135&lt;&gt;B135,0)</f>
        <v>0</v>
      </c>
    </row>
    <row r="136" spans="1:7">
      <c r="A136" t="s">
        <v>63</v>
      </c>
      <c r="B136" t="s">
        <v>39</v>
      </c>
      <c r="C136">
        <v>2</v>
      </c>
      <c r="D136">
        <v>0</v>
      </c>
      <c r="E136" t="str" cm="1">
        <f t="array" ref="E136">_xlfn.IFS(C136=D136, ,C136&gt;D136,A136,D136&gt;C136,B136)</f>
        <v>Grazer AK</v>
      </c>
      <c r="F136" cm="1">
        <f t="array" ref="F136">_xlfn.IFS(E136=0,1,E136=A136,3,E136&lt;&gt;A136,0)</f>
        <v>3</v>
      </c>
      <c r="G136" cm="1">
        <f t="array" ref="G136">_xlfn.IFS(E136=0,1,E136=B136,3,E136&lt;&gt;B136,0)</f>
        <v>0</v>
      </c>
    </row>
    <row r="137" spans="1:7">
      <c r="A137" t="s">
        <v>38</v>
      </c>
      <c r="B137" t="s">
        <v>54</v>
      </c>
      <c r="C137">
        <v>2</v>
      </c>
      <c r="D137">
        <v>1</v>
      </c>
      <c r="E137" t="str" cm="1">
        <f t="array" ref="E137">_xlfn.IFS(C137=D137, ,C137&gt;D137,A137,D137&gt;C137,B137)</f>
        <v>Ried</v>
      </c>
      <c r="F137" cm="1">
        <f t="array" ref="F137">_xlfn.IFS(E137=0,1,E137=A137,3,E137&lt;&gt;A137,0)</f>
        <v>3</v>
      </c>
      <c r="G137" cm="1">
        <f t="array" ref="G137">_xlfn.IFS(E137=0,1,E137=B137,3,E137&lt;&gt;B137,0)</f>
        <v>0</v>
      </c>
    </row>
    <row r="138" spans="1:7">
      <c r="A138" t="s">
        <v>29</v>
      </c>
      <c r="B138" t="s">
        <v>35</v>
      </c>
      <c r="C138">
        <v>0</v>
      </c>
      <c r="D138">
        <v>1</v>
      </c>
      <c r="E138" t="str" cm="1">
        <f t="array" ref="E138">_xlfn.IFS(C138=D138, ,C138&gt;D138,A138,D138&gt;C138,B138)</f>
        <v>SK Rapid</v>
      </c>
      <c r="F138" cm="1">
        <f t="array" ref="F138">_xlfn.IFS(E138=0,1,E138=A138,3,E138&lt;&gt;A138,0)</f>
        <v>0</v>
      </c>
      <c r="G138" cm="1">
        <f t="array" ref="G138">_xlfn.IFS(E138=0,1,E138=B138,3,E138&lt;&gt;B138,0)</f>
        <v>3</v>
      </c>
    </row>
    <row r="139" spans="1:7">
      <c r="A139" t="s">
        <v>40</v>
      </c>
      <c r="B139" t="s">
        <v>28</v>
      </c>
      <c r="C139">
        <v>2</v>
      </c>
      <c r="D139">
        <v>5</v>
      </c>
      <c r="E139" t="str" cm="1">
        <f t="array" ref="E139">_xlfn.IFS(C139=D139, ,C139&gt;D139,A139,D139&gt;C139,B139)</f>
        <v>Sturm Graz</v>
      </c>
      <c r="F139" cm="1">
        <f t="array" ref="F139">_xlfn.IFS(E139=0,1,E139=A139,3,E139&lt;&gt;A139,0)</f>
        <v>0</v>
      </c>
      <c r="G139" cm="1">
        <f t="array" ref="G139">_xlfn.IFS(E139=0,1,E139=B139,3,E139&lt;&gt;B139,0)</f>
        <v>3</v>
      </c>
    </row>
    <row r="140" spans="1:7">
      <c r="A140" t="s">
        <v>28</v>
      </c>
      <c r="B140" t="s">
        <v>29</v>
      </c>
      <c r="C140">
        <v>1</v>
      </c>
      <c r="D140">
        <v>1</v>
      </c>
      <c r="E140" cm="1">
        <f t="array" ref="E140">_xlfn.IFS(C140=D140, ,C140&gt;D140,A140,D140&gt;C140,B140)</f>
        <v>0</v>
      </c>
      <c r="F140" cm="1">
        <f t="array" ref="F140">_xlfn.IFS(E140=0,1,E140=A140,3,E140&lt;&gt;A140,0)</f>
        <v>1</v>
      </c>
      <c r="G140" cm="1">
        <f t="array" ref="G140">_xlfn.IFS(E140=0,1,E140=B140,3,E140&lt;&gt;B140,0)</f>
        <v>1</v>
      </c>
    </row>
    <row r="141" spans="1:7">
      <c r="A141" t="s">
        <v>61</v>
      </c>
      <c r="B141" t="s">
        <v>38</v>
      </c>
      <c r="C141">
        <v>3</v>
      </c>
      <c r="D141">
        <v>2</v>
      </c>
      <c r="E141" t="str" cm="1">
        <f t="array" ref="E141">_xlfn.IFS(C141=D141, ,C141&gt;D141,A141,D141&gt;C141,B141)</f>
        <v>BW Linz</v>
      </c>
      <c r="F141" cm="1">
        <f t="array" ref="F141">_xlfn.IFS(E141=0,1,E141=A141,3,E141&lt;&gt;A141,0)</f>
        <v>3</v>
      </c>
      <c r="G141" cm="1">
        <f t="array" ref="G141">_xlfn.IFS(E141=0,1,E141=B141,3,E141&lt;&gt;B141,0)</f>
        <v>0</v>
      </c>
    </row>
    <row r="142" spans="1:7">
      <c r="A142" t="s">
        <v>54</v>
      </c>
      <c r="B142" t="s">
        <v>63</v>
      </c>
      <c r="C142">
        <v>1</v>
      </c>
      <c r="D142">
        <v>5</v>
      </c>
      <c r="E142" t="str" cm="1">
        <f t="array" ref="E142">_xlfn.IFS(C142=D142, ,C142&gt;D142,A142,D142&gt;C142,B142)</f>
        <v>Grazer AK</v>
      </c>
      <c r="F142" cm="1">
        <f t="array" ref="F142">_xlfn.IFS(E142=0,1,E142=A142,3,E142&lt;&gt;A142,0)</f>
        <v>0</v>
      </c>
      <c r="G142" cm="1">
        <f t="array" ref="G142">_xlfn.IFS(E142=0,1,E142=B142,3,E142&lt;&gt;B142,0)</f>
        <v>3</v>
      </c>
    </row>
    <row r="143" spans="1:7">
      <c r="A143" t="s">
        <v>39</v>
      </c>
      <c r="B143" t="s">
        <v>45</v>
      </c>
      <c r="C143">
        <v>1</v>
      </c>
      <c r="D143">
        <v>1</v>
      </c>
      <c r="E143" cm="1">
        <f t="array" ref="E143">_xlfn.IFS(C143=D143, ,C143&gt;D143,A143,D143&gt;C143,B143)</f>
        <v>0</v>
      </c>
      <c r="F143" cm="1">
        <f t="array" ref="F143">_xlfn.IFS(E143=0,1,E143=A143,3,E143&lt;&gt;A143,0)</f>
        <v>1</v>
      </c>
      <c r="G143" cm="1">
        <f t="array" ref="G143">_xlfn.IFS(E143=0,1,E143=B143,3,E143&lt;&gt;B143,0)</f>
        <v>1</v>
      </c>
    </row>
    <row r="144" spans="1:7">
      <c r="A144" t="s">
        <v>52</v>
      </c>
      <c r="B144" t="s">
        <v>40</v>
      </c>
      <c r="C144">
        <v>0</v>
      </c>
      <c r="D144">
        <v>1</v>
      </c>
      <c r="E144" t="str" cm="1">
        <f t="array" ref="E144">_xlfn.IFS(C144=D144, ,C144&gt;D144,A144,D144&gt;C144,B144)</f>
        <v>Austria Vienna</v>
      </c>
      <c r="F144" cm="1">
        <f t="array" ref="F144">_xlfn.IFS(E144=0,1,E144=A144,3,E144&lt;&gt;A144,0)</f>
        <v>0</v>
      </c>
      <c r="G144" cm="1">
        <f t="array" ref="G144">_xlfn.IFS(E144=0,1,E144=B144,3,E144&lt;&gt;B144,0)</f>
        <v>3</v>
      </c>
    </row>
    <row r="145" spans="1:7">
      <c r="A145" t="s">
        <v>35</v>
      </c>
      <c r="B145" t="s">
        <v>50</v>
      </c>
      <c r="C145">
        <v>4</v>
      </c>
      <c r="D145">
        <v>2</v>
      </c>
      <c r="E145" t="str" cm="1">
        <f t="array" ref="E145">_xlfn.IFS(C145=D145, ,C145&gt;D145,A145,D145&gt;C145,B145)</f>
        <v>SK Rapid</v>
      </c>
      <c r="F145" cm="1">
        <f t="array" ref="F145">_xlfn.IFS(E145=0,1,E145=A145,3,E145&lt;&gt;A145,0)</f>
        <v>3</v>
      </c>
      <c r="G145" cm="1">
        <f t="array" ref="G145">_xlfn.IFS(E145=0,1,E145=B145,3,E145&lt;&gt;B145,0)</f>
        <v>0</v>
      </c>
    </row>
    <row r="146" spans="1:7">
      <c r="A146" t="s">
        <v>38</v>
      </c>
      <c r="B146" t="s">
        <v>45</v>
      </c>
      <c r="C146">
        <v>3</v>
      </c>
      <c r="D146">
        <v>2</v>
      </c>
      <c r="E146" t="str" cm="1">
        <f t="array" ref="E146">_xlfn.IFS(C146=D146, ,C146&gt;D146,A146,D146&gt;C146,B146)</f>
        <v>Ried</v>
      </c>
      <c r="F146" cm="1">
        <f t="array" ref="F146">_xlfn.IFS(E146=0,1,E146=A146,3,E146&lt;&gt;A146,0)</f>
        <v>3</v>
      </c>
      <c r="G146" cm="1">
        <f t="array" ref="G146">_xlfn.IFS(E146=0,1,E146=B146,3,E146&lt;&gt;B146,0)</f>
        <v>0</v>
      </c>
    </row>
    <row r="147" spans="1:7">
      <c r="A147" t="s">
        <v>63</v>
      </c>
      <c r="B147" t="s">
        <v>61</v>
      </c>
      <c r="C147">
        <v>2</v>
      </c>
      <c r="D147">
        <v>1</v>
      </c>
      <c r="E147" t="str" cm="1">
        <f t="array" ref="E147">_xlfn.IFS(C147=D147, ,C147&gt;D147,A147,D147&gt;C147,B147)</f>
        <v>Grazer AK</v>
      </c>
      <c r="F147" cm="1">
        <f t="array" ref="F147">_xlfn.IFS(E147=0,1,E147=A147,3,E147&lt;&gt;A147,0)</f>
        <v>3</v>
      </c>
      <c r="G147" cm="1">
        <f t="array" ref="G147">_xlfn.IFS(E147=0,1,E147=B147,3,E147&lt;&gt;B147,0)</f>
        <v>0</v>
      </c>
    </row>
    <row r="148" spans="1:7">
      <c r="A148" t="s">
        <v>54</v>
      </c>
      <c r="B148" t="s">
        <v>39</v>
      </c>
      <c r="C148">
        <v>3</v>
      </c>
      <c r="D148">
        <v>1</v>
      </c>
      <c r="E148" t="str" cm="1">
        <f t="array" ref="E148">_xlfn.IFS(C148=D148, ,C148&gt;D148,A148,D148&gt;C148,B148)</f>
        <v>Tirol</v>
      </c>
      <c r="F148" cm="1">
        <f t="array" ref="F148">_xlfn.IFS(E148=0,1,E148=A148,3,E148&lt;&gt;A148,0)</f>
        <v>3</v>
      </c>
      <c r="G148" cm="1">
        <f t="array" ref="G148">_xlfn.IFS(E148=0,1,E148=B148,3,E148&lt;&gt;B148,0)</f>
        <v>0</v>
      </c>
    </row>
    <row r="149" spans="1:7">
      <c r="A149" t="s">
        <v>52</v>
      </c>
      <c r="B149" t="s">
        <v>29</v>
      </c>
      <c r="C149">
        <v>1</v>
      </c>
      <c r="D149">
        <v>2</v>
      </c>
      <c r="E149" t="str" cm="1">
        <f t="array" ref="E149">_xlfn.IFS(C149=D149, ,C149&gt;D149,A149,D149&gt;C149,B149)</f>
        <v>Salzburg</v>
      </c>
      <c r="F149" cm="1">
        <f t="array" ref="F149">_xlfn.IFS(E149=0,1,E149=A149,3,E149&lt;&gt;A149,0)</f>
        <v>0</v>
      </c>
      <c r="G149" cm="1">
        <f t="array" ref="G149">_xlfn.IFS(E149=0,1,E149=B149,3,E149&lt;&gt;B149,0)</f>
        <v>3</v>
      </c>
    </row>
    <row r="150" spans="1:7">
      <c r="A150" t="s">
        <v>50</v>
      </c>
      <c r="B150" t="s">
        <v>40</v>
      </c>
      <c r="C150">
        <v>4</v>
      </c>
      <c r="D150">
        <v>1</v>
      </c>
      <c r="E150" t="str" cm="1">
        <f t="array" ref="E150">_xlfn.IFS(C150=D150, ,C150&gt;D150,A150,D150&gt;C150,B150)</f>
        <v>LASK</v>
      </c>
      <c r="F150" cm="1">
        <f t="array" ref="F150">_xlfn.IFS(E150=0,1,E150=A150,3,E150&lt;&gt;A150,0)</f>
        <v>3</v>
      </c>
      <c r="G150" cm="1">
        <f t="array" ref="G150">_xlfn.IFS(E150=0,1,E150=B150,3,E150&lt;&gt;B150,0)</f>
        <v>0</v>
      </c>
    </row>
    <row r="151" spans="1:7">
      <c r="A151" t="s">
        <v>35</v>
      </c>
      <c r="B151" t="s">
        <v>28</v>
      </c>
      <c r="C151">
        <v>0</v>
      </c>
      <c r="D151">
        <v>2</v>
      </c>
      <c r="E151" t="str" cm="1">
        <f t="array" ref="E151">_xlfn.IFS(C151=D151, ,C151&gt;D151,A151,D151&gt;C151,B151)</f>
        <v>Sturm Graz</v>
      </c>
      <c r="F151" cm="1">
        <f t="array" ref="F151">_xlfn.IFS(E151=0,1,E151=A151,3,E151&lt;&gt;A151,0)</f>
        <v>0</v>
      </c>
      <c r="G151" cm="1">
        <f t="array" ref="G151">_xlfn.IFS(E151=0,1,E151=B151,3,E151&lt;&gt;B151,0)</f>
        <v>3</v>
      </c>
    </row>
    <row r="152" spans="1:7">
      <c r="A152" t="s">
        <v>29</v>
      </c>
      <c r="B152" t="s">
        <v>50</v>
      </c>
      <c r="C152">
        <v>2</v>
      </c>
      <c r="D152">
        <v>3</v>
      </c>
      <c r="E152" t="str" cm="1">
        <f t="array" ref="E152">_xlfn.IFS(C152=D152, ,C152&gt;D152,A152,D152&gt;C152,B152)</f>
        <v>LASK</v>
      </c>
      <c r="F152" cm="1">
        <f t="array" ref="F152">_xlfn.IFS(E152=0,1,E152=A152,3,E152&lt;&gt;A152,0)</f>
        <v>0</v>
      </c>
      <c r="G152" cm="1">
        <f t="array" ref="G152">_xlfn.IFS(E152=0,1,E152=B152,3,E152&lt;&gt;B152,0)</f>
        <v>3</v>
      </c>
    </row>
    <row r="153" spans="1:7">
      <c r="A153" t="s">
        <v>45</v>
      </c>
      <c r="B153" t="s">
        <v>63</v>
      </c>
      <c r="C153">
        <v>1</v>
      </c>
      <c r="D153">
        <v>0</v>
      </c>
      <c r="E153" t="str" cm="1">
        <f t="array" ref="E153">_xlfn.IFS(C153=D153, ,C153&gt;D153,A153,D153&gt;C153,B153)</f>
        <v>Altach</v>
      </c>
      <c r="F153" cm="1">
        <f t="array" ref="F153">_xlfn.IFS(E153=0,1,E153=A153,3,E153&lt;&gt;A153,0)</f>
        <v>3</v>
      </c>
      <c r="G153" cm="1">
        <f t="array" ref="G153">_xlfn.IFS(E153=0,1,E153=B153,3,E153&lt;&gt;B153,0)</f>
        <v>0</v>
      </c>
    </row>
    <row r="154" spans="1:7">
      <c r="A154" t="s">
        <v>39</v>
      </c>
      <c r="B154" t="s">
        <v>38</v>
      </c>
      <c r="C154">
        <v>0</v>
      </c>
      <c r="D154">
        <v>0</v>
      </c>
      <c r="E154" cm="1">
        <f t="array" ref="E154">_xlfn.IFS(C154=D154, ,C154&gt;D154,A154,D154&gt;C154,B154)</f>
        <v>0</v>
      </c>
      <c r="F154" cm="1">
        <f t="array" ref="F154">_xlfn.IFS(E154=0,1,E154=A154,3,E154&lt;&gt;A154,0)</f>
        <v>1</v>
      </c>
      <c r="G154" cm="1">
        <f t="array" ref="G154">_xlfn.IFS(E154=0,1,E154=B154,3,E154&lt;&gt;B154,0)</f>
        <v>1</v>
      </c>
    </row>
    <row r="155" spans="1:7">
      <c r="A155" t="s">
        <v>61</v>
      </c>
      <c r="B155" t="s">
        <v>54</v>
      </c>
      <c r="C155">
        <v>5</v>
      </c>
      <c r="D155">
        <v>0</v>
      </c>
      <c r="E155" t="str" cm="1">
        <f t="array" ref="E155">_xlfn.IFS(C155=D155, ,C155&gt;D155,A155,D155&gt;C155,B155)</f>
        <v>BW Linz</v>
      </c>
      <c r="F155" cm="1">
        <f t="array" ref="F155">_xlfn.IFS(E155=0,1,E155=A155,3,E155&lt;&gt;A155,0)</f>
        <v>3</v>
      </c>
      <c r="G155" cm="1">
        <f t="array" ref="G155">_xlfn.IFS(E155=0,1,E155=B155,3,E155&lt;&gt;B155,0)</f>
        <v>0</v>
      </c>
    </row>
    <row r="156" spans="1:7">
      <c r="A156" t="s">
        <v>28</v>
      </c>
      <c r="B156" t="s">
        <v>52</v>
      </c>
      <c r="C156">
        <v>0</v>
      </c>
      <c r="D156">
        <v>0</v>
      </c>
      <c r="E156" cm="1">
        <f t="array" ref="E156">_xlfn.IFS(C156=D156, ,C156&gt;D156,A156,D156&gt;C156,B156)</f>
        <v>0</v>
      </c>
      <c r="F156" cm="1">
        <f t="array" ref="F156">_xlfn.IFS(E156=0,1,E156=A156,3,E156&lt;&gt;A156,0)</f>
        <v>1</v>
      </c>
      <c r="G156" cm="1">
        <f t="array" ref="G156">_xlfn.IFS(E156=0,1,E156=B156,3,E156&lt;&gt;B156,0)</f>
        <v>1</v>
      </c>
    </row>
    <row r="157" spans="1:7">
      <c r="A157" t="s">
        <v>40</v>
      </c>
      <c r="B157" t="s">
        <v>35</v>
      </c>
      <c r="C157">
        <v>1</v>
      </c>
      <c r="D157">
        <v>1</v>
      </c>
      <c r="E157" cm="1">
        <f t="array" ref="E157">_xlfn.IFS(C157=D157, ,C157&gt;D157,A157,D157&gt;C157,B157)</f>
        <v>0</v>
      </c>
      <c r="F157" cm="1">
        <f t="array" ref="F157">_xlfn.IFS(E157=0,1,E157=A157,3,E157&lt;&gt;A157,0)</f>
        <v>1</v>
      </c>
      <c r="G157" cm="1">
        <f t="array" ref="G157">_xlfn.IFS(E157=0,1,E157=B157,3,E157&lt;&gt;B157,0)</f>
        <v>1</v>
      </c>
    </row>
    <row r="158" spans="1:7">
      <c r="A158" t="s">
        <v>63</v>
      </c>
      <c r="B158" t="s">
        <v>38</v>
      </c>
      <c r="C158">
        <v>1</v>
      </c>
      <c r="D158">
        <v>1</v>
      </c>
      <c r="E158" cm="1">
        <f t="array" ref="E158">_xlfn.IFS(C158=D158, ,C158&gt;D158,A158,D158&gt;C158,B158)</f>
        <v>0</v>
      </c>
      <c r="F158" cm="1">
        <f t="array" ref="F158">_xlfn.IFS(E158=0,1,E158=A158,3,E158&lt;&gt;A158,0)</f>
        <v>1</v>
      </c>
      <c r="G158" cm="1">
        <f t="array" ref="G158">_xlfn.IFS(E158=0,1,E158=B158,3,E158&lt;&gt;B158,0)</f>
        <v>1</v>
      </c>
    </row>
    <row r="159" spans="1:7">
      <c r="A159" t="s">
        <v>54</v>
      </c>
      <c r="B159" t="s">
        <v>45</v>
      </c>
      <c r="C159">
        <v>2</v>
      </c>
      <c r="D159">
        <v>2</v>
      </c>
      <c r="E159" cm="1">
        <f t="array" ref="E159">_xlfn.IFS(C159=D159, ,C159&gt;D159,A159,D159&gt;C159,B159)</f>
        <v>0</v>
      </c>
      <c r="F159" cm="1">
        <f t="array" ref="F159">_xlfn.IFS(E159=0,1,E159=A159,3,E159&lt;&gt;A159,0)</f>
        <v>1</v>
      </c>
      <c r="G159" cm="1">
        <f t="array" ref="G159">_xlfn.IFS(E159=0,1,E159=B159,3,E159&lt;&gt;B159,0)</f>
        <v>1</v>
      </c>
    </row>
    <row r="160" spans="1:7">
      <c r="A160" t="s">
        <v>39</v>
      </c>
      <c r="B160" t="s">
        <v>61</v>
      </c>
      <c r="C160">
        <v>0</v>
      </c>
      <c r="D160">
        <v>0</v>
      </c>
      <c r="E160" cm="1">
        <f t="array" ref="E160">_xlfn.IFS(C160=D160, ,C160&gt;D160,A160,D160&gt;C160,B160)</f>
        <v>0</v>
      </c>
      <c r="F160" cm="1">
        <f t="array" ref="F160">_xlfn.IFS(E160=0,1,E160=A160,3,E160&lt;&gt;A160,0)</f>
        <v>1</v>
      </c>
      <c r="G160" cm="1">
        <f t="array" ref="G160">_xlfn.IFS(E160=0,1,E160=B160,3,E160&lt;&gt;B160,0)</f>
        <v>1</v>
      </c>
    </row>
    <row r="161" spans="1:7">
      <c r="A161" t="s">
        <v>40</v>
      </c>
      <c r="B161" t="s">
        <v>29</v>
      </c>
      <c r="C161">
        <v>1</v>
      </c>
      <c r="D161">
        <v>3</v>
      </c>
      <c r="E161" t="str" cm="1">
        <f t="array" ref="E161">_xlfn.IFS(C161=D161, ,C161&gt;D161,A161,D161&gt;C161,B161)</f>
        <v>Salzburg</v>
      </c>
      <c r="F161" cm="1">
        <f t="array" ref="F161">_xlfn.IFS(E161=0,1,E161=A161,3,E161&lt;&gt;A161,0)</f>
        <v>0</v>
      </c>
      <c r="G161" cm="1">
        <f t="array" ref="G161">_xlfn.IFS(E161=0,1,E161=B161,3,E161&lt;&gt;B161,0)</f>
        <v>3</v>
      </c>
    </row>
    <row r="162" spans="1:7">
      <c r="A162" t="s">
        <v>52</v>
      </c>
      <c r="B162" t="s">
        <v>35</v>
      </c>
      <c r="C162">
        <v>2</v>
      </c>
      <c r="D162">
        <v>2</v>
      </c>
      <c r="E162" cm="1">
        <f t="array" ref="E162">_xlfn.IFS(C162=D162, ,C162&gt;D162,A162,D162&gt;C162,B162)</f>
        <v>0</v>
      </c>
      <c r="F162" cm="1">
        <f t="array" ref="F162">_xlfn.IFS(E162=0,1,E162=A162,3,E162&lt;&gt;A162,0)</f>
        <v>1</v>
      </c>
      <c r="G162" cm="1">
        <f t="array" ref="G162">_xlfn.IFS(E162=0,1,E162=B162,3,E162&lt;&gt;B162,0)</f>
        <v>1</v>
      </c>
    </row>
    <row r="163" spans="1:7">
      <c r="A163" t="s">
        <v>50</v>
      </c>
      <c r="B163" t="s">
        <v>28</v>
      </c>
      <c r="C163">
        <v>1</v>
      </c>
      <c r="D163">
        <v>1</v>
      </c>
      <c r="E163" cm="1">
        <f t="array" ref="E163">_xlfn.IFS(C163=D163, ,C163&gt;D163,A163,D163&gt;C163,B163)</f>
        <v>0</v>
      </c>
      <c r="F163" cm="1">
        <f t="array" ref="F163">_xlfn.IFS(E163=0,1,E163=A163,3,E163&lt;&gt;A163,0)</f>
        <v>1</v>
      </c>
      <c r="G163" cm="1">
        <f t="array" ref="G163">_xlfn.IFS(E163=0,1,E163=B163,3,E163&lt;&gt;B163,0)</f>
        <v>1</v>
      </c>
    </row>
    <row r="164" spans="1:7">
      <c r="A164" t="s">
        <v>45</v>
      </c>
      <c r="B164" t="s">
        <v>54</v>
      </c>
      <c r="C164">
        <v>0</v>
      </c>
      <c r="D164">
        <v>0</v>
      </c>
      <c r="E164" cm="1">
        <f t="array" ref="E164">_xlfn.IFS(C164=D164, ,C164&gt;D164,A164,D164&gt;C164,B164)</f>
        <v>0</v>
      </c>
      <c r="F164" cm="1">
        <f t="array" ref="F164">_xlfn.IFS(E164=0,1,E164=A164,3,E164&lt;&gt;A164,0)</f>
        <v>1</v>
      </c>
      <c r="G164" cm="1">
        <f t="array" ref="G164">_xlfn.IFS(E164=0,1,E164=B164,3,E164&lt;&gt;B164,0)</f>
        <v>1</v>
      </c>
    </row>
    <row r="165" spans="1:7">
      <c r="A165" t="s">
        <v>61</v>
      </c>
      <c r="B165" t="s">
        <v>39</v>
      </c>
      <c r="C165">
        <v>3</v>
      </c>
      <c r="D165">
        <v>0</v>
      </c>
      <c r="E165" t="str" cm="1">
        <f t="array" ref="E165">_xlfn.IFS(C165=D165, ,C165&gt;D165,A165,D165&gt;C165,B165)</f>
        <v>BW Linz</v>
      </c>
      <c r="F165" cm="1">
        <f t="array" ref="F165">_xlfn.IFS(E165=0,1,E165=A165,3,E165&lt;&gt;A165,0)</f>
        <v>3</v>
      </c>
      <c r="G165" cm="1">
        <f t="array" ref="G165">_xlfn.IFS(E165=0,1,E165=B165,3,E165&lt;&gt;B165,0)</f>
        <v>0</v>
      </c>
    </row>
    <row r="166" spans="1:7">
      <c r="A166" t="s">
        <v>38</v>
      </c>
      <c r="B166" t="s">
        <v>63</v>
      </c>
      <c r="C166">
        <v>2</v>
      </c>
      <c r="D166">
        <v>1</v>
      </c>
      <c r="E166" t="str" cm="1">
        <f t="array" ref="E166">_xlfn.IFS(C166=D166, ,C166&gt;D166,A166,D166&gt;C166,B166)</f>
        <v>Ried</v>
      </c>
      <c r="F166" cm="1">
        <f t="array" ref="F166">_xlfn.IFS(E166=0,1,E166=A166,3,E166&lt;&gt;A166,0)</f>
        <v>3</v>
      </c>
      <c r="G166" cm="1">
        <f t="array" ref="G166">_xlfn.IFS(E166=0,1,E166=B166,3,E166&lt;&gt;B166,0)</f>
        <v>0</v>
      </c>
    </row>
    <row r="167" spans="1:7">
      <c r="A167" t="s">
        <v>29</v>
      </c>
      <c r="B167" t="s">
        <v>40</v>
      </c>
      <c r="C167">
        <v>3</v>
      </c>
      <c r="D167">
        <v>1</v>
      </c>
      <c r="E167" t="str" cm="1">
        <f t="array" ref="E167">_xlfn.IFS(C167=D167, ,C167&gt;D167,A167,D167&gt;C167,B167)</f>
        <v>Salzburg</v>
      </c>
      <c r="F167" cm="1">
        <f t="array" ref="F167">_xlfn.IFS(E167=0,1,E167=A167,3,E167&lt;&gt;A167,0)</f>
        <v>3</v>
      </c>
      <c r="G167" cm="1">
        <f t="array" ref="G167">_xlfn.IFS(E167=0,1,E167=B167,3,E167&lt;&gt;B167,0)</f>
        <v>0</v>
      </c>
    </row>
    <row r="168" spans="1:7">
      <c r="A168" t="s">
        <v>35</v>
      </c>
      <c r="B168" t="s">
        <v>52</v>
      </c>
      <c r="C168">
        <v>0</v>
      </c>
      <c r="D168">
        <v>2</v>
      </c>
      <c r="E168" t="str" cm="1">
        <f t="array" ref="E168">_xlfn.IFS(C168=D168, ,C168&gt;D168,A168,D168&gt;C168,B168)</f>
        <v>Hartberg</v>
      </c>
      <c r="F168" cm="1">
        <f t="array" ref="F168">_xlfn.IFS(E168=0,1,E168=A168,3,E168&lt;&gt;A168,0)</f>
        <v>0</v>
      </c>
      <c r="G168" cm="1">
        <f t="array" ref="G168">_xlfn.IFS(E168=0,1,E168=B168,3,E168&lt;&gt;B168,0)</f>
        <v>3</v>
      </c>
    </row>
    <row r="169" spans="1:7">
      <c r="A169" t="s">
        <v>28</v>
      </c>
      <c r="B169" t="s">
        <v>50</v>
      </c>
      <c r="C169">
        <v>1</v>
      </c>
      <c r="D169">
        <v>1</v>
      </c>
      <c r="E169" cm="1">
        <f t="array" ref="E169">_xlfn.IFS(C169=D169, ,C169&gt;D169,A169,D169&gt;C169,B169)</f>
        <v>0</v>
      </c>
      <c r="F169" cm="1">
        <f t="array" ref="F169">_xlfn.IFS(E169=0,1,E169=A169,3,E169&lt;&gt;A169,0)</f>
        <v>1</v>
      </c>
      <c r="G169" cm="1">
        <f t="array" ref="G169">_xlfn.IFS(E169=0,1,E169=B169,3,E169&lt;&gt;B169,0)</f>
        <v>1</v>
      </c>
    </row>
    <row r="170" spans="1:7">
      <c r="A170" t="s">
        <v>61</v>
      </c>
      <c r="B170" t="s">
        <v>45</v>
      </c>
      <c r="C170">
        <v>3</v>
      </c>
      <c r="D170">
        <v>0</v>
      </c>
      <c r="E170" t="str" cm="1">
        <f t="array" ref="E170">_xlfn.IFS(C170=D170, ,C170&gt;D170,A170,D170&gt;C170,B170)</f>
        <v>BW Linz</v>
      </c>
      <c r="F170" cm="1">
        <f t="array" ref="F170">_xlfn.IFS(E170=0,1,E170=A170,3,E170&lt;&gt;A170,0)</f>
        <v>3</v>
      </c>
      <c r="G170" cm="1">
        <f t="array" ref="G170">_xlfn.IFS(E170=0,1,E170=B170,3,E170&lt;&gt;B170,0)</f>
        <v>0</v>
      </c>
    </row>
    <row r="171" spans="1:7">
      <c r="A171" t="s">
        <v>54</v>
      </c>
      <c r="B171" t="s">
        <v>38</v>
      </c>
      <c r="C171">
        <v>1</v>
      </c>
      <c r="D171">
        <v>0</v>
      </c>
      <c r="E171" t="str" cm="1">
        <f t="array" ref="E171">_xlfn.IFS(C171=D171, ,C171&gt;D171,A171,D171&gt;C171,B171)</f>
        <v>Tirol</v>
      </c>
      <c r="F171" cm="1">
        <f t="array" ref="F171">_xlfn.IFS(E171=0,1,E171=A171,3,E171&lt;&gt;A171,0)</f>
        <v>3</v>
      </c>
      <c r="G171" cm="1">
        <f t="array" ref="G171">_xlfn.IFS(E171=0,1,E171=B171,3,E171&lt;&gt;B171,0)</f>
        <v>0</v>
      </c>
    </row>
    <row r="172" spans="1:7">
      <c r="A172" t="s">
        <v>39</v>
      </c>
      <c r="B172" t="s">
        <v>63</v>
      </c>
      <c r="C172">
        <v>1</v>
      </c>
      <c r="D172">
        <v>0</v>
      </c>
      <c r="E172" t="str" cm="1">
        <f t="array" ref="E172">_xlfn.IFS(C172=D172, ,C172&gt;D172,A172,D172&gt;C172,B172)</f>
        <v>Wolfsberger AC</v>
      </c>
      <c r="F172" cm="1">
        <f t="array" ref="F172">_xlfn.IFS(E172=0,1,E172=A172,3,E172&lt;&gt;A172,0)</f>
        <v>3</v>
      </c>
      <c r="G172" cm="1">
        <f t="array" ref="G172">_xlfn.IFS(E172=0,1,E172=B172,3,E172&lt;&gt;B172,0)</f>
        <v>0</v>
      </c>
    </row>
    <row r="173" spans="1:7">
      <c r="A173" t="s">
        <v>52</v>
      </c>
      <c r="B173" t="s">
        <v>50</v>
      </c>
      <c r="C173">
        <v>1</v>
      </c>
      <c r="D173">
        <v>5</v>
      </c>
      <c r="E173" t="str" cm="1">
        <f t="array" ref="E173">_xlfn.IFS(C173=D173, ,C173&gt;D173,A173,D173&gt;C173,B173)</f>
        <v>LASK</v>
      </c>
      <c r="F173" cm="1">
        <f t="array" ref="F173">_xlfn.IFS(E173=0,1,E173=A173,3,E173&lt;&gt;A173,0)</f>
        <v>0</v>
      </c>
      <c r="G173" cm="1">
        <f t="array" ref="G173">_xlfn.IFS(E173=0,1,E173=B173,3,E173&lt;&gt;B173,0)</f>
        <v>3</v>
      </c>
    </row>
    <row r="174" spans="1:7">
      <c r="A174" t="s">
        <v>35</v>
      </c>
      <c r="B174" t="s">
        <v>29</v>
      </c>
      <c r="C174">
        <v>1</v>
      </c>
      <c r="D174">
        <v>0</v>
      </c>
      <c r="E174" t="str" cm="1">
        <f t="array" ref="E174">_xlfn.IFS(C174=D174, ,C174&gt;D174,A174,D174&gt;C174,B174)</f>
        <v>SK Rapid</v>
      </c>
      <c r="F174" cm="1">
        <f t="array" ref="F174">_xlfn.IFS(E174=0,1,E174=A174,3,E174&lt;&gt;A174,0)</f>
        <v>3</v>
      </c>
      <c r="G174" cm="1">
        <f t="array" ref="G174">_xlfn.IFS(E174=0,1,E174=B174,3,E174&lt;&gt;B174,0)</f>
        <v>0</v>
      </c>
    </row>
    <row r="175" spans="1:7">
      <c r="A175" t="s">
        <v>28</v>
      </c>
      <c r="B175" t="s">
        <v>40</v>
      </c>
      <c r="C175">
        <v>1</v>
      </c>
      <c r="D175">
        <v>1</v>
      </c>
      <c r="E175" cm="1">
        <f t="array" ref="E175">_xlfn.IFS(C175=D175, ,C175&gt;D175,A175,D175&gt;C175,B175)</f>
        <v>0</v>
      </c>
      <c r="F175" cm="1">
        <f t="array" ref="F175">_xlfn.IFS(E175=0,1,E175=A175,3,E175&lt;&gt;A175,0)</f>
        <v>1</v>
      </c>
      <c r="G175" cm="1">
        <f t="array" ref="G175">_xlfn.IFS(E175=0,1,E175=B175,3,E175&lt;&gt;B175,0)</f>
        <v>1</v>
      </c>
    </row>
    <row r="176" spans="1:7">
      <c r="A176" t="s">
        <v>63</v>
      </c>
      <c r="B176" t="s">
        <v>54</v>
      </c>
      <c r="C176">
        <v>4</v>
      </c>
      <c r="D176">
        <v>0</v>
      </c>
      <c r="E176" t="str" cm="1">
        <f t="array" ref="E176">_xlfn.IFS(C176=D176, ,C176&gt;D176,A176,D176&gt;C176,B176)</f>
        <v>Grazer AK</v>
      </c>
      <c r="F176" cm="1">
        <f t="array" ref="F176">_xlfn.IFS(E176=0,1,E176=A176,3,E176&lt;&gt;A176,0)</f>
        <v>3</v>
      </c>
      <c r="G176" cm="1">
        <f t="array" ref="G176">_xlfn.IFS(E176=0,1,E176=B176,3,E176&lt;&gt;B176,0)</f>
        <v>0</v>
      </c>
    </row>
    <row r="177" spans="1:7">
      <c r="A177" t="s">
        <v>38</v>
      </c>
      <c r="B177" t="s">
        <v>61</v>
      </c>
      <c r="C177">
        <v>2</v>
      </c>
      <c r="D177">
        <v>0</v>
      </c>
      <c r="E177" t="str" cm="1">
        <f t="array" ref="E177">_xlfn.IFS(C177=D177, ,C177&gt;D177,A177,D177&gt;C177,B177)</f>
        <v>Ried</v>
      </c>
      <c r="F177" cm="1">
        <f t="array" ref="F177">_xlfn.IFS(E177=0,1,E177=A177,3,E177&lt;&gt;A177,0)</f>
        <v>3</v>
      </c>
      <c r="G177" cm="1">
        <f t="array" ref="G177">_xlfn.IFS(E177=0,1,E177=B177,3,E177&lt;&gt;B177,0)</f>
        <v>0</v>
      </c>
    </row>
    <row r="178" spans="1:7">
      <c r="A178" t="s">
        <v>40</v>
      </c>
      <c r="B178" t="s">
        <v>52</v>
      </c>
      <c r="C178">
        <v>1</v>
      </c>
      <c r="D178">
        <v>0</v>
      </c>
      <c r="E178" t="str" cm="1">
        <f t="array" ref="E178">_xlfn.IFS(C178=D178, ,C178&gt;D178,A178,D178&gt;C178,B178)</f>
        <v>Austria Vienna</v>
      </c>
      <c r="F178" cm="1">
        <f t="array" ref="F178">_xlfn.IFS(E178=0,1,E178=A178,3,E178&lt;&gt;A178,0)</f>
        <v>3</v>
      </c>
      <c r="G178" cm="1">
        <f t="array" ref="G178">_xlfn.IFS(E178=0,1,E178=B178,3,E178&lt;&gt;B178,0)</f>
        <v>0</v>
      </c>
    </row>
    <row r="179" spans="1:7">
      <c r="A179" t="s">
        <v>29</v>
      </c>
      <c r="B179" t="s">
        <v>28</v>
      </c>
      <c r="C179">
        <v>1</v>
      </c>
      <c r="D179">
        <v>1</v>
      </c>
      <c r="E179" cm="1">
        <f t="array" ref="E179">_xlfn.IFS(C179=D179, ,C179&gt;D179,A179,D179&gt;C179,B179)</f>
        <v>0</v>
      </c>
      <c r="F179" cm="1">
        <f t="array" ref="F179">_xlfn.IFS(E179=0,1,E179=A179,3,E179&lt;&gt;A179,0)</f>
        <v>1</v>
      </c>
      <c r="G179" cm="1">
        <f t="array" ref="G179">_xlfn.IFS(E179=0,1,E179=B179,3,E179&lt;&gt;B179,0)</f>
        <v>1</v>
      </c>
    </row>
    <row r="180" spans="1:7">
      <c r="A180" t="s">
        <v>45</v>
      </c>
      <c r="B180" t="s">
        <v>39</v>
      </c>
      <c r="C180">
        <v>1</v>
      </c>
      <c r="D180">
        <v>4</v>
      </c>
      <c r="E180" t="str" cm="1">
        <f t="array" ref="E180">_xlfn.IFS(C180=D180, ,C180&gt;D180,A180,D180&gt;C180,B180)</f>
        <v>Wolfsberger AC</v>
      </c>
      <c r="F180" cm="1">
        <f t="array" ref="F180">_xlfn.IFS(E180=0,1,E180=A180,3,E180&lt;&gt;A180,0)</f>
        <v>0</v>
      </c>
      <c r="G180" cm="1">
        <f t="array" ref="G180">_xlfn.IFS(E180=0,1,E180=B180,3,E180&lt;&gt;B180,0)</f>
        <v>3</v>
      </c>
    </row>
    <row r="181" spans="1:7">
      <c r="A181" t="s">
        <v>50</v>
      </c>
      <c r="B181" t="s">
        <v>35</v>
      </c>
      <c r="C181">
        <v>3</v>
      </c>
      <c r="D181">
        <v>1</v>
      </c>
      <c r="E181" t="str" cm="1">
        <f t="array" ref="E181">_xlfn.IFS(C181=D181, ,C181&gt;D181,A181,D181&gt;C181,B181)</f>
        <v>LASK</v>
      </c>
      <c r="F181" cm="1">
        <f t="array" ref="F181">_xlfn.IFS(E181=0,1,E181=A181,3,E181&lt;&gt;A181,0)</f>
        <v>3</v>
      </c>
      <c r="G181" cm="1">
        <f t="array" ref="G181">_xlfn.IFS(E181=0,1,E181=B181,3,E181&lt;&gt;B181,0)</f>
        <v>0</v>
      </c>
    </row>
    <row r="182" spans="1:7">
      <c r="A182" t="s">
        <v>63</v>
      </c>
      <c r="B182" t="s">
        <v>45</v>
      </c>
      <c r="C182">
        <v>2</v>
      </c>
      <c r="D182">
        <v>2</v>
      </c>
      <c r="E182" cm="1">
        <f t="array" ref="E182">_xlfn.IFS(C182=D182, ,C182&gt;D182,A182,D182&gt;C182,B182)</f>
        <v>0</v>
      </c>
      <c r="F182" cm="1">
        <f t="array" ref="F182">_xlfn.IFS(E182=0,1,E182=A182,3,E182&lt;&gt;A182,0)</f>
        <v>1</v>
      </c>
      <c r="G182" cm="1">
        <f t="array" ref="G182">_xlfn.IFS(E182=0,1,E182=B182,3,E182&lt;&gt;B182,0)</f>
        <v>1</v>
      </c>
    </row>
    <row r="183" spans="1:7">
      <c r="A183" t="s">
        <v>38</v>
      </c>
      <c r="B183" t="s">
        <v>39</v>
      </c>
      <c r="C183">
        <v>0</v>
      </c>
      <c r="D183">
        <v>1</v>
      </c>
      <c r="E183" t="str" cm="1">
        <f t="array" ref="E183">_xlfn.IFS(C183=D183, ,C183&gt;D183,A183,D183&gt;C183,B183)</f>
        <v>Wolfsberger AC</v>
      </c>
      <c r="F183" cm="1">
        <f t="array" ref="F183">_xlfn.IFS(E183=0,1,E183=A183,3,E183&lt;&gt;A183,0)</f>
        <v>0</v>
      </c>
      <c r="G183" cm="1">
        <f t="array" ref="G183">_xlfn.IFS(E183=0,1,E183=B183,3,E183&lt;&gt;B183,0)</f>
        <v>3</v>
      </c>
    </row>
    <row r="184" spans="1:7">
      <c r="A184" t="s">
        <v>54</v>
      </c>
      <c r="B184" t="s">
        <v>61</v>
      </c>
      <c r="C184">
        <v>1</v>
      </c>
      <c r="D184">
        <v>1</v>
      </c>
      <c r="E184" cm="1">
        <f t="array" ref="E184">_xlfn.IFS(C184=D184, ,C184&gt;D184,A184,D184&gt;C184,B184)</f>
        <v>0</v>
      </c>
      <c r="F184" cm="1">
        <f t="array" ref="F184">_xlfn.IFS(E184=0,1,E184=A184,3,E184&lt;&gt;A184,0)</f>
        <v>1</v>
      </c>
      <c r="G184" cm="1">
        <f t="array" ref="G184">_xlfn.IFS(E184=0,1,E184=B184,3,E184&lt;&gt;B184,0)</f>
        <v>1</v>
      </c>
    </row>
    <row r="185" spans="1:7">
      <c r="A185" t="s">
        <v>52</v>
      </c>
      <c r="B185" t="s">
        <v>28</v>
      </c>
      <c r="C185">
        <v>2</v>
      </c>
      <c r="D185">
        <v>4</v>
      </c>
      <c r="E185" t="str" cm="1">
        <f t="array" ref="E185">_xlfn.IFS(C185=D185, ,C185&gt;D185,A185,D185&gt;C185,B185)</f>
        <v>Sturm Graz</v>
      </c>
      <c r="F185" cm="1">
        <f t="array" ref="F185">_xlfn.IFS(E185=0,1,E185=A185,3,E185&lt;&gt;A185,0)</f>
        <v>0</v>
      </c>
      <c r="G185" cm="1">
        <f t="array" ref="G185">_xlfn.IFS(E185=0,1,E185=B185,3,E185&lt;&gt;B185,0)</f>
        <v>3</v>
      </c>
    </row>
    <row r="186" spans="1:7">
      <c r="A186" t="s">
        <v>50</v>
      </c>
      <c r="B186" t="s">
        <v>29</v>
      </c>
      <c r="C186">
        <v>2</v>
      </c>
      <c r="D186">
        <v>1</v>
      </c>
      <c r="E186" t="str" cm="1">
        <f t="array" ref="E186">_xlfn.IFS(C186=D186, ,C186&gt;D186,A186,D186&gt;C186,B186)</f>
        <v>LASK</v>
      </c>
      <c r="F186" cm="1">
        <f t="array" ref="F186">_xlfn.IFS(E186=0,1,E186=A186,3,E186&lt;&gt;A186,0)</f>
        <v>3</v>
      </c>
      <c r="G186" cm="1">
        <f t="array" ref="G186">_xlfn.IFS(E186=0,1,E186=B186,3,E186&lt;&gt;B186,0)</f>
        <v>0</v>
      </c>
    </row>
    <row r="187" spans="1:7">
      <c r="A187" t="s">
        <v>35</v>
      </c>
      <c r="B187" t="s">
        <v>40</v>
      </c>
      <c r="C187">
        <v>0</v>
      </c>
      <c r="D187">
        <v>2</v>
      </c>
      <c r="E187" t="str" cm="1">
        <f t="array" ref="E187">_xlfn.IFS(C187=D187, ,C187&gt;D187,A187,D187&gt;C187,B187)</f>
        <v>Austria Vienna</v>
      </c>
      <c r="F187" cm="1">
        <f t="array" ref="F187">_xlfn.IFS(E187=0,1,E187=A187,3,E187&lt;&gt;A187,0)</f>
        <v>0</v>
      </c>
      <c r="G187" cm="1">
        <f t="array" ref="G187">_xlfn.IFS(E187=0,1,E187=B187,3,E187&lt;&gt;B187,0)</f>
        <v>3</v>
      </c>
    </row>
    <row r="188" spans="1:7">
      <c r="A188" t="s">
        <v>45</v>
      </c>
      <c r="B188" t="s">
        <v>38</v>
      </c>
      <c r="C188">
        <v>2</v>
      </c>
      <c r="D188">
        <v>0</v>
      </c>
      <c r="E188" t="str" cm="1">
        <f t="array" ref="E188">_xlfn.IFS(C188=D188, ,C188&gt;D188,A188,D188&gt;C188,B188)</f>
        <v>Altach</v>
      </c>
      <c r="F188" cm="1">
        <f t="array" ref="F188">_xlfn.IFS(E188=0,1,E188=A188,3,E188&lt;&gt;A188,0)</f>
        <v>3</v>
      </c>
      <c r="G188" cm="1">
        <f t="array" ref="G188">_xlfn.IFS(E188=0,1,E188=B188,3,E188&lt;&gt;B188,0)</f>
        <v>0</v>
      </c>
    </row>
    <row r="189" spans="1:7">
      <c r="A189" t="s">
        <v>61</v>
      </c>
      <c r="B189" t="s">
        <v>63</v>
      </c>
      <c r="C189">
        <v>0</v>
      </c>
      <c r="D189">
        <v>3</v>
      </c>
      <c r="E189" t="str" cm="1">
        <f t="array" ref="E189">_xlfn.IFS(C189=D189, ,C189&gt;D189,A189,D189&gt;C189,B189)</f>
        <v>Grazer AK</v>
      </c>
      <c r="F189" cm="1">
        <f t="array" ref="F189">_xlfn.IFS(E189=0,1,E189=A189,3,E189&lt;&gt;A189,0)</f>
        <v>0</v>
      </c>
      <c r="G189" cm="1">
        <f t="array" ref="G189">_xlfn.IFS(E189=0,1,E189=B189,3,E189&lt;&gt;B189,0)</f>
        <v>3</v>
      </c>
    </row>
    <row r="190" spans="1:7">
      <c r="A190" t="s">
        <v>39</v>
      </c>
      <c r="B190" t="s">
        <v>54</v>
      </c>
      <c r="C190">
        <v>2</v>
      </c>
      <c r="D190">
        <v>0</v>
      </c>
      <c r="E190" t="str" cm="1">
        <f t="array" ref="E190">_xlfn.IFS(C190=D190, ,C190&gt;D190,A190,D190&gt;C190,B190)</f>
        <v>Wolfsberger AC</v>
      </c>
      <c r="F190" cm="1">
        <f t="array" ref="F190">_xlfn.IFS(E190=0,1,E190=A190,3,E190&lt;&gt;A190,0)</f>
        <v>3</v>
      </c>
      <c r="G190" cm="1">
        <f t="array" ref="G190">_xlfn.IFS(E190=0,1,E190=B190,3,E190&lt;&gt;B190,0)</f>
        <v>0</v>
      </c>
    </row>
    <row r="191" spans="1:7">
      <c r="A191" t="s">
        <v>40</v>
      </c>
      <c r="B191" t="s">
        <v>50</v>
      </c>
      <c r="C191">
        <v>0</v>
      </c>
      <c r="D191">
        <v>3</v>
      </c>
      <c r="E191" t="str" cm="1">
        <f t="array" ref="E191">_xlfn.IFS(C191=D191, ,C191&gt;D191,A191,D191&gt;C191,B191)</f>
        <v>LASK</v>
      </c>
      <c r="F191" cm="1">
        <f t="array" ref="F191">_xlfn.IFS(E191=0,1,E191=A191,3,E191&lt;&gt;A191,0)</f>
        <v>0</v>
      </c>
      <c r="G191" cm="1">
        <f t="array" ref="G191">_xlfn.IFS(E191=0,1,E191=B191,3,E191&lt;&gt;B191,0)</f>
        <v>3</v>
      </c>
    </row>
    <row r="192" spans="1:7">
      <c r="A192" t="s">
        <v>29</v>
      </c>
      <c r="B192" t="s">
        <v>52</v>
      </c>
      <c r="C192">
        <v>1</v>
      </c>
      <c r="D192">
        <v>3</v>
      </c>
      <c r="E192" t="str" cm="1">
        <f t="array" ref="E192">_xlfn.IFS(C192=D192, ,C192&gt;D192,A192,D192&gt;C192,B192)</f>
        <v>Hartberg</v>
      </c>
      <c r="F192" cm="1">
        <f t="array" ref="F192">_xlfn.IFS(E192=0,1,E192=A192,3,E192&lt;&gt;A192,0)</f>
        <v>0</v>
      </c>
      <c r="G192" cm="1">
        <f t="array" ref="G192">_xlfn.IFS(E192=0,1,E192=B192,3,E192&lt;&gt;B192,0)</f>
        <v>3</v>
      </c>
    </row>
    <row r="193" spans="1:7">
      <c r="A193" t="s">
        <v>28</v>
      </c>
      <c r="B193" t="s">
        <v>35</v>
      </c>
      <c r="C193">
        <v>2</v>
      </c>
      <c r="D193">
        <v>0</v>
      </c>
      <c r="E193" t="str" cm="1">
        <f t="array" ref="E193">_xlfn.IFS(C193=D193, ,C193&gt;D193,A193,D193&gt;C193,B193)</f>
        <v>Sturm Graz</v>
      </c>
      <c r="F193" cm="1">
        <f t="array" ref="F193">_xlfn.IFS(E193=0,1,E193=A193,3,E193&lt;&gt;A193,0)</f>
        <v>3</v>
      </c>
      <c r="G193" cm="1">
        <f t="array" ref="G193">_xlfn.IFS(E193=0,1,E193=B193,3,E193&lt;&gt;B193,0)</f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7F31-3048-4EA2-BF52-DF1A4A784D84}">
  <dimension ref="A1:B13"/>
  <sheetViews>
    <sheetView workbookViewId="0">
      <selection activeCell="B2" sqref="B2"/>
    </sheetView>
  </sheetViews>
  <sheetFormatPr baseColWidth="10" defaultRowHeight="14.4"/>
  <cols>
    <col min="1" max="1" width="15.33203125" customWidth="1"/>
    <col min="2" max="2" width="31.6640625" customWidth="1"/>
  </cols>
  <sheetData>
    <row r="1" spans="1:2">
      <c r="A1" s="3" t="s">
        <v>278</v>
      </c>
      <c r="B1" s="3" t="s">
        <v>293</v>
      </c>
    </row>
    <row r="2" spans="1:2">
      <c r="A2" t="s">
        <v>28</v>
      </c>
      <c r="B2">
        <f>MAX(_xlfn.MAXIFS(Spiele!C:C,Spiele!A:A,A2),_xlfn.MAXIFS(Spiele!D:D,Spiele!B:B,A2))</f>
        <v>5</v>
      </c>
    </row>
    <row r="3" spans="1:2">
      <c r="A3" t="s">
        <v>52</v>
      </c>
      <c r="B3">
        <f>MAX(_xlfn.MAXIFS(Spiele!C:C,Spiele!A:A,A3),_xlfn.MAXIFS(Spiele!D:D,Spiele!B:B,A3))</f>
        <v>3</v>
      </c>
    </row>
    <row r="4" spans="1:2">
      <c r="A4" t="s">
        <v>45</v>
      </c>
      <c r="B4">
        <f>MAX(_xlfn.MAXIFS(Spiele!C:C,Spiele!A:A,A4),_xlfn.MAXIFS(Spiele!D:D,Spiele!B:B,A4))</f>
        <v>3</v>
      </c>
    </row>
    <row r="5" spans="1:2">
      <c r="A5" t="s">
        <v>29</v>
      </c>
      <c r="B5">
        <f>MAX(_xlfn.MAXIFS(Spiele!C:C,Spiele!A:A,A5),_xlfn.MAXIFS(Spiele!D:D,Spiele!B:B,A5))</f>
        <v>5</v>
      </c>
    </row>
    <row r="6" spans="1:2">
      <c r="A6" t="s">
        <v>40</v>
      </c>
      <c r="B6">
        <f>MAX(_xlfn.MAXIFS(Spiele!C:C,Spiele!A:A,A6),_xlfn.MAXIFS(Spiele!D:D,Spiele!B:B,A6))</f>
        <v>3</v>
      </c>
    </row>
    <row r="7" spans="1:2">
      <c r="A7" t="s">
        <v>61</v>
      </c>
      <c r="B7">
        <f>MAX(_xlfn.MAXIFS(Spiele!C:C,Spiele!A:A,A7),_xlfn.MAXIFS(Spiele!D:D,Spiele!B:B,A7))</f>
        <v>5</v>
      </c>
    </row>
    <row r="8" spans="1:2">
      <c r="A8" t="s">
        <v>38</v>
      </c>
      <c r="B8">
        <f>MAX(_xlfn.MAXIFS(Spiele!C:C,Spiele!A:A,A8),_xlfn.MAXIFS(Spiele!D:D,Spiele!B:B,A8))</f>
        <v>3</v>
      </c>
    </row>
    <row r="9" spans="1:2">
      <c r="A9" t="s">
        <v>63</v>
      </c>
      <c r="B9">
        <f>MAX(_xlfn.MAXIFS(Spiele!C:C,Spiele!A:A,A9),_xlfn.MAXIFS(Spiele!D:D,Spiele!B:B,A9))</f>
        <v>5</v>
      </c>
    </row>
    <row r="10" spans="1:2">
      <c r="A10" t="s">
        <v>39</v>
      </c>
      <c r="B10">
        <f>MAX(_xlfn.MAXIFS(Spiele!C:C,Spiele!A:A,A10),_xlfn.MAXIFS(Spiele!D:D,Spiele!B:B,A10))</f>
        <v>4</v>
      </c>
    </row>
    <row r="11" spans="1:2">
      <c r="A11" t="s">
        <v>35</v>
      </c>
      <c r="B11">
        <f>MAX(_xlfn.MAXIFS(Spiele!C:C,Spiele!A:A,A11),_xlfn.MAXIFS(Spiele!D:D,Spiele!B:B,A11))</f>
        <v>4</v>
      </c>
    </row>
    <row r="12" spans="1:2">
      <c r="A12" t="s">
        <v>50</v>
      </c>
      <c r="B12">
        <f>MAX(_xlfn.MAXIFS(Spiele!C:C,Spiele!A:A,A12),_xlfn.MAXIFS(Spiele!D:D,Spiele!B:B,A12))</f>
        <v>5</v>
      </c>
    </row>
    <row r="13" spans="1:2">
      <c r="A13" t="s">
        <v>54</v>
      </c>
      <c r="B13">
        <f>MAX(_xlfn.MAXIFS(Spiele!C:C,Spiele!A:A,A13),_xlfn.MAXIFS(Spiele!D:D,Spiele!B:B,A13))</f>
        <v>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29AA-1B14-43E2-B3E6-84B9F9CE1FA5}">
  <dimension ref="A3:D77"/>
  <sheetViews>
    <sheetView topLeftCell="A51" workbookViewId="0">
      <selection activeCell="H71" sqref="H71"/>
    </sheetView>
  </sheetViews>
  <sheetFormatPr baseColWidth="10" defaultRowHeight="14.4"/>
  <cols>
    <col min="1" max="1" width="20.77734375" bestFit="1" customWidth="1"/>
    <col min="2" max="2" width="13.6640625" bestFit="1" customWidth="1"/>
    <col min="3" max="3" width="13.44140625" bestFit="1" customWidth="1"/>
    <col min="4" max="4" width="23.6640625" customWidth="1"/>
    <col min="5" max="5" width="9.109375" bestFit="1" customWidth="1"/>
    <col min="6" max="6" width="8.33203125" bestFit="1" customWidth="1"/>
    <col min="7" max="7" width="5.21875" bestFit="1" customWidth="1"/>
    <col min="8" max="8" width="4.77734375" bestFit="1" customWidth="1"/>
    <col min="9" max="9" width="8.21875" bestFit="1" customWidth="1"/>
    <col min="10" max="10" width="8.44140625" bestFit="1" customWidth="1"/>
    <col min="11" max="11" width="10.33203125" bestFit="1" customWidth="1"/>
    <col min="12" max="12" width="4.6640625" bestFit="1" customWidth="1"/>
    <col min="13" max="13" width="13.6640625" bestFit="1" customWidth="1"/>
    <col min="14" max="14" width="5.88671875" bestFit="1" customWidth="1"/>
    <col min="15" max="15" width="14.6640625" bestFit="1" customWidth="1"/>
    <col min="16" max="16" width="9.109375" bestFit="1" customWidth="1"/>
    <col min="17" max="17" width="8.33203125" bestFit="1" customWidth="1"/>
    <col min="18" max="18" width="5.21875" bestFit="1" customWidth="1"/>
    <col min="19" max="19" width="4.77734375" bestFit="1" customWidth="1"/>
    <col min="20" max="20" width="8.21875" bestFit="1" customWidth="1"/>
    <col min="21" max="21" width="8.44140625" bestFit="1" customWidth="1"/>
    <col min="22" max="22" width="10.33203125" bestFit="1" customWidth="1"/>
    <col min="23" max="23" width="4.6640625" bestFit="1" customWidth="1"/>
    <col min="24" max="24" width="13.6640625" bestFit="1" customWidth="1"/>
    <col min="25" max="25" width="20.44140625" bestFit="1" customWidth="1"/>
    <col min="26" max="26" width="9.109375" bestFit="1" customWidth="1"/>
    <col min="27" max="27" width="12.88671875" bestFit="1" customWidth="1"/>
    <col min="28" max="28" width="9.109375" bestFit="1" customWidth="1"/>
    <col min="29" max="29" width="8.33203125" bestFit="1" customWidth="1"/>
    <col min="30" max="30" width="5.21875" bestFit="1" customWidth="1"/>
    <col min="31" max="31" width="4.77734375" bestFit="1" customWidth="1"/>
    <col min="32" max="32" width="8.21875" bestFit="1" customWidth="1"/>
    <col min="33" max="33" width="8.44140625" bestFit="1" customWidth="1"/>
    <col min="34" max="34" width="10.33203125" bestFit="1" customWidth="1"/>
    <col min="35" max="35" width="4.6640625" bestFit="1" customWidth="1"/>
    <col min="36" max="36" width="13.6640625" bestFit="1" customWidth="1"/>
    <col min="37" max="37" width="14.88671875" bestFit="1" customWidth="1"/>
    <col min="38" max="38" width="10.77734375" bestFit="1" customWidth="1"/>
    <col min="39" max="39" width="12.88671875" bestFit="1" customWidth="1"/>
    <col min="40" max="40" width="7.44140625" bestFit="1" customWidth="1"/>
    <col min="41" max="41" width="8.33203125" bestFit="1" customWidth="1"/>
    <col min="42" max="42" width="5.21875" bestFit="1" customWidth="1"/>
    <col min="43" max="43" width="4.77734375" bestFit="1" customWidth="1"/>
    <col min="44" max="44" width="8.21875" bestFit="1" customWidth="1"/>
    <col min="45" max="45" width="8.44140625" bestFit="1" customWidth="1"/>
    <col min="46" max="46" width="10.33203125" bestFit="1" customWidth="1"/>
    <col min="47" max="47" width="4.6640625" bestFit="1" customWidth="1"/>
    <col min="48" max="48" width="13.6640625" bestFit="1" customWidth="1"/>
    <col min="49" max="49" width="16.6640625" bestFit="1" customWidth="1"/>
    <col min="50" max="50" width="10" bestFit="1" customWidth="1"/>
    <col min="51" max="51" width="12.88671875" bestFit="1" customWidth="1"/>
    <col min="52" max="52" width="7.44140625" bestFit="1" customWidth="1"/>
    <col min="53" max="53" width="9.109375" bestFit="1" customWidth="1"/>
    <col min="54" max="54" width="5.21875" bestFit="1" customWidth="1"/>
    <col min="55" max="55" width="4.77734375" bestFit="1" customWidth="1"/>
    <col min="56" max="56" width="8.21875" bestFit="1" customWidth="1"/>
    <col min="57" max="57" width="8.44140625" bestFit="1" customWidth="1"/>
    <col min="58" max="58" width="10.33203125" bestFit="1" customWidth="1"/>
    <col min="59" max="59" width="4.6640625" bestFit="1" customWidth="1"/>
    <col min="60" max="60" width="13.6640625" bestFit="1" customWidth="1"/>
    <col min="61" max="61" width="15.77734375" bestFit="1" customWidth="1"/>
    <col min="62" max="62" width="6.88671875" bestFit="1" customWidth="1"/>
    <col min="63" max="63" width="12.88671875" bestFit="1" customWidth="1"/>
    <col min="64" max="64" width="7.44140625" bestFit="1" customWidth="1"/>
    <col min="65" max="65" width="9.109375" bestFit="1" customWidth="1"/>
    <col min="66" max="66" width="8.33203125" bestFit="1" customWidth="1"/>
    <col min="67" max="67" width="4.77734375" bestFit="1" customWidth="1"/>
    <col min="68" max="68" width="8.21875" bestFit="1" customWidth="1"/>
    <col min="69" max="69" width="8.44140625" bestFit="1" customWidth="1"/>
    <col min="70" max="70" width="10.33203125" bestFit="1" customWidth="1"/>
    <col min="71" max="71" width="4.6640625" bestFit="1" customWidth="1"/>
    <col min="72" max="72" width="13.6640625" bestFit="1" customWidth="1"/>
    <col min="73" max="73" width="12.6640625" bestFit="1" customWidth="1"/>
    <col min="74" max="74" width="6.44140625" bestFit="1" customWidth="1"/>
    <col min="75" max="75" width="12.88671875" bestFit="1" customWidth="1"/>
    <col min="76" max="76" width="7.44140625" bestFit="1" customWidth="1"/>
    <col min="77" max="77" width="9.109375" bestFit="1" customWidth="1"/>
    <col min="78" max="78" width="8.33203125" bestFit="1" customWidth="1"/>
    <col min="79" max="79" width="5.21875" bestFit="1" customWidth="1"/>
    <col min="80" max="80" width="8.21875" bestFit="1" customWidth="1"/>
    <col min="81" max="81" width="8.44140625" bestFit="1" customWidth="1"/>
    <col min="82" max="82" width="10.33203125" bestFit="1" customWidth="1"/>
    <col min="83" max="83" width="4.6640625" bestFit="1" customWidth="1"/>
    <col min="84" max="84" width="13.6640625" bestFit="1" customWidth="1"/>
    <col min="85" max="85" width="12.21875" bestFit="1" customWidth="1"/>
    <col min="86" max="86" width="9.88671875" bestFit="1" customWidth="1"/>
    <col min="87" max="87" width="12.88671875" bestFit="1" customWidth="1"/>
    <col min="88" max="88" width="7.44140625" bestFit="1" customWidth="1"/>
    <col min="89" max="89" width="9.109375" bestFit="1" customWidth="1"/>
    <col min="90" max="90" width="8.33203125" bestFit="1" customWidth="1"/>
    <col min="91" max="91" width="5.21875" bestFit="1" customWidth="1"/>
    <col min="92" max="92" width="4.77734375" bestFit="1" customWidth="1"/>
    <col min="93" max="93" width="8.44140625" bestFit="1" customWidth="1"/>
    <col min="94" max="94" width="10.33203125" bestFit="1" customWidth="1"/>
    <col min="95" max="95" width="4.6640625" bestFit="1" customWidth="1"/>
    <col min="96" max="96" width="13.6640625" bestFit="1" customWidth="1"/>
    <col min="97" max="97" width="15.6640625" bestFit="1" customWidth="1"/>
    <col min="98" max="98" width="10.109375" bestFit="1" customWidth="1"/>
    <col min="99" max="99" width="12.88671875" bestFit="1" customWidth="1"/>
    <col min="100" max="100" width="7.44140625" bestFit="1" customWidth="1"/>
    <col min="101" max="101" width="9.109375" bestFit="1" customWidth="1"/>
    <col min="102" max="102" width="8.33203125" bestFit="1" customWidth="1"/>
    <col min="103" max="103" width="5.21875" bestFit="1" customWidth="1"/>
    <col min="104" max="104" width="4.77734375" bestFit="1" customWidth="1"/>
    <col min="105" max="105" width="8.21875" bestFit="1" customWidth="1"/>
    <col min="106" max="106" width="10.33203125" bestFit="1" customWidth="1"/>
    <col min="107" max="107" width="4.6640625" bestFit="1" customWidth="1"/>
    <col min="108" max="108" width="13.6640625" bestFit="1" customWidth="1"/>
    <col min="109" max="109" width="15.88671875" bestFit="1" customWidth="1"/>
    <col min="110" max="110" width="12" bestFit="1" customWidth="1"/>
    <col min="111" max="111" width="12.88671875" bestFit="1" customWidth="1"/>
    <col min="112" max="112" width="7.44140625" bestFit="1" customWidth="1"/>
    <col min="113" max="113" width="9.109375" bestFit="1" customWidth="1"/>
    <col min="114" max="114" width="8.33203125" bestFit="1" customWidth="1"/>
    <col min="115" max="115" width="5.21875" bestFit="1" customWidth="1"/>
    <col min="116" max="116" width="4.77734375" bestFit="1" customWidth="1"/>
    <col min="117" max="117" width="8.21875" bestFit="1" customWidth="1"/>
    <col min="118" max="118" width="8.44140625" bestFit="1" customWidth="1"/>
    <col min="119" max="119" width="4.6640625" bestFit="1" customWidth="1"/>
    <col min="120" max="120" width="13.6640625" bestFit="1" customWidth="1"/>
    <col min="121" max="121" width="17.88671875" bestFit="1" customWidth="1"/>
    <col min="122" max="122" width="6.33203125" bestFit="1" customWidth="1"/>
    <col min="123" max="123" width="12.88671875" bestFit="1" customWidth="1"/>
    <col min="124" max="124" width="7.44140625" bestFit="1" customWidth="1"/>
    <col min="125" max="125" width="9.109375" bestFit="1" customWidth="1"/>
    <col min="126" max="126" width="8.33203125" bestFit="1" customWidth="1"/>
    <col min="127" max="127" width="5.21875" bestFit="1" customWidth="1"/>
    <col min="128" max="128" width="4.77734375" bestFit="1" customWidth="1"/>
    <col min="129" max="129" width="8.21875" bestFit="1" customWidth="1"/>
    <col min="130" max="130" width="8.44140625" bestFit="1" customWidth="1"/>
    <col min="131" max="131" width="10.33203125" bestFit="1" customWidth="1"/>
    <col min="132" max="132" width="13.6640625" bestFit="1" customWidth="1"/>
    <col min="133" max="133" width="12.109375" bestFit="1" customWidth="1"/>
    <col min="134" max="134" width="15.33203125" bestFit="1" customWidth="1"/>
    <col min="135" max="135" width="12.88671875" bestFit="1" customWidth="1"/>
    <col min="136" max="136" width="7.44140625" bestFit="1" customWidth="1"/>
    <col min="137" max="137" width="9.109375" bestFit="1" customWidth="1"/>
    <col min="138" max="138" width="8.33203125" bestFit="1" customWidth="1"/>
    <col min="139" max="139" width="5.21875" bestFit="1" customWidth="1"/>
    <col min="140" max="140" width="4.77734375" bestFit="1" customWidth="1"/>
    <col min="141" max="141" width="8.21875" bestFit="1" customWidth="1"/>
    <col min="142" max="142" width="8.44140625" bestFit="1" customWidth="1"/>
    <col min="143" max="143" width="10.33203125" bestFit="1" customWidth="1"/>
    <col min="144" max="144" width="4.6640625" bestFit="1" customWidth="1"/>
    <col min="145" max="145" width="21.33203125" bestFit="1" customWidth="1"/>
    <col min="146" max="146" width="7.5546875" bestFit="1" customWidth="1"/>
    <col min="147" max="147" width="13.33203125" bestFit="1" customWidth="1"/>
    <col min="148" max="148" width="14.6640625" bestFit="1" customWidth="1"/>
  </cols>
  <sheetData>
    <row r="3" spans="1:4">
      <c r="A3" s="5" t="s">
        <v>284</v>
      </c>
      <c r="B3" t="s">
        <v>287</v>
      </c>
      <c r="C3" t="s">
        <v>288</v>
      </c>
      <c r="D3" t="s">
        <v>289</v>
      </c>
    </row>
    <row r="4" spans="1:4">
      <c r="A4" s="6">
        <v>45870</v>
      </c>
      <c r="B4">
        <v>0</v>
      </c>
      <c r="C4">
        <v>2</v>
      </c>
      <c r="D4">
        <v>2</v>
      </c>
    </row>
    <row r="5" spans="1:4">
      <c r="A5" s="6">
        <v>45871</v>
      </c>
      <c r="B5">
        <v>6</v>
      </c>
      <c r="C5">
        <v>6</v>
      </c>
      <c r="D5">
        <v>12</v>
      </c>
    </row>
    <row r="6" spans="1:4">
      <c r="A6" s="6">
        <v>45872</v>
      </c>
      <c r="B6">
        <v>3</v>
      </c>
      <c r="C6">
        <v>2</v>
      </c>
      <c r="D6">
        <v>5</v>
      </c>
    </row>
    <row r="7" spans="1:4">
      <c r="A7" s="6">
        <v>45878</v>
      </c>
      <c r="B7">
        <v>6</v>
      </c>
      <c r="C7">
        <v>1</v>
      </c>
      <c r="D7">
        <v>7</v>
      </c>
    </row>
    <row r="8" spans="1:4">
      <c r="A8" s="6">
        <v>45879</v>
      </c>
      <c r="B8">
        <v>4</v>
      </c>
      <c r="C8">
        <v>5</v>
      </c>
      <c r="D8">
        <v>9</v>
      </c>
    </row>
    <row r="9" spans="1:4">
      <c r="A9" s="6">
        <v>45885</v>
      </c>
      <c r="B9">
        <v>3</v>
      </c>
      <c r="C9">
        <v>6</v>
      </c>
      <c r="D9">
        <v>9</v>
      </c>
    </row>
    <row r="10" spans="1:4">
      <c r="A10" s="6">
        <v>45886</v>
      </c>
      <c r="B10">
        <v>5</v>
      </c>
      <c r="C10">
        <v>1</v>
      </c>
      <c r="D10">
        <v>6</v>
      </c>
    </row>
    <row r="11" spans="1:4">
      <c r="A11" s="6">
        <v>45892</v>
      </c>
      <c r="B11">
        <v>3</v>
      </c>
      <c r="C11">
        <v>2</v>
      </c>
      <c r="D11">
        <v>5</v>
      </c>
    </row>
    <row r="12" spans="1:4">
      <c r="A12" s="6">
        <v>45893</v>
      </c>
      <c r="B12">
        <v>3</v>
      </c>
      <c r="C12">
        <v>6</v>
      </c>
      <c r="D12">
        <v>9</v>
      </c>
    </row>
    <row r="13" spans="1:4">
      <c r="A13" s="6">
        <v>45899</v>
      </c>
      <c r="B13">
        <v>3</v>
      </c>
      <c r="C13">
        <v>8</v>
      </c>
      <c r="D13">
        <v>11</v>
      </c>
    </row>
    <row r="14" spans="1:4">
      <c r="A14" s="6">
        <v>45900</v>
      </c>
      <c r="B14">
        <v>2</v>
      </c>
      <c r="C14">
        <v>2</v>
      </c>
      <c r="D14">
        <v>4</v>
      </c>
    </row>
    <row r="15" spans="1:4">
      <c r="A15" s="6">
        <v>45913</v>
      </c>
      <c r="B15">
        <v>7</v>
      </c>
      <c r="C15">
        <v>1</v>
      </c>
      <c r="D15">
        <v>8</v>
      </c>
    </row>
    <row r="16" spans="1:4">
      <c r="A16" s="6">
        <v>45914</v>
      </c>
      <c r="B16">
        <v>4</v>
      </c>
      <c r="C16">
        <v>4</v>
      </c>
      <c r="D16">
        <v>8</v>
      </c>
    </row>
    <row r="17" spans="1:4">
      <c r="A17" s="6">
        <v>45920</v>
      </c>
      <c r="B17">
        <v>5</v>
      </c>
      <c r="C17">
        <v>6</v>
      </c>
      <c r="D17">
        <v>11</v>
      </c>
    </row>
    <row r="18" spans="1:4">
      <c r="A18" s="6">
        <v>45921</v>
      </c>
      <c r="B18">
        <v>4</v>
      </c>
      <c r="C18">
        <v>2</v>
      </c>
      <c r="D18">
        <v>6</v>
      </c>
    </row>
    <row r="19" spans="1:4">
      <c r="A19" s="6">
        <v>45927</v>
      </c>
      <c r="B19">
        <v>2</v>
      </c>
      <c r="C19">
        <v>0</v>
      </c>
      <c r="D19">
        <v>2</v>
      </c>
    </row>
    <row r="20" spans="1:4">
      <c r="A20" s="6">
        <v>45928</v>
      </c>
      <c r="B20">
        <v>3</v>
      </c>
      <c r="C20">
        <v>5</v>
      </c>
      <c r="D20">
        <v>8</v>
      </c>
    </row>
    <row r="21" spans="1:4">
      <c r="A21" s="6">
        <v>45934</v>
      </c>
      <c r="B21">
        <v>3</v>
      </c>
      <c r="C21">
        <v>4</v>
      </c>
      <c r="D21">
        <v>7</v>
      </c>
    </row>
    <row r="22" spans="1:4">
      <c r="A22" s="6">
        <v>45935</v>
      </c>
      <c r="B22">
        <v>5</v>
      </c>
      <c r="C22">
        <v>6</v>
      </c>
      <c r="D22">
        <v>11</v>
      </c>
    </row>
    <row r="23" spans="1:4">
      <c r="A23" s="6">
        <v>45948</v>
      </c>
      <c r="B23">
        <v>3</v>
      </c>
      <c r="C23">
        <v>5</v>
      </c>
      <c r="D23">
        <v>8</v>
      </c>
    </row>
    <row r="24" spans="1:4">
      <c r="A24" s="6">
        <v>45949</v>
      </c>
      <c r="B24">
        <v>5</v>
      </c>
      <c r="C24">
        <v>8</v>
      </c>
      <c r="D24">
        <v>13</v>
      </c>
    </row>
    <row r="25" spans="1:4">
      <c r="A25" s="6">
        <v>45955</v>
      </c>
      <c r="B25">
        <v>5</v>
      </c>
      <c r="C25">
        <v>2</v>
      </c>
      <c r="D25">
        <v>7</v>
      </c>
    </row>
    <row r="26" spans="1:4">
      <c r="A26" s="6">
        <v>45956</v>
      </c>
      <c r="B26">
        <v>1</v>
      </c>
      <c r="C26">
        <v>8</v>
      </c>
      <c r="D26">
        <v>9</v>
      </c>
    </row>
    <row r="27" spans="1:4">
      <c r="A27" s="6">
        <v>45962</v>
      </c>
      <c r="B27">
        <v>5</v>
      </c>
      <c r="C27">
        <v>3</v>
      </c>
      <c r="D27">
        <v>8</v>
      </c>
    </row>
    <row r="28" spans="1:4">
      <c r="A28" s="6">
        <v>45963</v>
      </c>
      <c r="B28">
        <v>6</v>
      </c>
      <c r="C28">
        <v>2</v>
      </c>
      <c r="D28">
        <v>8</v>
      </c>
    </row>
    <row r="29" spans="1:4">
      <c r="A29" s="6">
        <v>45969</v>
      </c>
      <c r="B29">
        <v>5</v>
      </c>
      <c r="C29">
        <v>4</v>
      </c>
      <c r="D29">
        <v>9</v>
      </c>
    </row>
    <row r="30" spans="1:4">
      <c r="A30" s="6">
        <v>45970</v>
      </c>
      <c r="B30">
        <v>3</v>
      </c>
      <c r="C30">
        <v>2</v>
      </c>
      <c r="D30">
        <v>5</v>
      </c>
    </row>
    <row r="31" spans="1:4">
      <c r="A31" s="6">
        <v>45983</v>
      </c>
      <c r="B31">
        <v>7</v>
      </c>
      <c r="C31">
        <v>4</v>
      </c>
      <c r="D31">
        <v>11</v>
      </c>
    </row>
    <row r="32" spans="1:4">
      <c r="A32" s="6">
        <v>45984</v>
      </c>
      <c r="B32">
        <v>4</v>
      </c>
      <c r="C32">
        <v>8</v>
      </c>
      <c r="D32">
        <v>12</v>
      </c>
    </row>
    <row r="33" spans="1:4">
      <c r="A33" s="6">
        <v>45990</v>
      </c>
      <c r="B33">
        <v>4</v>
      </c>
      <c r="C33">
        <v>1</v>
      </c>
      <c r="D33">
        <v>5</v>
      </c>
    </row>
    <row r="34" spans="1:4">
      <c r="A34" s="6">
        <v>45991</v>
      </c>
      <c r="B34">
        <v>4</v>
      </c>
      <c r="C34">
        <v>2</v>
      </c>
      <c r="D34">
        <v>6</v>
      </c>
    </row>
    <row r="35" spans="1:4">
      <c r="A35" s="6">
        <v>45994</v>
      </c>
      <c r="B35">
        <v>1</v>
      </c>
      <c r="C35">
        <v>3</v>
      </c>
      <c r="D35">
        <v>4</v>
      </c>
    </row>
    <row r="36" spans="1:4">
      <c r="A36" s="6">
        <v>45997</v>
      </c>
      <c r="B36">
        <v>3</v>
      </c>
      <c r="C36">
        <v>6</v>
      </c>
      <c r="D36">
        <v>9</v>
      </c>
    </row>
    <row r="37" spans="1:4">
      <c r="A37" s="6">
        <v>45998</v>
      </c>
      <c r="B37">
        <v>4</v>
      </c>
      <c r="C37">
        <v>5</v>
      </c>
      <c r="D37">
        <v>9</v>
      </c>
    </row>
    <row r="38" spans="1:4">
      <c r="A38" s="6">
        <v>46004</v>
      </c>
      <c r="B38">
        <v>6</v>
      </c>
      <c r="C38">
        <v>3</v>
      </c>
      <c r="D38">
        <v>9</v>
      </c>
    </row>
    <row r="39" spans="1:4">
      <c r="A39" s="6">
        <v>46005</v>
      </c>
      <c r="B39">
        <v>6</v>
      </c>
      <c r="C39">
        <v>3</v>
      </c>
      <c r="D39">
        <v>9</v>
      </c>
    </row>
    <row r="40" spans="1:4">
      <c r="A40" s="6">
        <v>46059</v>
      </c>
      <c r="B40">
        <v>0</v>
      </c>
      <c r="C40">
        <v>2</v>
      </c>
      <c r="D40">
        <v>2</v>
      </c>
    </row>
    <row r="41" spans="1:4">
      <c r="A41" s="6">
        <v>46060</v>
      </c>
      <c r="B41">
        <v>2</v>
      </c>
      <c r="C41">
        <v>1</v>
      </c>
      <c r="D41">
        <v>3</v>
      </c>
    </row>
    <row r="42" spans="1:4">
      <c r="A42" s="6">
        <v>46061</v>
      </c>
      <c r="B42">
        <v>4</v>
      </c>
      <c r="C42">
        <v>2</v>
      </c>
      <c r="D42">
        <v>6</v>
      </c>
    </row>
    <row r="43" spans="1:4">
      <c r="A43" s="6">
        <v>46067</v>
      </c>
      <c r="B43">
        <v>2</v>
      </c>
      <c r="C43">
        <v>1</v>
      </c>
      <c r="D43">
        <v>3</v>
      </c>
    </row>
    <row r="44" spans="1:4">
      <c r="A44" s="6">
        <v>46068</v>
      </c>
      <c r="B44">
        <v>5</v>
      </c>
      <c r="C44">
        <v>2</v>
      </c>
      <c r="D44">
        <v>7</v>
      </c>
    </row>
    <row r="45" spans="1:4">
      <c r="A45" s="6">
        <v>46074</v>
      </c>
      <c r="B45">
        <v>5</v>
      </c>
      <c r="C45">
        <v>1</v>
      </c>
      <c r="D45">
        <v>6</v>
      </c>
    </row>
    <row r="46" spans="1:4">
      <c r="A46" s="6">
        <v>46075</v>
      </c>
      <c r="B46">
        <v>3</v>
      </c>
      <c r="C46">
        <v>6</v>
      </c>
      <c r="D46">
        <v>9</v>
      </c>
    </row>
    <row r="47" spans="1:4">
      <c r="A47" s="6">
        <v>46082</v>
      </c>
      <c r="B47">
        <v>9</v>
      </c>
      <c r="C47">
        <v>9</v>
      </c>
      <c r="D47">
        <v>18</v>
      </c>
    </row>
    <row r="48" spans="1:4">
      <c r="A48" s="6">
        <v>46089</v>
      </c>
      <c r="B48">
        <v>9</v>
      </c>
      <c r="C48">
        <v>4</v>
      </c>
      <c r="D48">
        <v>13</v>
      </c>
    </row>
    <row r="49" spans="1:4">
      <c r="A49" s="6">
        <v>46094</v>
      </c>
      <c r="B49">
        <v>0</v>
      </c>
      <c r="C49">
        <v>0</v>
      </c>
      <c r="D49">
        <v>0</v>
      </c>
    </row>
    <row r="50" spans="1:4">
      <c r="A50" s="6">
        <v>46095</v>
      </c>
      <c r="B50">
        <v>7</v>
      </c>
      <c r="C50">
        <v>2</v>
      </c>
      <c r="D50">
        <v>9</v>
      </c>
    </row>
    <row r="51" spans="1:4">
      <c r="A51" s="6">
        <v>46096</v>
      </c>
      <c r="B51">
        <v>2</v>
      </c>
      <c r="C51">
        <v>6</v>
      </c>
      <c r="D51">
        <v>8</v>
      </c>
    </row>
    <row r="52" spans="1:4">
      <c r="A52" s="6">
        <v>46101</v>
      </c>
      <c r="B52">
        <v>1</v>
      </c>
      <c r="C52">
        <v>1</v>
      </c>
      <c r="D52">
        <v>2</v>
      </c>
    </row>
    <row r="53" spans="1:4">
      <c r="A53" s="6">
        <v>46102</v>
      </c>
      <c r="B53">
        <v>5</v>
      </c>
      <c r="C53">
        <v>8</v>
      </c>
      <c r="D53">
        <v>13</v>
      </c>
    </row>
    <row r="54" spans="1:4">
      <c r="A54" s="6">
        <v>46103</v>
      </c>
      <c r="B54">
        <v>4</v>
      </c>
      <c r="C54">
        <v>3</v>
      </c>
      <c r="D54">
        <v>7</v>
      </c>
    </row>
    <row r="55" spans="1:4">
      <c r="A55" s="6">
        <v>46115</v>
      </c>
      <c r="B55">
        <v>3</v>
      </c>
      <c r="C55">
        <v>2</v>
      </c>
      <c r="D55">
        <v>5</v>
      </c>
    </row>
    <row r="56" spans="1:4">
      <c r="A56" s="6">
        <v>46116</v>
      </c>
      <c r="B56">
        <v>5</v>
      </c>
      <c r="C56">
        <v>2</v>
      </c>
      <c r="D56">
        <v>7</v>
      </c>
    </row>
    <row r="57" spans="1:4">
      <c r="A57" s="6">
        <v>46117</v>
      </c>
      <c r="B57">
        <v>5</v>
      </c>
      <c r="C57">
        <v>5</v>
      </c>
      <c r="D57">
        <v>10</v>
      </c>
    </row>
    <row r="58" spans="1:4">
      <c r="A58" s="6">
        <v>46122</v>
      </c>
      <c r="B58">
        <v>2</v>
      </c>
      <c r="C58">
        <v>3</v>
      </c>
      <c r="D58">
        <v>5</v>
      </c>
    </row>
    <row r="59" spans="1:4">
      <c r="A59" s="6">
        <v>46123</v>
      </c>
      <c r="B59">
        <v>6</v>
      </c>
      <c r="C59">
        <v>0</v>
      </c>
      <c r="D59">
        <v>6</v>
      </c>
    </row>
    <row r="60" spans="1:4">
      <c r="A60" s="6">
        <v>46124</v>
      </c>
      <c r="B60">
        <v>1</v>
      </c>
      <c r="C60">
        <v>1</v>
      </c>
      <c r="D60">
        <v>2</v>
      </c>
    </row>
    <row r="61" spans="1:4">
      <c r="A61" s="6">
        <v>46129</v>
      </c>
      <c r="B61">
        <v>1</v>
      </c>
      <c r="C61">
        <v>1</v>
      </c>
      <c r="D61">
        <v>2</v>
      </c>
    </row>
    <row r="62" spans="1:4">
      <c r="A62" s="6">
        <v>46130</v>
      </c>
      <c r="B62">
        <v>2</v>
      </c>
      <c r="C62">
        <v>2</v>
      </c>
      <c r="D62">
        <v>4</v>
      </c>
    </row>
    <row r="63" spans="1:4">
      <c r="A63" s="6">
        <v>46131</v>
      </c>
      <c r="B63">
        <v>4</v>
      </c>
      <c r="C63">
        <v>6</v>
      </c>
      <c r="D63">
        <v>10</v>
      </c>
    </row>
    <row r="64" spans="1:4">
      <c r="A64" s="6">
        <v>46133</v>
      </c>
      <c r="B64">
        <v>5</v>
      </c>
      <c r="C64">
        <v>1</v>
      </c>
      <c r="D64">
        <v>6</v>
      </c>
    </row>
    <row r="65" spans="1:4">
      <c r="A65" s="6">
        <v>46134</v>
      </c>
      <c r="B65">
        <v>4</v>
      </c>
      <c r="C65">
        <v>4</v>
      </c>
      <c r="D65">
        <v>8</v>
      </c>
    </row>
    <row r="66" spans="1:4">
      <c r="A66" s="6">
        <v>46136</v>
      </c>
      <c r="B66">
        <v>3</v>
      </c>
      <c r="C66">
        <v>0</v>
      </c>
      <c r="D66">
        <v>3</v>
      </c>
    </row>
    <row r="67" spans="1:4">
      <c r="A67" s="6">
        <v>46137</v>
      </c>
      <c r="B67">
        <v>2</v>
      </c>
      <c r="C67">
        <v>0</v>
      </c>
      <c r="D67">
        <v>2</v>
      </c>
    </row>
    <row r="68" spans="1:4">
      <c r="A68" s="6">
        <v>46138</v>
      </c>
      <c r="B68">
        <v>3</v>
      </c>
      <c r="C68">
        <v>6</v>
      </c>
      <c r="D68">
        <v>9</v>
      </c>
    </row>
    <row r="69" spans="1:4">
      <c r="A69" s="6">
        <v>46144</v>
      </c>
      <c r="B69">
        <v>6</v>
      </c>
      <c r="C69">
        <v>0</v>
      </c>
      <c r="D69">
        <v>6</v>
      </c>
    </row>
    <row r="70" spans="1:4">
      <c r="A70" s="6">
        <v>46145</v>
      </c>
      <c r="B70">
        <v>2</v>
      </c>
      <c r="C70">
        <v>1</v>
      </c>
      <c r="D70">
        <v>3</v>
      </c>
    </row>
    <row r="71" spans="1:4">
      <c r="A71" s="6">
        <v>46146</v>
      </c>
      <c r="B71">
        <v>4</v>
      </c>
      <c r="C71">
        <v>5</v>
      </c>
      <c r="D71">
        <v>9</v>
      </c>
    </row>
    <row r="72" spans="1:4">
      <c r="A72" s="6">
        <v>46151</v>
      </c>
      <c r="B72">
        <v>3</v>
      </c>
      <c r="C72">
        <v>4</v>
      </c>
      <c r="D72">
        <v>7</v>
      </c>
    </row>
    <row r="73" spans="1:4">
      <c r="A73" s="6">
        <v>46152</v>
      </c>
      <c r="B73">
        <v>4</v>
      </c>
      <c r="C73">
        <v>7</v>
      </c>
      <c r="D73">
        <v>11</v>
      </c>
    </row>
    <row r="74" spans="1:4">
      <c r="A74" s="6">
        <v>46158</v>
      </c>
      <c r="B74">
        <v>4</v>
      </c>
      <c r="C74">
        <v>3</v>
      </c>
      <c r="D74">
        <v>7</v>
      </c>
    </row>
    <row r="75" spans="1:4">
      <c r="A75" s="6">
        <v>46159</v>
      </c>
      <c r="B75">
        <v>3</v>
      </c>
      <c r="C75">
        <v>6</v>
      </c>
      <c r="D75">
        <v>9</v>
      </c>
    </row>
    <row r="76" spans="1:4">
      <c r="A76" s="7" t="s">
        <v>285</v>
      </c>
      <c r="D76">
        <v>0</v>
      </c>
    </row>
    <row r="77" spans="1:4">
      <c r="A77" s="7" t="s">
        <v>286</v>
      </c>
      <c r="B77">
        <v>273</v>
      </c>
      <c r="C77">
        <v>245</v>
      </c>
      <c r="D77">
        <v>518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4767-E307-4593-94E1-C545DF526A2F}">
  <dimension ref="A3:N17"/>
  <sheetViews>
    <sheetView workbookViewId="0">
      <selection activeCell="B24" sqref="B24"/>
    </sheetView>
  </sheetViews>
  <sheetFormatPr baseColWidth="10" defaultRowHeight="14.4"/>
  <cols>
    <col min="1" max="1" width="20.77734375" bestFit="1" customWidth="1"/>
    <col min="2" max="2" width="22.109375" bestFit="1" customWidth="1"/>
    <col min="3" max="3" width="12.88671875" bestFit="1" customWidth="1"/>
    <col min="4" max="4" width="7.44140625" bestFit="1" customWidth="1"/>
    <col min="5" max="5" width="9.109375" bestFit="1" customWidth="1"/>
    <col min="6" max="6" width="8.33203125" bestFit="1" customWidth="1"/>
    <col min="7" max="7" width="5.21875" bestFit="1" customWidth="1"/>
    <col min="8" max="8" width="4.77734375" bestFit="1" customWidth="1"/>
    <col min="9" max="9" width="8.21875" bestFit="1" customWidth="1"/>
    <col min="10" max="10" width="8.44140625" bestFit="1" customWidth="1"/>
    <col min="11" max="11" width="10.33203125" bestFit="1" customWidth="1"/>
    <col min="12" max="12" width="4.6640625" bestFit="1" customWidth="1"/>
    <col min="13" max="13" width="13.6640625" bestFit="1" customWidth="1"/>
    <col min="14" max="14" width="14.6640625" bestFit="1" customWidth="1"/>
  </cols>
  <sheetData>
    <row r="3" spans="1:14">
      <c r="A3" s="5" t="s">
        <v>295</v>
      </c>
      <c r="B3" s="5" t="s">
        <v>296</v>
      </c>
    </row>
    <row r="4" spans="1:14">
      <c r="A4" s="5" t="s">
        <v>278</v>
      </c>
      <c r="B4" t="s">
        <v>45</v>
      </c>
      <c r="C4" t="s">
        <v>40</v>
      </c>
      <c r="D4" t="s">
        <v>61</v>
      </c>
      <c r="E4" t="s">
        <v>63</v>
      </c>
      <c r="F4" t="s">
        <v>52</v>
      </c>
      <c r="G4" t="s">
        <v>50</v>
      </c>
      <c r="H4" t="s">
        <v>38</v>
      </c>
      <c r="I4" t="s">
        <v>29</v>
      </c>
      <c r="J4" t="s">
        <v>35</v>
      </c>
      <c r="K4" t="s">
        <v>28</v>
      </c>
      <c r="L4" t="s">
        <v>54</v>
      </c>
      <c r="M4" t="s">
        <v>39</v>
      </c>
      <c r="N4" t="s">
        <v>286</v>
      </c>
    </row>
    <row r="5" spans="1:14">
      <c r="A5" s="7" t="s">
        <v>45</v>
      </c>
      <c r="C5">
        <v>3</v>
      </c>
      <c r="D5">
        <v>6</v>
      </c>
      <c r="E5">
        <v>4</v>
      </c>
      <c r="F5">
        <v>1</v>
      </c>
      <c r="G5">
        <v>3</v>
      </c>
      <c r="H5">
        <v>6</v>
      </c>
      <c r="I5">
        <v>1</v>
      </c>
      <c r="J5">
        <v>1</v>
      </c>
      <c r="K5">
        <v>0</v>
      </c>
      <c r="L5">
        <v>2</v>
      </c>
      <c r="M5">
        <v>3</v>
      </c>
      <c r="N5">
        <v>30</v>
      </c>
    </row>
    <row r="6" spans="1:14">
      <c r="A6" s="7" t="s">
        <v>40</v>
      </c>
      <c r="B6">
        <v>3</v>
      </c>
      <c r="D6">
        <v>0</v>
      </c>
      <c r="E6">
        <v>3</v>
      </c>
      <c r="F6">
        <v>3</v>
      </c>
      <c r="G6">
        <v>1</v>
      </c>
      <c r="H6">
        <v>3</v>
      </c>
      <c r="I6">
        <v>0</v>
      </c>
      <c r="J6">
        <v>4</v>
      </c>
      <c r="K6">
        <v>3</v>
      </c>
      <c r="L6">
        <v>1</v>
      </c>
      <c r="M6">
        <v>0</v>
      </c>
      <c r="N6">
        <v>21</v>
      </c>
    </row>
    <row r="7" spans="1:14">
      <c r="A7" s="7" t="s">
        <v>61</v>
      </c>
      <c r="B7">
        <v>6</v>
      </c>
      <c r="C7">
        <v>0</v>
      </c>
      <c r="E7">
        <v>3</v>
      </c>
      <c r="F7">
        <v>0</v>
      </c>
      <c r="G7">
        <v>0</v>
      </c>
      <c r="H7">
        <v>3</v>
      </c>
      <c r="I7">
        <v>0</v>
      </c>
      <c r="J7">
        <v>1</v>
      </c>
      <c r="K7">
        <v>0</v>
      </c>
      <c r="L7">
        <v>3</v>
      </c>
      <c r="M7">
        <v>6</v>
      </c>
      <c r="N7">
        <v>22</v>
      </c>
    </row>
    <row r="8" spans="1:14">
      <c r="A8" s="7" t="s">
        <v>63</v>
      </c>
      <c r="B8">
        <v>4</v>
      </c>
      <c r="C8">
        <v>1</v>
      </c>
      <c r="D8">
        <v>6</v>
      </c>
      <c r="F8">
        <v>1</v>
      </c>
      <c r="G8">
        <v>0</v>
      </c>
      <c r="H8">
        <v>4</v>
      </c>
      <c r="I8">
        <v>1</v>
      </c>
      <c r="J8">
        <v>1</v>
      </c>
      <c r="K8">
        <v>0</v>
      </c>
      <c r="L8">
        <v>4</v>
      </c>
      <c r="M8">
        <v>3</v>
      </c>
      <c r="N8">
        <v>25</v>
      </c>
    </row>
    <row r="9" spans="1:14">
      <c r="A9" s="7" t="s">
        <v>50</v>
      </c>
      <c r="B9">
        <v>3</v>
      </c>
      <c r="C9">
        <v>6</v>
      </c>
      <c r="D9">
        <v>3</v>
      </c>
      <c r="E9">
        <v>3</v>
      </c>
      <c r="F9">
        <v>2</v>
      </c>
      <c r="H9">
        <v>0</v>
      </c>
      <c r="I9">
        <v>3</v>
      </c>
      <c r="J9">
        <v>6</v>
      </c>
      <c r="K9">
        <v>1</v>
      </c>
      <c r="L9">
        <v>3</v>
      </c>
      <c r="M9">
        <v>3</v>
      </c>
      <c r="N9">
        <v>33</v>
      </c>
    </row>
    <row r="10" spans="1:14">
      <c r="A10" s="7" t="s">
        <v>38</v>
      </c>
      <c r="B10">
        <v>6</v>
      </c>
      <c r="C10">
        <v>0</v>
      </c>
      <c r="D10">
        <v>6</v>
      </c>
      <c r="E10">
        <v>4</v>
      </c>
      <c r="F10">
        <v>0</v>
      </c>
      <c r="G10">
        <v>1</v>
      </c>
      <c r="I10">
        <v>1</v>
      </c>
      <c r="J10">
        <v>0</v>
      </c>
      <c r="K10">
        <v>0</v>
      </c>
      <c r="L10">
        <v>6</v>
      </c>
      <c r="M10">
        <v>3</v>
      </c>
      <c r="N10">
        <v>27</v>
      </c>
    </row>
    <row r="11" spans="1:14">
      <c r="A11" s="7" t="s">
        <v>29</v>
      </c>
      <c r="B11">
        <v>1</v>
      </c>
      <c r="C11">
        <v>3</v>
      </c>
      <c r="D11">
        <v>1</v>
      </c>
      <c r="E11">
        <v>3</v>
      </c>
      <c r="F11">
        <v>1</v>
      </c>
      <c r="G11">
        <v>3</v>
      </c>
      <c r="H11">
        <v>3</v>
      </c>
      <c r="J11">
        <v>3</v>
      </c>
      <c r="K11">
        <v>1</v>
      </c>
      <c r="L11">
        <v>0</v>
      </c>
      <c r="M11">
        <v>3</v>
      </c>
      <c r="N11">
        <v>22</v>
      </c>
    </row>
    <row r="12" spans="1:14">
      <c r="A12" s="7" t="s">
        <v>52</v>
      </c>
      <c r="B12">
        <v>1</v>
      </c>
      <c r="C12">
        <v>3</v>
      </c>
      <c r="D12">
        <v>1</v>
      </c>
      <c r="E12">
        <v>3</v>
      </c>
      <c r="G12">
        <v>1</v>
      </c>
      <c r="H12">
        <v>3</v>
      </c>
      <c r="I12">
        <v>0</v>
      </c>
      <c r="J12">
        <v>1</v>
      </c>
      <c r="K12">
        <v>0</v>
      </c>
      <c r="L12">
        <v>3</v>
      </c>
      <c r="M12">
        <v>1</v>
      </c>
      <c r="N12">
        <v>17</v>
      </c>
    </row>
    <row r="13" spans="1:14">
      <c r="A13" s="7" t="s">
        <v>35</v>
      </c>
      <c r="B13">
        <v>1</v>
      </c>
      <c r="C13">
        <v>0</v>
      </c>
      <c r="D13">
        <v>3</v>
      </c>
      <c r="E13">
        <v>0</v>
      </c>
      <c r="F13">
        <v>1</v>
      </c>
      <c r="G13">
        <v>3</v>
      </c>
      <c r="H13">
        <v>0</v>
      </c>
      <c r="I13">
        <v>6</v>
      </c>
      <c r="K13">
        <v>3</v>
      </c>
      <c r="L13">
        <v>3</v>
      </c>
      <c r="M13">
        <v>3</v>
      </c>
      <c r="N13">
        <v>23</v>
      </c>
    </row>
    <row r="14" spans="1:14">
      <c r="A14" s="7" t="s">
        <v>28</v>
      </c>
      <c r="B14">
        <v>3</v>
      </c>
      <c r="C14">
        <v>1</v>
      </c>
      <c r="D14">
        <v>3</v>
      </c>
      <c r="E14">
        <v>3</v>
      </c>
      <c r="F14">
        <v>4</v>
      </c>
      <c r="G14">
        <v>1</v>
      </c>
      <c r="H14">
        <v>3</v>
      </c>
      <c r="I14">
        <v>2</v>
      </c>
      <c r="J14">
        <v>3</v>
      </c>
      <c r="L14">
        <v>0</v>
      </c>
      <c r="M14">
        <v>0</v>
      </c>
      <c r="N14">
        <v>23</v>
      </c>
    </row>
    <row r="15" spans="1:14">
      <c r="A15" s="7" t="s">
        <v>54</v>
      </c>
      <c r="B15">
        <v>1</v>
      </c>
      <c r="C15">
        <v>0</v>
      </c>
      <c r="D15">
        <v>4</v>
      </c>
      <c r="E15">
        <v>3</v>
      </c>
      <c r="F15">
        <v>3</v>
      </c>
      <c r="G15">
        <v>3</v>
      </c>
      <c r="H15">
        <v>4</v>
      </c>
      <c r="I15">
        <v>0</v>
      </c>
      <c r="J15">
        <v>1</v>
      </c>
      <c r="K15">
        <v>3</v>
      </c>
      <c r="M15">
        <v>4</v>
      </c>
      <c r="N15">
        <v>26</v>
      </c>
    </row>
    <row r="16" spans="1:14">
      <c r="A16" s="7" t="s">
        <v>39</v>
      </c>
      <c r="B16">
        <v>1</v>
      </c>
      <c r="C16">
        <v>3</v>
      </c>
      <c r="D16">
        <v>4</v>
      </c>
      <c r="E16">
        <v>4</v>
      </c>
      <c r="F16">
        <v>0</v>
      </c>
      <c r="G16">
        <v>3</v>
      </c>
      <c r="H16">
        <v>1</v>
      </c>
      <c r="I16">
        <v>3</v>
      </c>
      <c r="J16">
        <v>0</v>
      </c>
      <c r="K16">
        <v>1</v>
      </c>
      <c r="L16">
        <v>4</v>
      </c>
      <c r="N16">
        <v>24</v>
      </c>
    </row>
    <row r="17" spans="1:14">
      <c r="A17" s="7" t="s">
        <v>286</v>
      </c>
      <c r="B17">
        <v>30</v>
      </c>
      <c r="C17">
        <v>20</v>
      </c>
      <c r="D17">
        <v>37</v>
      </c>
      <c r="E17">
        <v>33</v>
      </c>
      <c r="F17">
        <v>16</v>
      </c>
      <c r="G17">
        <v>19</v>
      </c>
      <c r="H17">
        <v>30</v>
      </c>
      <c r="I17">
        <v>17</v>
      </c>
      <c r="J17">
        <v>21</v>
      </c>
      <c r="K17">
        <v>12</v>
      </c>
      <c r="L17">
        <v>29</v>
      </c>
      <c r="M17">
        <v>29</v>
      </c>
      <c r="N17">
        <v>293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A472-A0D3-4962-A3C5-11647FCC2F27}">
  <dimension ref="A3:N17"/>
  <sheetViews>
    <sheetView workbookViewId="0">
      <selection activeCell="B4" sqref="B4"/>
    </sheetView>
  </sheetViews>
  <sheetFormatPr baseColWidth="10" defaultRowHeight="14.4"/>
  <cols>
    <col min="1" max="1" width="20.77734375" bestFit="1" customWidth="1"/>
    <col min="2" max="2" width="22.109375" bestFit="1" customWidth="1"/>
    <col min="3" max="3" width="12.88671875" bestFit="1" customWidth="1"/>
    <col min="4" max="4" width="7.44140625" bestFit="1" customWidth="1"/>
    <col min="5" max="5" width="9.109375" bestFit="1" customWidth="1"/>
    <col min="6" max="6" width="8.33203125" bestFit="1" customWidth="1"/>
    <col min="7" max="7" width="5.21875" bestFit="1" customWidth="1"/>
    <col min="8" max="8" width="4.77734375" bestFit="1" customWidth="1"/>
    <col min="9" max="9" width="8.21875" bestFit="1" customWidth="1"/>
    <col min="10" max="10" width="8.44140625" bestFit="1" customWidth="1"/>
    <col min="11" max="11" width="10.33203125" bestFit="1" customWidth="1"/>
    <col min="12" max="12" width="4.6640625" bestFit="1" customWidth="1"/>
    <col min="13" max="13" width="13.6640625" bestFit="1" customWidth="1"/>
    <col min="14" max="14" width="14.6640625" bestFit="1" customWidth="1"/>
  </cols>
  <sheetData>
    <row r="3" spans="1:14">
      <c r="A3" s="5" t="s">
        <v>297</v>
      </c>
      <c r="B3" s="5" t="s">
        <v>296</v>
      </c>
    </row>
    <row r="4" spans="1:14">
      <c r="A4" s="5" t="s">
        <v>278</v>
      </c>
      <c r="B4" t="s">
        <v>45</v>
      </c>
      <c r="C4" t="s">
        <v>40</v>
      </c>
      <c r="D4" t="s">
        <v>61</v>
      </c>
      <c r="E4" t="s">
        <v>63</v>
      </c>
      <c r="F4" t="s">
        <v>52</v>
      </c>
      <c r="G4" t="s">
        <v>50</v>
      </c>
      <c r="H4" t="s">
        <v>38</v>
      </c>
      <c r="I4" t="s">
        <v>29</v>
      </c>
      <c r="J4" t="s">
        <v>35</v>
      </c>
      <c r="K4" t="s">
        <v>28</v>
      </c>
      <c r="L4" t="s">
        <v>54</v>
      </c>
      <c r="M4" t="s">
        <v>39</v>
      </c>
      <c r="N4" t="s">
        <v>286</v>
      </c>
    </row>
    <row r="5" spans="1:14">
      <c r="A5" s="7" t="s">
        <v>45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4</v>
      </c>
      <c r="M5">
        <v>4</v>
      </c>
      <c r="N5">
        <v>12</v>
      </c>
    </row>
    <row r="6" spans="1:14">
      <c r="A6" s="7" t="s">
        <v>40</v>
      </c>
      <c r="B6">
        <v>0</v>
      </c>
      <c r="D6">
        <v>3</v>
      </c>
      <c r="E6">
        <v>1</v>
      </c>
      <c r="F6">
        <v>3</v>
      </c>
      <c r="G6">
        <v>0</v>
      </c>
      <c r="H6">
        <v>3</v>
      </c>
      <c r="I6">
        <v>3</v>
      </c>
      <c r="J6">
        <v>6</v>
      </c>
      <c r="K6">
        <v>4</v>
      </c>
      <c r="L6">
        <v>3</v>
      </c>
      <c r="M6">
        <v>0</v>
      </c>
      <c r="N6">
        <v>26</v>
      </c>
    </row>
    <row r="7" spans="1:14">
      <c r="A7" s="7" t="s">
        <v>61</v>
      </c>
      <c r="B7">
        <v>0</v>
      </c>
      <c r="C7">
        <v>3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1</v>
      </c>
      <c r="N7">
        <v>7</v>
      </c>
    </row>
    <row r="8" spans="1:14">
      <c r="A8" s="7" t="s">
        <v>63</v>
      </c>
      <c r="B8">
        <v>1</v>
      </c>
      <c r="C8">
        <v>0</v>
      </c>
      <c r="D8">
        <v>3</v>
      </c>
      <c r="F8">
        <v>0</v>
      </c>
      <c r="G8">
        <v>0</v>
      </c>
      <c r="H8">
        <v>1</v>
      </c>
      <c r="I8">
        <v>0</v>
      </c>
      <c r="J8">
        <v>3</v>
      </c>
      <c r="K8">
        <v>0</v>
      </c>
      <c r="L8">
        <v>3</v>
      </c>
      <c r="M8">
        <v>1</v>
      </c>
      <c r="N8">
        <v>12</v>
      </c>
    </row>
    <row r="9" spans="1:14">
      <c r="A9" s="7" t="s">
        <v>52</v>
      </c>
      <c r="B9">
        <v>1</v>
      </c>
      <c r="C9">
        <v>3</v>
      </c>
      <c r="D9">
        <v>3</v>
      </c>
      <c r="E9">
        <v>1</v>
      </c>
      <c r="G9">
        <v>2</v>
      </c>
      <c r="H9">
        <v>3</v>
      </c>
      <c r="I9">
        <v>4</v>
      </c>
      <c r="J9">
        <v>4</v>
      </c>
      <c r="K9">
        <v>1</v>
      </c>
      <c r="L9">
        <v>0</v>
      </c>
      <c r="M9">
        <v>3</v>
      </c>
      <c r="N9">
        <v>25</v>
      </c>
    </row>
    <row r="10" spans="1:14">
      <c r="A10" s="7" t="s">
        <v>50</v>
      </c>
      <c r="B10">
        <v>0</v>
      </c>
      <c r="C10">
        <v>4</v>
      </c>
      <c r="D10">
        <v>3</v>
      </c>
      <c r="E10">
        <v>3</v>
      </c>
      <c r="F10">
        <v>4</v>
      </c>
      <c r="H10">
        <v>1</v>
      </c>
      <c r="I10">
        <v>3</v>
      </c>
      <c r="J10">
        <v>3</v>
      </c>
      <c r="K10">
        <v>4</v>
      </c>
      <c r="L10">
        <v>0</v>
      </c>
      <c r="M10">
        <v>0</v>
      </c>
      <c r="N10">
        <v>25</v>
      </c>
    </row>
    <row r="11" spans="1:14">
      <c r="A11" s="7" t="s">
        <v>38</v>
      </c>
      <c r="B11">
        <v>0</v>
      </c>
      <c r="C11">
        <v>0</v>
      </c>
      <c r="D11">
        <v>3</v>
      </c>
      <c r="E11">
        <v>1</v>
      </c>
      <c r="F11">
        <v>0</v>
      </c>
      <c r="G11">
        <v>3</v>
      </c>
      <c r="I11">
        <v>0</v>
      </c>
      <c r="J11">
        <v>3</v>
      </c>
      <c r="K11">
        <v>0</v>
      </c>
      <c r="L11">
        <v>1</v>
      </c>
      <c r="M11">
        <v>4</v>
      </c>
      <c r="N11">
        <v>15</v>
      </c>
    </row>
    <row r="12" spans="1:14">
      <c r="A12" s="7" t="s">
        <v>29</v>
      </c>
      <c r="B12">
        <v>1</v>
      </c>
      <c r="C12">
        <v>6</v>
      </c>
      <c r="D12">
        <v>3</v>
      </c>
      <c r="E12">
        <v>1</v>
      </c>
      <c r="F12">
        <v>6</v>
      </c>
      <c r="G12">
        <v>3</v>
      </c>
      <c r="H12">
        <v>1</v>
      </c>
      <c r="J12">
        <v>0</v>
      </c>
      <c r="K12">
        <v>2</v>
      </c>
      <c r="L12">
        <v>3</v>
      </c>
      <c r="M12">
        <v>0</v>
      </c>
      <c r="N12">
        <v>26</v>
      </c>
    </row>
    <row r="13" spans="1:14">
      <c r="A13" s="7" t="s">
        <v>35</v>
      </c>
      <c r="B13">
        <v>1</v>
      </c>
      <c r="C13">
        <v>1</v>
      </c>
      <c r="D13">
        <v>1</v>
      </c>
      <c r="E13">
        <v>1</v>
      </c>
      <c r="F13">
        <v>4</v>
      </c>
      <c r="G13">
        <v>0</v>
      </c>
      <c r="H13">
        <v>3</v>
      </c>
      <c r="I13">
        <v>3</v>
      </c>
      <c r="K13">
        <v>3</v>
      </c>
      <c r="L13">
        <v>1</v>
      </c>
      <c r="M13">
        <v>3</v>
      </c>
      <c r="N13">
        <v>21</v>
      </c>
    </row>
    <row r="14" spans="1:14">
      <c r="A14" s="7" t="s">
        <v>28</v>
      </c>
      <c r="B14">
        <v>3</v>
      </c>
      <c r="C14">
        <v>3</v>
      </c>
      <c r="D14">
        <v>3</v>
      </c>
      <c r="E14">
        <v>3</v>
      </c>
      <c r="F14">
        <v>6</v>
      </c>
      <c r="G14">
        <v>4</v>
      </c>
      <c r="H14">
        <v>3</v>
      </c>
      <c r="I14">
        <v>4</v>
      </c>
      <c r="J14">
        <v>3</v>
      </c>
      <c r="L14">
        <v>0</v>
      </c>
      <c r="M14">
        <v>1</v>
      </c>
      <c r="N14">
        <v>33</v>
      </c>
    </row>
    <row r="15" spans="1:14">
      <c r="A15" s="7" t="s">
        <v>54</v>
      </c>
      <c r="B15">
        <v>2</v>
      </c>
      <c r="C15">
        <v>1</v>
      </c>
      <c r="D15">
        <v>3</v>
      </c>
      <c r="E15">
        <v>1</v>
      </c>
      <c r="F15">
        <v>0</v>
      </c>
      <c r="G15">
        <v>0</v>
      </c>
      <c r="H15">
        <v>0</v>
      </c>
      <c r="I15">
        <v>3</v>
      </c>
      <c r="J15">
        <v>0</v>
      </c>
      <c r="K15">
        <v>3</v>
      </c>
      <c r="M15">
        <v>1</v>
      </c>
      <c r="N15">
        <v>14</v>
      </c>
    </row>
    <row r="16" spans="1:14">
      <c r="A16" s="7" t="s">
        <v>39</v>
      </c>
      <c r="B16">
        <v>3</v>
      </c>
      <c r="C16">
        <v>3</v>
      </c>
      <c r="D16">
        <v>0</v>
      </c>
      <c r="E16">
        <v>3</v>
      </c>
      <c r="F16">
        <v>1</v>
      </c>
      <c r="G16">
        <v>0</v>
      </c>
      <c r="H16">
        <v>3</v>
      </c>
      <c r="I16">
        <v>0</v>
      </c>
      <c r="J16">
        <v>0</v>
      </c>
      <c r="K16">
        <v>3</v>
      </c>
      <c r="L16">
        <v>1</v>
      </c>
      <c r="N16">
        <v>17</v>
      </c>
    </row>
    <row r="17" spans="1:14">
      <c r="A17" s="7" t="s">
        <v>286</v>
      </c>
      <c r="B17">
        <v>12</v>
      </c>
      <c r="C17">
        <v>24</v>
      </c>
      <c r="D17">
        <v>25</v>
      </c>
      <c r="E17">
        <v>16</v>
      </c>
      <c r="F17">
        <v>26</v>
      </c>
      <c r="G17">
        <v>12</v>
      </c>
      <c r="H17">
        <v>18</v>
      </c>
      <c r="I17">
        <v>22</v>
      </c>
      <c r="J17">
        <v>23</v>
      </c>
      <c r="K17">
        <v>20</v>
      </c>
      <c r="L17">
        <v>17</v>
      </c>
      <c r="M17">
        <v>18</v>
      </c>
      <c r="N17">
        <v>233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91E12B-D8CF-411E-83BC-2E3FB0AF47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Datenquelle</vt:lpstr>
      <vt:lpstr>AT2526</vt:lpstr>
      <vt:lpstr>Mannschaften</vt:lpstr>
      <vt:lpstr>Spiele</vt:lpstr>
      <vt:lpstr>meistegeschosseneToreproSpiel</vt:lpstr>
      <vt:lpstr>Tore nach Kalendertag</vt:lpstr>
      <vt:lpstr>Pivot Homepoints</vt:lpstr>
      <vt:lpstr>Pivot Awaypoints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Angelika Frierss</dc:creator>
  <cp:lastModifiedBy>Angelika Frierss</cp:lastModifiedBy>
  <dcterms:created xsi:type="dcterms:W3CDTF">2026-10-27T09:09:36Z</dcterms:created>
  <dcterms:modified xsi:type="dcterms:W3CDTF">2026-10-29T08:28:07Z</dcterms:modified>
</cp:coreProperties>
</file>